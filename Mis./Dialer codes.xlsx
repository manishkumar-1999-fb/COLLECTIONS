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sh.kumar/Desktop/Codes/"/>
    </mc:Choice>
  </mc:AlternateContent>
  <xr:revisionPtr revIDLastSave="0" documentId="8_{8BA7A224-4F79-F14C-AEC5-3AFF765D15C7}" xr6:coauthVersionLast="47" xr6:coauthVersionMax="47" xr10:uidLastSave="{00000000-0000-0000-0000-000000000000}"/>
  <bookViews>
    <workbookView xWindow="0" yWindow="0" windowWidth="28800" windowHeight="18000" activeTab="1" xr2:uid="{71E71621-5DA7-9B42-AC7F-85F830CDD04B}"/>
  </bookViews>
  <sheets>
    <sheet name="Dialer Code" sheetId="1" r:id="rId1"/>
    <sheet name="Charge off dialer cod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3" i="2" l="1"/>
  <c r="C273" i="2" a="1"/>
  <c r="C209" i="2" a="1"/>
  <c r="C209" i="2" s="1"/>
  <c r="C172" i="2" a="1"/>
  <c r="C172" i="2" s="1"/>
  <c r="C105" i="2"/>
  <c r="C105" i="2" a="1"/>
  <c r="C91" i="2" a="1"/>
  <c r="C91" i="2" s="1"/>
  <c r="C74" i="2" a="1"/>
  <c r="C74" i="2" s="1"/>
  <c r="C73" i="2" a="1"/>
  <c r="C73" i="2" s="1"/>
  <c r="C71" i="2"/>
  <c r="C71" i="2" a="1"/>
  <c r="C346" i="1"/>
  <c r="C344" i="1" a="1"/>
  <c r="C344" i="1" s="1"/>
  <c r="C239" i="1" a="1"/>
  <c r="C239" i="1" s="1"/>
  <c r="C175" i="1" a="1"/>
  <c r="C175" i="1" s="1"/>
  <c r="C155" i="1"/>
  <c r="C155" i="1" a="1"/>
  <c r="C88" i="1" a="1"/>
  <c r="C88" i="1" s="1"/>
  <c r="C74" i="1" a="1"/>
  <c r="C74" i="1" s="1"/>
  <c r="C57" i="1" a="1"/>
  <c r="C57" i="1" s="1"/>
  <c r="C56" i="1"/>
  <c r="C5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<sst xmlns="http://schemas.openxmlformats.org/spreadsheetml/2006/main" count="996" uniqueCount="530">
  <si>
    <t>&gt;&gt; DPD 1-13 dialer code</t>
  </si>
  <si>
    <t>WITH fmd_agg AS (</t>
  </si>
  <si>
    <t xml:space="preserve">  SELECT</t>
  </si>
  <si>
    <t xml:space="preserve">      fmd.fbbid</t>
  </si>
  <si>
    <t xml:space="preserve">    , fmd.edate</t>
  </si>
  <si>
    <t xml:space="preserve">    , MAX(fmd.dpd_days)     AS dpd_days        </t>
  </si>
  <si>
    <t xml:space="preserve">    , MAX(fmd.dpd_bucket)   AS dpd_bucket</t>
  </si>
  <si>
    <t xml:space="preserve">    , SUM(fmd.outstanding_balance_due) AS outstanding_balance_due_all_loans</t>
  </si>
  <si>
    <t xml:space="preserve">    , MAX(fmd.is_charged_off) AS is_charged_off_any</t>
  </si>
  <si>
    <t xml:space="preserve">  FROM BI.FINANCE.FINANCE_METRICS_DAILY fmd</t>
  </si>
  <si>
    <t xml:space="preserve">  WHERE fmd.edate = CURRENT_DATE</t>
  </si>
  <si>
    <t xml:space="preserve">  GROUP BY fmd.fbbid, fmd.edate</t>
  </si>
  <si>
    <t>)</t>
  </si>
  <si>
    <t xml:space="preserve">-- addition of phone number and zip code and partner attribution </t>
  </si>
  <si>
    <t>-- filtering the data for accounts which are not charged off</t>
  </si>
  <si>
    <t>,</t>
  </si>
  <si>
    <t>latest_per_cust AS (</t>
  </si>
  <si>
    <t xml:space="preserve">      a.fbbid</t>
  </si>
  <si>
    <t xml:space="preserve">    , a.edate</t>
  </si>
  <si>
    <t xml:space="preserve">    , a.dpd_days</t>
  </si>
  <si>
    <t xml:space="preserve">    , a.dpd_bucket</t>
  </si>
  <si>
    <t xml:space="preserve">    , a.outstanding_balance_due_all_loans</t>
  </si>
  <si>
    <t xml:space="preserve">    , cd.zip_code as Business_Addr1_ZIP5</t>
  </si>
  <si>
    <t xml:space="preserve">    , cd.partner_attribution</t>
  </si>
  <si>
    <t xml:space="preserve">    , cd.phone as original_phone_number</t>
  </si>
  <si>
    <t xml:space="preserve">  FROM fmd_agg a</t>
  </si>
  <si>
    <t xml:space="preserve">  LEFT JOIN bi.public.customers_data cd</t>
  </si>
  <si>
    <t xml:space="preserve">    ON a.fbbid = cd.fbbid</t>
  </si>
  <si>
    <t xml:space="preserve">  WHERE a.is_charged_off_any = 0</t>
  </si>
  <si>
    <t>-- filtering for customers who are in dpd 1 to 98 days</t>
  </si>
  <si>
    <t>, delq AS (</t>
  </si>
  <si>
    <t xml:space="preserve">      fbbid</t>
  </si>
  <si>
    <t xml:space="preserve">    , edate</t>
  </si>
  <si>
    <t xml:space="preserve">    , dpd_days</t>
  </si>
  <si>
    <t xml:space="preserve">    , dpd_bucket</t>
  </si>
  <si>
    <t xml:space="preserve">    , partner_attribution</t>
  </si>
  <si>
    <t xml:space="preserve">    , outstanding_balance_due_all_loans AS outstanding_balance_due</t>
  </si>
  <si>
    <t xml:space="preserve">    , Business_Addr1_ZIP5</t>
  </si>
  <si>
    <t xml:space="preserve">    ,original_phone_number</t>
  </si>
  <si>
    <t xml:space="preserve">  FROM latest_per_cust</t>
  </si>
  <si>
    <t xml:space="preserve">  WHERE dpd_days &gt;= 1</t>
  </si>
  <si>
    <t xml:space="preserve">    AND dpd_days &lt; 98</t>
  </si>
  <si>
    <t>),</t>
  </si>
  <si>
    <t>-- base with flags</t>
  </si>
  <si>
    <t>final_base AS (</t>
  </si>
  <si>
    <t xml:space="preserve">  SELECT d.* ,</t>
  </si>
  <si>
    <t xml:space="preserve">  FROM delq d </t>
  </si>
  <si>
    <t>Source_1 as</t>
  </si>
  <si>
    <t>(</t>
  </si>
  <si>
    <t xml:space="preserve">Select </t>
  </si>
  <si>
    <t>FBBID,</t>
  </si>
  <si>
    <t>Date_call as call_date,</t>
  </si>
  <si>
    <t>Call_type,</t>
  </si>
  <si>
    <t>Campaign,</t>
  </si>
  <si>
    <t>CAMPAIGN_TYPE,</t>
  </si>
  <si>
    <t>CONTACTED,</t>
  </si>
  <si>
    <t>Disposition,</t>
  </si>
  <si>
    <t>List_name,</t>
  </si>
  <si>
    <t>Dialer_status,</t>
  </si>
  <si>
    <t>DPD_BUCKET,</t>
  </si>
  <si>
    <t>--count(*) as call_attempts</t>
  </si>
  <si>
    <t>from analytics.credit.v_five9_call_log</t>
  </si>
  <si>
    <t>where date_call &lt; CURRENT_DATE</t>
  </si>
  <si>
    <t xml:space="preserve"> qualify row_number() over(</t>
  </si>
  <si>
    <t xml:space="preserve">         partition by fbbid </t>
  </si>
  <si>
    <t xml:space="preserve">         order by date_call desc,</t>
  </si>
  <si>
    <t xml:space="preserve">                  CASE </t>
  </si>
  <si>
    <t xml:space="preserve">                      WHEN TRIM(LOWER(disposition)) IN ('do not call','dnc','invalid number','bankruptcy','settlement accepted') THEN 1</t>
  </si>
  <si>
    <t xml:space="preserve">                      WHEN TRIM(LOWER(disposition)) IN ('d-promise to pay','promise to pay','b-payment','payment') THEN 2</t>
  </si>
  <si>
    <t xml:space="preserve">                      WHEN TRIM(LOWER(disposition)) IN ('f-rpc','rpc') THEN 3</t>
  </si>
  <si>
    <t xml:space="preserve">                      ELSE 4</t>
  </si>
  <si>
    <t xml:space="preserve">                  END ASC</t>
  </si>
  <si>
    <t xml:space="preserve">     ) = 1 </t>
  </si>
  <si>
    <t>--where campaign_type = 'Outbound'</t>
  </si>
  <si>
    <t xml:space="preserve">Source_2 as </t>
  </si>
  <si>
    <t>SELECT</t>
  </si>
  <si>
    <t xml:space="preserve">        cd.fbbid AS fbbid,</t>
  </si>
  <si>
    <t xml:space="preserve">        _data:"Fundbox_ID"::int AS dialer_fbbid,</t>
  </si>
  <si>
    <t xml:space="preserve">        _DATA:DNIS AS dialer_phone_number,</t>
  </si>
  <si>
    <t xml:space="preserve">        _data:DISPOSITION AS disposition,</t>
  </si>
  <si>
    <t xml:space="preserve">        CASE </t>
  </si>
  <si>
    <t xml:space="preserve">            WHEN TRIM(LOWER(disposition)) LIKE '%promise to pay%' OR TRIM(LOWER(disposition)) LIKE '%ptp%' THEN 'PTP'</t>
  </si>
  <si>
    <t xml:space="preserve">            WHEN TRIM(LOWER(disposition)) LIKE '%payment%' THEN 'Payment'</t>
  </si>
  <si>
    <t xml:space="preserve">            WHEN TRIM(LOWER(disposition)) LIKE '%settlement%' THEN 'Settlement'</t>
  </si>
  <si>
    <t xml:space="preserve">            when TRIM(LOWER(disposition)) LIKE '%invalid number%' THEN 'Invalid Number'</t>
  </si>
  <si>
    <t xml:space="preserve">            WHEN TRIM(LOWER(disposition)) LIKE '%no answer%' OR TRIM(LOWER(disposition)) LIKE '%not answer%' </t>
  </si>
  <si>
    <t xml:space="preserve">                 OR TRIM(LOWER(disposition)) LIKE '%voicemail%' OR TRIM(LOWER(disposition)) LIKE '%answering machine%' </t>
  </si>
  <si>
    <t xml:space="preserve">                 OR TRIM(LOWER(disposition)) LIKE '%hangup%' OR TRIM(LOWER(disposition)) LIKE '%busy%' </t>
  </si>
  <si>
    <t xml:space="preserve">                 OR TRIM(LOWER(disposition)) LIKE '%abandon%' OR TRIM(LOWER(disposition)) LIKE '%dial error%' </t>
  </si>
  <si>
    <t xml:space="preserve">                 OR TRIM(LOWER(disposition)) LIKE '%caller disconnected%' </t>
  </si>
  <si>
    <t xml:space="preserve">                 THEN 'No Answer'</t>
  </si>
  <si>
    <t xml:space="preserve">            WHEN TRIM(LOWER(disposition)) LIKE '%no disposition%' THEN 'No Disposition'</t>
  </si>
  <si>
    <t xml:space="preserve">            WHEN TRIM(LOWER(disposition)) LIKE '%rpc%' THEN 'RPC'</t>
  </si>
  <si>
    <t xml:space="preserve">            ELSE 'Others'</t>
  </si>
  <si>
    <t xml:space="preserve">        END AS customer_call_outcome,</t>
  </si>
  <si>
    <t xml:space="preserve">        TO_DATE(_data:"DATE"::VARCHAR, 'YYYY/MM/DD') AS call_date,</t>
  </si>
  <si>
    <t xml:space="preserve">        _data:CAMPAIGN AS campaign,</t>
  </si>
  <si>
    <t xml:space="preserve">        _data:"CALL TYPE" AS calltype,</t>
  </si>
  <si>
    <t xml:space="preserve">        _DATA:"CALL ID" AS call_id,</t>
  </si>
  <si>
    <t xml:space="preserve">        _DATA:CONTACTED::boolean AS contacted,</t>
  </si>
  <si>
    <t xml:space="preserve">                 OR TRIM(LOWER(disposition)) LIKE '%invalid number%' OR TRIM(LOWER(disposition)) LIKE '%caller disconnected%' </t>
  </si>
  <si>
    <t xml:space="preserve">                 THEN 0</t>
  </si>
  <si>
    <t xml:space="preserve">            ELSE 1</t>
  </si>
  <si>
    <t xml:space="preserve">        END AS disposition_contacted</t>
  </si>
  <si>
    <t xml:space="preserve">    FROM bi.public.customers_data cd</t>
  </si>
  <si>
    <t xml:space="preserve">    LEFT JOIN ANALYTICS.CREDIT.FIVE9_CALL_LOG_REPORT fr</t>
  </si>
  <si>
    <t xml:space="preserve">        ON REGEXP_REPLACE(cd.phone, '\\D', '') = _DATA:DNIS::string</t>
  </si>
  <si>
    <t xml:space="preserve">    WHERE TRIM(LOWER(_DATA:CAMPAIGN::string)) LIKE '%collections%'</t>
  </si>
  <si>
    <t xml:space="preserve">      AND TRIM(LOWER(_DATA:"CALL TYPE"::string)) IN ('outbound', 'manual')</t>
  </si>
  <si>
    <t xml:space="preserve">      and call_date &lt; CURRENT_DATE</t>
  </si>
  <si>
    <t xml:space="preserve">     qualify row_number() over(</t>
  </si>
  <si>
    <t xml:space="preserve">         order by call_date desc,</t>
  </si>
  <si>
    <t>-- source_3 for dispositions is created using tableau.credit.SETTLEMENT_MASTER_TABLE1_NEW (this is the table which is being created and used in current dialer script for call dispositions)</t>
  </si>
  <si>
    <t xml:space="preserve">source_3 as </t>
  </si>
  <si>
    <t xml:space="preserve">SELECT </t>
  </si>
  <si>
    <t>fbbid,</t>
  </si>
  <si>
    <t>dispostion as disposition ,</t>
  </si>
  <si>
    <t>last_ob_attempt_date as call_date</t>
  </si>
  <si>
    <t>from tableau.credit.SETTLEMENT_MASTER_TABLE1_NEW t</t>
  </si>
  <si>
    <t>where last_ob_attempt_date &lt; CURRENT_DATE</t>
  </si>
  <si>
    <t>qualify row_number() over(partition by fbbid order by last_ob_attempt_date desc) = 1</t>
  </si>
  <si>
    <t xml:space="preserve">source_4 as </t>
  </si>
  <si>
    <t>TRY_TO_NUMBER(fundbox_id__c) AS fbbid,</t>
  </si>
  <si>
    <t>calldisposition as disposition ,</t>
  </si>
  <si>
    <t>LASTMODIFIEDDATE::DATE as call_date</t>
  </si>
  <si>
    <t>from external_data_sources.salesforce_nova.task sf</t>
  </si>
  <si>
    <t>where call_date &lt; CURRENT_DATE</t>
  </si>
  <si>
    <t>qualify row_number() over(</t>
  </si>
  <si>
    <t>-- In base data, now adding latest call dates and dispositions from all 4 datasets created above</t>
  </si>
  <si>
    <t>with_dialer as</t>
  </si>
  <si>
    <t xml:space="preserve">select </t>
  </si>
  <si>
    <t xml:space="preserve">    base.*,</t>
  </si>
  <si>
    <t xml:space="preserve">    -- Source 1 data</t>
  </si>
  <si>
    <t xml:space="preserve">    s1.disposition as s1_disposition,</t>
  </si>
  <si>
    <t xml:space="preserve">    s1.call_date as s1_call_date,</t>
  </si>
  <si>
    <t xml:space="preserve">    -- Source 2 data  </t>
  </si>
  <si>
    <t xml:space="preserve">    s2.disposition as s2_disposition,</t>
  </si>
  <si>
    <t xml:space="preserve">    s2.call_date as s2_call_date,</t>
  </si>
  <si>
    <t xml:space="preserve">    -- Source 3 data</t>
  </si>
  <si>
    <t xml:space="preserve">    s3.disposition as s3_disposition, </t>
  </si>
  <si>
    <t xml:space="preserve">    s3.call_date as s3_call_date,</t>
  </si>
  <si>
    <t xml:space="preserve">    -- Source 4 data</t>
  </si>
  <si>
    <t xml:space="preserve">    s4.disposition as s4_disposition,</t>
  </si>
  <si>
    <t xml:space="preserve">    s4.call_date as s4_call_date</t>
  </si>
  <si>
    <t xml:space="preserve">from final_base base </t>
  </si>
  <si>
    <t>left join Source_1 s1 on base.fbbid = s1.fbbid</t>
  </si>
  <si>
    <t xml:space="preserve">left join Source_2 s2 on base.fbbid = s2.fbbid  </t>
  </si>
  <si>
    <t>left join Source_3 s3 on base.fbbid = s3.fbbid</t>
  </si>
  <si>
    <t>left join Source_4 s4 on base.fbbid = s4.fbbid</t>
  </si>
  <si>
    <t>--Pulling all accounts from all sources where DNC has came in any point of time</t>
  </si>
  <si>
    <t>DNC_FBBIDS AS (</t>
  </si>
  <si>
    <t xml:space="preserve">    -- Source 1: analytics.credit.v_five9_call_log</t>
  </si>
  <si>
    <t xml:space="preserve">    SELECT</t>
  </si>
  <si>
    <t xml:space="preserve">        distinct FBBID,date_call</t>
  </si>
  <si>
    <t xml:space="preserve">    FROM analytics.credit.v_five9_call_log</t>
  </si>
  <si>
    <t xml:space="preserve">    WHERE date_call &lt; CURRENT_DATE</t>
  </si>
  <si>
    <t xml:space="preserve">      AND TRIM(LOWER(Disposition)) IN ('do not call', 'dnc')</t>
  </si>
  <si>
    <t xml:space="preserve">    UNION</t>
  </si>
  <si>
    <t xml:space="preserve">    -- Use UNION (distinct) here to automatically remove duplicate FBBIDs across sources.</t>
  </si>
  <si>
    <t xml:space="preserve">    -- Source 2: ANALYTICS.CREDIT.FIVE9_CALL_LOG_REPORT (via bi.public.customers_data)</t>
  </si>
  <si>
    <t xml:space="preserve">        distinct cd.fbbid AS fbbid,</t>
  </si>
  <si>
    <t xml:space="preserve">    WHERE call_date &lt; CURRENT_DATE</t>
  </si>
  <si>
    <t xml:space="preserve">      AND TRIM(LOWER(_data:DISPOSITION)) IN ('do not call', 'dnc')</t>
  </si>
  <si>
    <t xml:space="preserve">    -- Source 3: tableau.credit.SETTLEMENT_MASTER_TABLE1_NEW</t>
  </si>
  <si>
    <t xml:space="preserve">        distinct fbbid,last_ob_attempt_date </t>
  </si>
  <si>
    <t xml:space="preserve">    FROM tableau.credit.SETTLEMENT_MASTER_TABLE1_NEW</t>
  </si>
  <si>
    <t xml:space="preserve">    WHERE last_ob_attempt_date &lt; CURRENT_DATE</t>
  </si>
  <si>
    <t xml:space="preserve">      AND TRIM(LOWER(dispostion)) IN ('do not call', 'dnc')</t>
  </si>
  <si>
    <t xml:space="preserve">    -- Source 4: external_data_sources.salesforce_nova.task</t>
  </si>
  <si>
    <t xml:space="preserve">        distinct TRY_TO_NUMBER(fundbox_id__c) AS fbbid,lastmodifieddate</t>
  </si>
  <si>
    <t xml:space="preserve">    FROM external_data_sources.salesforce_nova.task</t>
  </si>
  <si>
    <t xml:space="preserve">    WHERE LASTMODIFIEDDATE::DATE &lt; CURRENT_DATE</t>
  </si>
  <si>
    <t xml:space="preserve">      AND TRIM(LOWER(calldisposition)) IN ('do not call', 'dnc')</t>
  </si>
  <si>
    <t xml:space="preserve">DNC_accounts as </t>
  </si>
  <si>
    <t xml:space="preserve">    distinct fbbid,date_call,</t>
  </si>
  <si>
    <t xml:space="preserve">    1 AS dnc_flag</t>
  </si>
  <si>
    <t>FROM DNC_FBBIDS</t>
  </si>
  <si>
    <t>GROUP BY 1,2</t>
  </si>
  <si>
    <t>qualify row_number() over(partition by fbbid order by date_call) = 1</t>
  </si>
  <si>
    <t>settlement_failed as (</t>
  </si>
  <si>
    <t>settlement_created_date,</t>
  </si>
  <si>
    <t>settlement_end_time,</t>
  </si>
  <si>
    <t>current_status,</t>
  </si>
  <si>
    <t>from analytics.credit.cjk_v_backy_settlements</t>
  </si>
  <si>
    <t>where current_status = 'FAILED'</t>
  </si>
  <si>
    <t>qualify row_number() over(partition by fbbid order by event_time desc) = 1</t>
  </si>
  <si>
    <t xml:space="preserve">--Creating flags for disposition, bankruptcy and settlement from all 4 data sources and creating a suppression flag based on latest available call disposition </t>
  </si>
  <si>
    <t>final_data AS (</t>
  </si>
  <si>
    <t xml:space="preserve">    f.*,</t>
  </si>
  <si>
    <t xml:space="preserve">    dacd.is_bankruptcy,</t>
  </si>
  <si>
    <t xml:space="preserve">    cfs.edate AS offer_date,</t>
  </si>
  <si>
    <t xml:space="preserve">    cfs.status_name, </t>
  </si>
  <si>
    <t xml:space="preserve">    cfs.status_value,</t>
  </si>
  <si>
    <t xml:space="preserve">    dnc.dnc_flag,</t>
  </si>
  <si>
    <t xml:space="preserve">    sf.current_status,</t>
  </si>
  <si>
    <t xml:space="preserve">    sf.settlement_end_time,</t>
  </si>
  <si>
    <t xml:space="preserve">    CASE WHEN (dnc.dnc_flag = 1) then 1 else 0 end as flag_is_dnc,</t>
  </si>
  <si>
    <t xml:space="preserve">    CASE WHEN (dacd.is_bankruptcy = 1 and dacd.bankruptcy_status not in ('DISMISSED_RESUME_COLLECTIONS')) THEN 1 ELSE 0 END AS flag_is_bankruptcy,</t>
  </si>
  <si>
    <t xml:space="preserve">    -- Source 1 suppression flags</t>
  </si>
  <si>
    <t xml:space="preserve">    CASE WHEN (TRIM(LOWER(s1_disposition)) IN ('do not call','dnc','invalid number','bankruptcy')) THEN 1 ELSE 0 END AS s1_flag_hard_disposition_exclusion,</t>
  </si>
  <si>
    <t xml:space="preserve">    CASE WHEN (TRIM(LOWER(s1_disposition)) IN ('settlement accepted')) and (sf.settlement_end_time is null or sf.settlement_end_time &lt;= s1_call_date) THEN 1 ELSE 0 END AS s1_flag_settlement_exclusion,</t>
  </si>
  <si>
    <t xml:space="preserve">    CASE WHEN (TRIM(LOWER(s1_disposition)) IN ('d-promise to pay','promise to pay') AND DATEDIFF(day, s1_call_date, f.edate) &lt;= 6) THEN 1 ELSE 0 END AS s1_flag_promise_pay_datediff,</t>
  </si>
  <si>
    <t xml:space="preserve">    CASE WHEN (TRIM(LOWER(s1_disposition)) IN ('f-rpc','rpc') AND DATEDIFF(day, s1_call_date, f.edate) &lt;=3) THEN 1 ELSE 0 END AS s1_flag_rpc_datediff,</t>
  </si>
  <si>
    <t xml:space="preserve">    CASE WHEN (TRIM(LOWER(s1_disposition)) IN ('b-payment','payment') AND (DATEDIFF(day, s1_call_date, f.edate) &lt;= 6)) THEN 1 ELSE 0 END AS s1_flag_payment_datediff,</t>
  </si>
  <si>
    <t xml:space="preserve">    CASE WHEN (s1_disposition) IN ('Third Party','G-Third Party') AND (DATEDIFF(day, s1_call_date, f.edate) &lt;= 6) THEN 1 ELSE 0 END AS s1_flag_third_party_datediff,</t>
  </si>
  <si>
    <t xml:space="preserve">    </t>
  </si>
  <si>
    <t xml:space="preserve">    -- Source 2 suppression flags</t>
  </si>
  <si>
    <t xml:space="preserve">    CASE WHEN (TRIM(LOWER(s2_disposition)) IN ('do not call','dnc','invalid number','bankruptcy')) THEN 1 ELSE 0 END AS s2_flag_hard_disposition_exclusion,</t>
  </si>
  <si>
    <t xml:space="preserve">        CASE WHEN (TRIM(LOWER(s2_disposition)) IN ('settlement accepted'))and (sf.settlement_end_time is null or sf.settlement_end_time &lt;= s2_call_date) THEN 1 ELSE 0 END AS s2_flag_settlement_exclusion,</t>
  </si>
  <si>
    <t xml:space="preserve">    CASE WHEN (TRIM(LOWER(s2_disposition)) IN ('d-promise to pay','promise to pay') AND DATEDIFF(day, s2_call_date, f.edate) &lt;= 6) THEN 1 ELSE 0 END AS s2_flag_promise_pay_datediff,</t>
  </si>
  <si>
    <t xml:space="preserve">    CASE WHEN (TRIM(LOWER(s2_disposition)) IN ('f-rpc','rpc') AND DATEDIFF(day, s2_call_date, f.edate) &lt;=3) THEN 1 ELSE 0 END AS s2_flag_rpc_datediff,</t>
  </si>
  <si>
    <t xml:space="preserve">    CASE WHEN (TRIM(LOWER(s2_disposition)) IN ('b-payment','payment','G-Third Party','Third Party') AND (DATEDIFF(day, s2_call_date, f.edate) &lt;= 6)) THEN 1 ELSE 0 END AS s2_flag_payment_datediff,</t>
  </si>
  <si>
    <t xml:space="preserve">        CASE WHEN ((s2_disposition)) IN ('"G-Third Party"','"Third Party"') AND (DATEDIFF(day, s2_call_date, f.edate) &lt;= 6) THEN 1 ELSE 0 END AS s2_flag_third_party_datediff,    </t>
  </si>
  <si>
    <t xml:space="preserve">    -- Source 3 suppression flags</t>
  </si>
  <si>
    <t xml:space="preserve">    CASE WHEN (TRIM(LOWER(s3_disposition)) IN ('do not call','dnc','invalid number','bankruptcy')) THEN 1 ELSE 0 END AS s3_flag_hard_disposition_exclusion,</t>
  </si>
  <si>
    <t xml:space="preserve">        CASE WHEN (TRIM(LOWER(s3_disposition)) IN ('settlement accepted'))and (sf.settlement_end_time is null or sf.settlement_end_time &lt;= s3_call_date) THEN 1 ELSE 0 END AS s3_flag_settlement_exclusion,</t>
  </si>
  <si>
    <t xml:space="preserve">    CASE WHEN (TRIM(LOWER(s3_disposition)) IN ('d-promise to pay','promise to pay') AND DATEDIFF(day, s3_call_date, f.edate) &lt;= 6) THEN 1 ELSE 0 END AS s3_flag_promise_pay_datediff,</t>
  </si>
  <si>
    <t xml:space="preserve">    CASE WHEN (TRIM(LOWER(s3_disposition)) IN ('f-rpc','rpc') AND DATEDIFF(day, s3_call_date, f.edate) &lt;=3) THEN 1 ELSE 0 END AS s3_flag_rpc_datediff,</t>
  </si>
  <si>
    <t xml:space="preserve">    CASE WHEN (TRIM(LOWER(s3_disposition)) IN ('b-payment','payment','G-Third Party','Third Party') AND (DATEDIFF(day, s3_call_date, f.edate) &lt;= 6)) THEN 1 ELSE 0 END AS s3_flag_payment_datediff,</t>
  </si>
  <si>
    <t xml:space="preserve">        CASE WHEN ((s3_disposition)) IN ('G-Third Party','Third Party') AND (DATEDIFF(day, s3_call_date, f.edate) &lt;= 6) THEN 1 ELSE 0 END AS s3_flag_third_party_datediff,</t>
  </si>
  <si>
    <t xml:space="preserve">    -- Source 4 suppression flags</t>
  </si>
  <si>
    <t xml:space="preserve">    CASE WHEN (TRIM(LOWER(s4_disposition)) IN ('do not call','dnc','invalid number','bankruptcy')) THEN 1 ELSE 0 END AS s4_flag_hard_disposition_exclusion,</t>
  </si>
  <si>
    <t xml:space="preserve">        CASE WHEN (TRIM(LOWER(s4_disposition)) IN ('settlement accepted')) and (sf.settlement_end_time is null or sf.settlement_end_time &lt;= s4_call_date) THEN 1 ELSE 0 END AS s4_flag_settlement_exclusion,</t>
  </si>
  <si>
    <t xml:space="preserve">    CASE WHEN (TRIM(LOWER(s4_disposition)) IN ('d-promise to pay','promise to pay') AND DATEDIFF(day, s4_call_date, f.edate) &lt;= 6) THEN 1 ELSE 0 END AS s4_flag_promise_pay_datediff,</t>
  </si>
  <si>
    <t xml:space="preserve">    CASE WHEN (TRIM(LOWER(s4_disposition)) IN ('f-rpc','rpc') AND DATEDIFF(day, s4_call_date, f.edate) &lt;=3) THEN 1 ELSE 0 END AS s4_flag_rpc_datediff,</t>
  </si>
  <si>
    <t xml:space="preserve">    CASE WHEN (TRIM(LOWER(s4_disposition)) IN ('b-payment','payment','G-Third Party','Third Party') AND (DATEDIFF(day, s4_call_date, f.edate) &lt;= 6)) THEN 1 ELSE 0 END AS s4_flag_payment_datediff,</t>
  </si>
  <si>
    <t xml:space="preserve">        CASE WHEN ((s4_disposition)) IN ('G-Third Party','Third Party') AND (DATEDIFF(day, s4_call_date, f.edate) &lt;= 6) THEN 1 ELSE 0 END AS s4_flag_third_party_datediff,</t>
  </si>
  <si>
    <t xml:space="preserve">    -- Combined suppression flag - 1 if any source has any suppression flag as 1</t>
  </si>
  <si>
    <t xml:space="preserve">    CASE </t>
  </si>
  <si>
    <t xml:space="preserve">        WHEN (</t>
  </si>
  <si>
    <t xml:space="preserve">            s1_flag_hard_disposition_exclusion + s1_flag_promise_pay_datediff + s1_flag_rpc_datediff + s1_flag_payment_datediff + s1_flag_settlement_exclusion + s1_flag_third_party_datediff +</t>
  </si>
  <si>
    <t xml:space="preserve">            s2_flag_hard_disposition_exclusion + s2_flag_promise_pay_datediff + s2_flag_rpc_datediff + s2_flag_payment_datediff + s2_flag_settlement_exclusion + s2_flag_third_party_datediff +</t>
  </si>
  <si>
    <t xml:space="preserve">            s3_flag_hard_disposition_exclusion + s3_flag_promise_pay_datediff + s3_flag_rpc_datediff + s3_flag_payment_datediff + s3_flag_settlement_exclusion + s3_flag_third_party_datediff +</t>
  </si>
  <si>
    <t xml:space="preserve">            s4_flag_hard_disposition_exclusion + s4_flag_promise_pay_datediff + s4_flag_rpc_datediff + s4_flag_payment_datediff +s4_flag_settlement_exclusion + s4_flag_third_party_datediff</t>
  </si>
  <si>
    <t xml:space="preserve">        ) &gt;= 1 THEN 1 </t>
  </si>
  <si>
    <t xml:space="preserve">        ELSE 0 </t>
  </si>
  <si>
    <t xml:space="preserve">    END AS combined_suppression_flag,</t>
  </si>
  <si>
    <t xml:space="preserve">        WHEN (  </t>
  </si>
  <si>
    <t xml:space="preserve">            flag_is_bankruptcy +</t>
  </si>
  <si>
    <t xml:space="preserve">            combined_suppression_flag +</t>
  </si>
  <si>
    <t xml:space="preserve">            flag_is_dnc            </t>
  </si>
  <si>
    <t xml:space="preserve">        ) &gt;=1 then 0</t>
  </si>
  <si>
    <t xml:space="preserve">        when cfs.fbbid is not null then 0</t>
  </si>
  <si>
    <t xml:space="preserve">        when  (TRIM(LOWER(partner_attribution)) = 'autobooks' or TRIM(LOWER(partner_attribution)) LIKE 'stripe_au_mca' ) then 0</t>
  </si>
  <si>
    <t xml:space="preserve">        ELSE 1</t>
  </si>
  <si>
    <t xml:space="preserve">    END AS final_inclusion_flag</t>
  </si>
  <si>
    <t>FROM with_dialer f</t>
  </si>
  <si>
    <t>LEFT JOIN tableau.credit.SETTLEMENT_MASTER_TABLE1_NEW t</t>
  </si>
  <si>
    <t>ON f.fbbid=t.fbbid</t>
  </si>
  <si>
    <t xml:space="preserve">left join bi.public.daily_approved_customers_data dacd </t>
  </si>
  <si>
    <t>on f.fbbid = dacd.fbbid and f.edate = dacd.edate</t>
  </si>
  <si>
    <t xml:space="preserve">left join </t>
  </si>
  <si>
    <t xml:space="preserve">(SELECT FBBID, EDATE, status_name, status_group, status_value   </t>
  </si>
  <si>
    <t>FROM bi.finance.customer_finance_statuses WHERE TRIM(LOWER(status_group)) = 'discounted_settlement'</t>
  </si>
  <si>
    <t>and TRIM(LOWER(status_name)) = 'settlement_status'</t>
  </si>
  <si>
    <t>qualify row_number() over(partition by fbbid order by EDATE desc) = 1</t>
  </si>
  <si>
    <t>) cfs</t>
  </si>
  <si>
    <t>on f.fbbid = cfs.fbbid</t>
  </si>
  <si>
    <t>and TRIM(LOWER(status_group)) = 'discounted_settlement'</t>
  </si>
  <si>
    <t>left join dnc_accounts dnc</t>
  </si>
  <si>
    <t>on f.fbbid = dnc.fbbid</t>
  </si>
  <si>
    <t>left join settlement_failed sf</t>
  </si>
  <si>
    <t>on f.fbbid = sf.fbbid</t>
  </si>
  <si>
    <t>-- Select * from final_data where  fbbid =1090306 ;</t>
  </si>
  <si>
    <t>-- (</t>
  </si>
  <si>
    <t>-- )</t>
  </si>
  <si>
    <t>-- data created in below step is loaded into dialer audit list on tableau and below suppression flags are applied on tableau dashboard before publishing</t>
  </si>
  <si>
    <t>-- Flags on tableau dashboard from below data:</t>
  </si>
  <si>
    <t>-- 1. FLAG_IS_BANKRUPTCY=0 (if the customer is bankrupt, then he is not included in the dialer audit list)</t>
  </si>
  <si>
    <t>-- 2. FLag_IS_Settled=0 (if the customer is settled, then he is not included in the dialer audit list)</t>
  </si>
  <si>
    <t>-- 3. FINAL_INCLUSION_FLAG=1 (if the customer is not suppressed by any of the suppression, then he is included in the dialer audit list)</t>
  </si>
  <si>
    <t>-- 4. DIALER_PRESENT_FLAG=0 (if the customer is present in the current dialer inventory, then he is not included in the dialer audit list)</t>
  </si>
  <si>
    <t>-- 5. DNC_FLag = 0(if the customer is DNC, then he is not included in the dialer audit list)</t>
  </si>
  <si>
    <t>Select distinct</t>
  </si>
  <si>
    <t>edate,</t>
  </si>
  <si>
    <t>dpd_days::INTEGER AS dpd_days,</t>
  </si>
  <si>
    <t>TRY_TO_NUMBER(dpd_bucket::VARCHAR) AS dpd_bucket,</t>
  </si>
  <si>
    <t>partner_attribution,</t>
  </si>
  <si>
    <t>OUTSTANDING_BALANCE_DUE as current_os,</t>
  </si>
  <si>
    <t>s1_disposition,</t>
  </si>
  <si>
    <t>s2_disposition,</t>
  </si>
  <si>
    <t>s3_disposition,</t>
  </si>
  <si>
    <t>s4_disposition,</t>
  </si>
  <si>
    <t>REGEXP_REPLACE(original_phone_number, '[^0-9]', '') as original_phone_number,</t>
  </si>
  <si>
    <t>Business_Addr1_ZIP5,</t>
  </si>
  <si>
    <t>s1_call_date as s1_last_disposition_date,</t>
  </si>
  <si>
    <t>s2_call_date as s2_last_disposition_date,</t>
  </si>
  <si>
    <t>s3_call_date as s3_last_disposition_date,</t>
  </si>
  <si>
    <t>s4_call_date as s4_last_disposition_date,</t>
  </si>
  <si>
    <t>CASE WHEN s1_flag_hard_disposition_exclusion = 1 THEN 1</t>
  </si>
  <si>
    <t xml:space="preserve">    When s1_flag_settlement_exclusion =1 Then 1</t>
  </si>
  <si>
    <t xml:space="preserve">    WHEN s1_flag_promise_pay_datediff = 1 THEN 1</t>
  </si>
  <si>
    <t xml:space="preserve">    WHEN s1_flag_rpc_datediff = 1 THEN 1</t>
  </si>
  <si>
    <t xml:space="preserve">    WHEN s1_flag_payment_datediff = 1 THEN 1</t>
  </si>
  <si>
    <t xml:space="preserve">    when s1_flag_third_party_datediff = 1 Then 1</t>
  </si>
  <si>
    <t xml:space="preserve">    ELSE 0</t>
  </si>
  <si>
    <t>END AS s1_suppression_flag,</t>
  </si>
  <si>
    <t>CASE WHEN s2_flag_hard_disposition_exclusion = 1 THEN 1</t>
  </si>
  <si>
    <t xml:space="preserve">    WHEN s2_flag_settlement_exclusion =1 Then 1 </t>
  </si>
  <si>
    <t xml:space="preserve">    WHEN s2_flag_promise_pay_datediff = 1 THEN 1</t>
  </si>
  <si>
    <t xml:space="preserve">    WHEN s2_flag_rpc_datediff = 1 THEN 1</t>
  </si>
  <si>
    <t xml:space="preserve">    WHEN s2_flag_payment_datediff = 1 THEN 1</t>
  </si>
  <si>
    <t xml:space="preserve">    WHEN s2_flag_third_party_datediff = 1 Then 1</t>
  </si>
  <si>
    <t>END AS s2_suppression_flag,</t>
  </si>
  <si>
    <t>CASE WHEN s3_flag_hard_disposition_exclusion = 1 THEN 1</t>
  </si>
  <si>
    <t xml:space="preserve">    WHEN s3_flag_settlement_exclusion =1 Then 1 </t>
  </si>
  <si>
    <t xml:space="preserve">    WHEN s3_flag_promise_pay_datediff = 1 THEN 1</t>
  </si>
  <si>
    <t xml:space="preserve">    WHEN s3_flag_rpc_datediff = 1 THEN 1</t>
  </si>
  <si>
    <t xml:space="preserve">    WHEN s3_flag_payment_datediff = 1 THEN 1</t>
  </si>
  <si>
    <t xml:space="preserve">    WHEN s3_flag_third_party_datediff = 1 Then 1</t>
  </si>
  <si>
    <t>END AS s3_suppression_flag,</t>
  </si>
  <si>
    <t>CASE WHEN s4_flag_hard_disposition_exclusion = 1 THEN 1</t>
  </si>
  <si>
    <t xml:space="preserve">    WHEN s4_flag_settlement_exclusion =1 Then 1 </t>
  </si>
  <si>
    <t xml:space="preserve">    WHEN s4_flag_promise_pay_datediff = 1 THEN 1</t>
  </si>
  <si>
    <t xml:space="preserve">    WHEN s4_flag_rpc_datediff = 1 THEN 1</t>
  </si>
  <si>
    <t xml:space="preserve">    WHEN s4_flag_payment_datediff = 1 THEN 1</t>
  </si>
  <si>
    <t xml:space="preserve">    WHEN s4_flag_third_party_datediff = 1 Then 1</t>
  </si>
  <si>
    <t>END AS s4_suppression_flag,</t>
  </si>
  <si>
    <t>case when outstanding_balance_due &lt;5000 then '1.&lt;5k'</t>
  </si>
  <si>
    <t xml:space="preserve">    when outstanding_balance_due &gt;=5000 and outstanding_balance_due&lt;10000 then '2.5k-10k'</t>
  </si>
  <si>
    <t xml:space="preserve">    when outstanding_balance_due&gt;=10000 and outstanding_balance_due&lt;20000 then '3. 10k-20k'</t>
  </si>
  <si>
    <t xml:space="preserve">    else '20k+' end as OS_Principal_Bucket,</t>
  </si>
  <si>
    <t>case when OFFER_DATE is not null then 1 else 0 end as FLag_IS_Settled,</t>
  </si>
  <si>
    <t>FLAG_IS_BANKRUPTCY,</t>
  </si>
  <si>
    <t>FINAL_INCLUSION_FLAG,</t>
  </si>
  <si>
    <t>flag_is_dnc</t>
  </si>
  <si>
    <t>from final_data</t>
  </si>
  <si>
    <t>WHERE outstanding_balance_due&gt;0 ;</t>
  </si>
  <si>
    <t xml:space="preserve"> END;</t>
  </si>
  <si>
    <t xml:space="preserve"> </t>
  </si>
  <si>
    <t xml:space="preserve"> ALTER TASK TABLEAU.CREDIT.run_collections_dialer_audit_list_table RESUME;</t>
  </si>
  <si>
    <t xml:space="preserve"> Show tasks like 'run_collections_dialer_audit_list_table'</t>
  </si>
  <si>
    <t>&gt;&gt; Charge off dialer code</t>
  </si>
  <si>
    <t xml:space="preserve">    , max(charge_off_date) as charge_off_date</t>
  </si>
  <si>
    <t xml:space="preserve">    ,a.charge_off_date</t>
  </si>
  <si>
    <t xml:space="preserve">  WHERE a.is_charged_off_any = 1</t>
  </si>
  <si>
    <t>-- filtering for customers who are not sent to agency</t>
  </si>
  <si>
    <t xml:space="preserve">    , a.charge_off_date</t>
  </si>
  <si>
    <t xml:space="preserve">    , a.partner_attribution</t>
  </si>
  <si>
    <t xml:space="preserve">    , a.outstanding_balance_due_all_loans AS outstanding_balance_due</t>
  </si>
  <si>
    <t xml:space="preserve">    , a.Business_Addr1_ZIP5</t>
  </si>
  <si>
    <t xml:space="preserve">    ,a.original_phone_number</t>
  </si>
  <si>
    <t xml:space="preserve">    ,b.recovery_suggested_state</t>
  </si>
  <si>
    <t xml:space="preserve">    ,b.recovery_suggested_substate</t>
  </si>
  <si>
    <t xml:space="preserve">  FROM latest_per_cust a</t>
  </si>
  <si>
    <t xml:space="preserve">  left join bi.public.daily_approved_customers_data b</t>
  </si>
  <si>
    <t xml:space="preserve">  on a.fbbid = b.fbbid and a.edate= b.edate  </t>
  </si>
  <si>
    <t xml:space="preserve">  and recovery_max_suggested_state is not null</t>
  </si>
  <si>
    <t>-- Since this is audit script, we only want the customers who are not on current dialer inventory but should be</t>
  </si>
  <si>
    <t>-- Hence below logic from row 61 to 163 is used to create dataset labelld "dialer_inventor" that is customers who are already on the current dialer</t>
  </si>
  <si>
    <t>-- We will supress the customers from "delq" dataset who are present on the current "dialer_inventory" dataset</t>
  </si>
  <si>
    <t>-- This will give us only those customers who are not present on the current dialer inventory but should be.</t>
  </si>
  <si>
    <t>-- In the next step, we'll need to supress the customers based on their latest call dispositions and hence finally arrving at final audit list customers to be added to the dialer</t>
  </si>
  <si>
    <t>--Collection Dialer inventory logic for dpd 1-2</t>
  </si>
  <si>
    <t xml:space="preserve">  -- t2.dpd_bucket as dialer_bucket,</t>
  </si>
  <si>
    <t xml:space="preserve">  --   CASE WHEN (t2.fbbid IS NULL )THEN 0 ELSE 1 END AS dialer_present_flag,</t>
  </si>
  <si>
    <t xml:space="preserve">  --   CASE WHEN ((t2.last_ob_attempt_date IS NULL </t>
  </si>
  <si>
    <t xml:space="preserve">  -- OR t2.last_ob_attempt_date &lt; t2.last_delq_time::date) ) THEN 0 ELSE 1 END AS call_flag -- call_flag to determine if the customer has recieved a call after his latest deliqunecy update date (currently not being used in the logic)</t>
  </si>
  <si>
    <t xml:space="preserve">  -- LEFT JOIN dialer_inventory t2 </t>
  </si>
  <si>
    <t xml:space="preserve">  -- ON d.fbbid=t2.fbbid  </t>
  </si>
  <si>
    <t>-- Select * from final_base;</t>
  </si>
  <si>
    <t>-- where charge_off_date &gt;='2024-01-01' and recovery_suggested_substate is null;</t>
  </si>
  <si>
    <t>,Source_1 as</t>
  </si>
  <si>
    <t xml:space="preserve">latest_call AS </t>
  </si>
  <si>
    <t>l.*</t>
  </si>
  <si>
    <t xml:space="preserve">from </t>
  </si>
  <si>
    <t xml:space="preserve">    SELECT fbbid, call_date FROM Source_1</t>
  </si>
  <si>
    <t xml:space="preserve">    SELECT fbbid, call_date FROM Source_2</t>
  </si>
  <si>
    <t xml:space="preserve">    SELECT fbbid, call_date FROM Source_3</t>
  </si>
  <si>
    <t xml:space="preserve">    SELECT fbbid, call_date FROM Source_4</t>
  </si>
  <si>
    <t>)l</t>
  </si>
  <si>
    <t>qualify row_number() over(partition by fbbid order by call_date desc) = 1</t>
  </si>
  <si>
    <t>-- select * from latest_call where fbbid in (select fbbid from latest_call group by fbbid having count(*)&gt;1) order by fbbid;</t>
  </si>
  <si>
    <t>,with_dialer as</t>
  </si>
  <si>
    <t>where current_status in ('FAILED','CANCELLED') and settlement_created_date &gt;'2023-03-01'</t>
  </si>
  <si>
    <t>settlement_funded as (</t>
  </si>
  <si>
    <t xml:space="preserve">from analytics.credit.cjk_v_backy_settlements </t>
  </si>
  <si>
    <t>where current_status = 'FUNDED' and settlement_created_date &gt;'2023-03-01'</t>
  </si>
  <si>
    <t>settlement_processing as (</t>
  </si>
  <si>
    <t>CORRECTED_CREATED_TIME as settlement_created_date,</t>
  </si>
  <si>
    <t>where current_status = 'ACTIVE' and settlement_created_date &gt;'2023-03-01'</t>
  </si>
  <si>
    <t>with_payments as</t>
  </si>
  <si>
    <t>select a.fbbid,</t>
  </si>
  <si>
    <t>b.payment_total_amount,</t>
  </si>
  <si>
    <t>date(payment_last_status_change_time) as payment_last_status_change_time,</t>
  </si>
  <si>
    <t>datediff(month,date(payment_last_status_change_time),current_date) as months_since_last_payment</t>
  </si>
  <si>
    <t>from with_dialer a</t>
  </si>
  <si>
    <t>left join bi.finance.payments_data b</t>
  </si>
  <si>
    <t xml:space="preserve">on a.fbbid = b.fbbid </t>
  </si>
  <si>
    <t>and a.charge_off_date&lt;b.payment_last_status_change_time</t>
  </si>
  <si>
    <t>where payment_status = 'FUND'</t>
  </si>
  <si>
    <t>qualify row_number() over(partition by a.fbbid order by b.payment_last_status_change_time desc) = 1</t>
  </si>
  <si>
    <t xml:space="preserve">    dacd.bankruptcy_status,</t>
  </si>
  <si>
    <t xml:space="preserve">    sf.current_status as failed_status,</t>
  </si>
  <si>
    <t xml:space="preserve">    sp.settlement_created_date,</t>
  </si>
  <si>
    <t xml:space="preserve">    sp.current_status as active_current_status,</t>
  </si>
  <si>
    <t xml:space="preserve">    dacd.sub_product,</t>
  </si>
  <si>
    <t xml:space="preserve">    Case when dacd.sub_product = 'LOAN_API_TERM_LOAN' then 1 else 0 end Term_loan_exclusion,</t>
  </si>
  <si>
    <t xml:space="preserve">    case when sfu.settlement_end_time is not null then 1 else 0 end as settlement_funded_flag,</t>
  </si>
  <si>
    <t xml:space="preserve">    case </t>
  </si>
  <si>
    <t xml:space="preserve">    when (sp.settlement_created_date is not null and sf.settlement_end_time is null) then 1</t>
  </si>
  <si>
    <t xml:space="preserve">    when (sp.settlement_created_date &gt;= sf.settlement_end_time) then 1 else 0 end settlement_active_flag,</t>
  </si>
  <si>
    <t xml:space="preserve">    CASE WHEN (TRIM(LOWER(s1_disposition)) IN ('do not call','dnc','invalid number')) THEN 1 ELSE 0 END AS s1_flag_hard_disposition_exclusion,</t>
  </si>
  <si>
    <t xml:space="preserve">    CASE WHEN (TRIM(LOWER(s1_disposition)) IN ('settlement accepted')) and </t>
  </si>
  <si>
    <t xml:space="preserve">    (sp.settlement_created_date is not null and sp.settlement_created_date &gt;= s1_call_date) </t>
  </si>
  <si>
    <t xml:space="preserve">    and (sf.settlement_end_time is null or sf.settlement_end_time &lt;= s1_call_date and s1_call_date&gt;'2023-03-01') </t>
  </si>
  <si>
    <t xml:space="preserve">    AND (sf.settlement_end_time IS NULL OR sf.settlement_end_time &gt;= sp.settlement_created_date)</t>
  </si>
  <si>
    <t xml:space="preserve">    THEN 1 ELSE 0 END AS s1_flag_settlement_exclusion,</t>
  </si>
  <si>
    <t xml:space="preserve">    Case when ((TRIM(LOWER(s1_disposition)) = 'bankruptcy' and s1_call_date&gt;'2023-01-01') and (dacd.is_bankruptcy = 1 and dacd.bankruptcy_status not in ('DISMISSED_RESUME_COLLECTIONS'))) then 1 else 0 end as s1_flag_bankruptcy_exclusion,</t>
  </si>
  <si>
    <t xml:space="preserve">    CASE WHEN (TRIM(LOWER(s2_disposition)) IN ('do not call','dnc','invalid number')) THEN 1 ELSE 0 END AS s2_flag_hard_disposition_exclusion,</t>
  </si>
  <si>
    <t xml:space="preserve">        </t>
  </si>
  <si>
    <t xml:space="preserve">    WHEN (TRIM(LOWER(s2_disposition)) ilike ('%settlement accepted%'))</t>
  </si>
  <si>
    <t xml:space="preserve">    and (sp.settlement_created_date is not null and sp.settlement_created_date &gt;= s2_call_date) </t>
  </si>
  <si>
    <t xml:space="preserve">    and (sf.settlement_end_time is null or sf.settlement_end_time &lt;= s2_call_date and s2_call_date&gt;'2023-03-01') </t>
  </si>
  <si>
    <t xml:space="preserve">    THEN 1 ELSE 0 END AS s2_flag_settlement_exclusion,</t>
  </si>
  <si>
    <t xml:space="preserve">        CASE WHEN ((s2_disposition)) IN ('"G-Third Party"','"Third Party"') AND (DATEDIFF(day, s2_call_date, f.edate) &lt;= 6) THEN 1 ELSE 0 END AS s2_flag_third_party_datediff,</t>
  </si>
  <si>
    <t xml:space="preserve">            Case when ((TRIM(LOWER(s1_disposition)) = 'bankruptcy' and s2_call_date&gt;'2023-01-01') and (dacd.is_bankruptcy = 1 and dacd.bankruptcy_status not in ('DISMISSED_RESUME_COLLECTIONS'))) then 1 else 0 end as s2_flag_bankruptcy_exclusion,</t>
  </si>
  <si>
    <t xml:space="preserve">            </t>
  </si>
  <si>
    <t xml:space="preserve">    CASE WHEN (TRIM(LOWER(s3_disposition)) IN ('do not call','dnc','invalid number')) THEN 1 ELSE 0 END AS s3_flag_hard_disposition_exclusion,</t>
  </si>
  <si>
    <t xml:space="preserve">        CASE WHEN (TRIM(LOWER(s3_disposition)) ilike ('%A-Settlement accepted%'))and(sp.settlement_created_date is not null and sp.settlement_created_date &gt;= s3_call_date ) and (sf.settlement_end_time is null or sf.settlement_end_time &lt;= s3_call_date and s3_call_date&gt;'2023-03-01') AND (sf.settlement_end_time IS NULL OR sf.settlement_end_time &gt;= sp.settlement_created_date) THEN 1 ELSE 0 END AS s3_flag_settlement_exclusion,</t>
  </si>
  <si>
    <t xml:space="preserve">        Case when ((TRIM(LOWER(s1_disposition)) = 'bankruptcy' and s3_call_date&gt;'2023-01-01') and (dacd.is_bankruptcy = 1 and dacd.bankruptcy_status not in ('DISMISSED_RESUME_COLLECTIONS'))) then 1 else 0 end as s3_flag_bankruptcy_exclusion,</t>
  </si>
  <si>
    <t xml:space="preserve">    CASE WHEN (TRIM(LOWER(s4_disposition)) IN ('do not call','dnc','invalid number')) THEN 1 ELSE 0 END AS s4_flag_hard_disposition_exclusion,</t>
  </si>
  <si>
    <t xml:space="preserve">        CASE WHEN (TRIM(LOWER(s4_disposition)) IN ('settlement accepted','Settlement Payment')) and (sp.settlement_created_date is not null and sp.settlement_created_date &gt;= s4_call_date ) and (sf.settlement_end_time is null or sf.settlement_end_time &lt;= s4_call_date and s4_call_date&gt;'2023-03-01') AND (sf.settlement_end_time IS NULL OR sf.settlement_end_time &gt;= sp.settlement_created_date) THEN 1 ELSE 0 END AS s4_flag_settlement_exclusion,</t>
  </si>
  <si>
    <t xml:space="preserve">        Case when ((TRIM(LOWER(s1_disposition)) = 'bankruptcy' and s4_call_date&gt;'2023-01-01') and (dacd.is_bankruptcy = 1 and dacd.bankruptcy_status not in ('DISMISSED_RESUME_COLLECTIONS'))) then 1 else 0 end as s4_flag_bankruptcy_exclusion,</t>
  </si>
  <si>
    <t xml:space="preserve">            Term_loan_exclusion+ settlement_funded_flag + settlement_active_flag +</t>
  </si>
  <si>
    <t xml:space="preserve">            s1_flag_hard_disposition_exclusion + s1_flag_promise_pay_datediff + s1_flag_rpc_datediff + s1_flag_payment_datediff + s1_flag_settlement_exclusion + s1_flag_third_party_datediff +s1_flag_bankruptcy_exclusion+</t>
  </si>
  <si>
    <t xml:space="preserve">            s2_flag_hard_disposition_exclusion + s2_flag_promise_pay_datediff + s2_flag_rpc_datediff + s2_flag_payment_datediff + s2_flag_settlement_exclusion + s2_flag_third_party_datediff +s2_flag_bankruptcy_exclusion+</t>
  </si>
  <si>
    <t xml:space="preserve">            s3_flag_hard_disposition_exclusion + s3_flag_promise_pay_datediff + s3_flag_rpc_datediff + s3_flag_payment_datediff + s3_flag_settlement_exclusion + s3_flag_third_party_datediff +s3_flag_bankruptcy_exclusion+</t>
  </si>
  <si>
    <t xml:space="preserve">            s4_flag_hard_disposition_exclusion + s4_flag_promise_pay_datediff + s4_flag_rpc_datediff + s4_flag_payment_datediff +s4_flag_settlement_exclusion + s4_flag_third_party_datediff +s4_flag_bankruptcy_exclusion</t>
  </si>
  <si>
    <t xml:space="preserve">        --when cfs.fbbid is not null then 0</t>
  </si>
  <si>
    <t xml:space="preserve">    END AS final_inclusion_flag,</t>
  </si>
  <si>
    <t xml:space="preserve">    wp.payment_total_amount,</t>
  </si>
  <si>
    <t xml:space="preserve">    wp.payment_last_status_change_time,</t>
  </si>
  <si>
    <t xml:space="preserve">    wp.months_since_last_payment,</t>
  </si>
  <si>
    <t xml:space="preserve">    sfu.settlement_end_time as settlement_funded_date</t>
  </si>
  <si>
    <t xml:space="preserve">left join with_payments wp </t>
  </si>
  <si>
    <t>on f.fbbid = wp.fbbid</t>
  </si>
  <si>
    <t>left join settlement_funded sfu</t>
  </si>
  <si>
    <t>on f.fbbid = sfu.fbbid</t>
  </si>
  <si>
    <t>left join settlement_processing sp</t>
  </si>
  <si>
    <t>on f.fbbid = sp.fbbid</t>
  </si>
  <si>
    <t xml:space="preserve">final_table as </t>
  </si>
  <si>
    <t>charge_off_date,</t>
  </si>
  <si>
    <t>year(charge_off_date) as charge_off_year,</t>
  </si>
  <si>
    <t>recovery_suggested_state,</t>
  </si>
  <si>
    <t>recovery_suggested_substate,</t>
  </si>
  <si>
    <t>payment_total_amount,</t>
  </si>
  <si>
    <t>payment_last_status_change_time,</t>
  </si>
  <si>
    <t>months_since_last_payment,</t>
  </si>
  <si>
    <t xml:space="preserve">    when s1_flag_bankruptcy_exclusion = 1 then 1</t>
  </si>
  <si>
    <t xml:space="preserve">    when s2_flag_bankruptcy_exclusion = 1 then 1</t>
  </si>
  <si>
    <t xml:space="preserve">    When s3_flag_bankruptcy_exclusion = 1 then 1</t>
  </si>
  <si>
    <t xml:space="preserve">    When s4_flag_bankruptcy_exclusion = 1 then 1</t>
  </si>
  <si>
    <t>--case when OFFER_DATE is not null then 1 else 0 end as FLag_IS_Settled,</t>
  </si>
  <si>
    <t>flag_is_dnc,</t>
  </si>
  <si>
    <t>settlement_funded_date,</t>
  </si>
  <si>
    <t>failed_status,</t>
  </si>
  <si>
    <t>active_current_status</t>
  </si>
  <si>
    <t xml:space="preserve">WHERE outstanding_balance_due&gt;0 and RECOVERY_SUGGESTED_STATE not in ('ELR', 'EOL') </t>
  </si>
  <si>
    <t>--and dpd_bucket = 14</t>
  </si>
  <si>
    <t>and year(charge_off_date)  &gt;=2024</t>
  </si>
  <si>
    <t>final_table2 as</t>
  </si>
  <si>
    <t>select *,</t>
  </si>
  <si>
    <t xml:space="preserve">case </t>
  </si>
  <si>
    <t xml:space="preserve">    when current_os &lt;= 1000 then '1.0-1000'</t>
  </si>
  <si>
    <t xml:space="preserve">    when current_os &gt; 1000 and current_os &lt;= 2000 then '2.1001-2000'</t>
  </si>
  <si>
    <t xml:space="preserve">    when current_os &gt; 2000 and current_os &lt;= 3000 then '3.2001-3000'</t>
  </si>
  <si>
    <t xml:space="preserve">    when current_os &gt; 3000 and current_os &lt;= 5000 then '4.3001-5000'</t>
  </si>
  <si>
    <t xml:space="preserve">    when current_os &gt; 5000 and current_os &lt;= 10000 then '5.5000-10000' </t>
  </si>
  <si>
    <t xml:space="preserve">    else '6.10000+'</t>
  </si>
  <si>
    <t xml:space="preserve">    end as OS_bucket,</t>
  </si>
  <si>
    <t>case when settlement_end_time &gt; charge_off_date then 1 else 0 end as settlement_failed_flag,</t>
  </si>
  <si>
    <t>datediff(day,settlement_end_time,current_date) as days_since_failed_settlement,</t>
  </si>
  <si>
    <t>WHEN TRIM(LOWER(S1_DISPOSITION)) ilike '%payment%' or TRIM(LOWER(S1_DISPOSITION)) ilike '%promise to pay%'</t>
  </si>
  <si>
    <t>or TRIM(LOWER(S1_DISPOSITION)) ilike '%RPC%' or TRIM(LOWER(S1_DISPOSITION)) ilike '%settlement accepted%'</t>
  </si>
  <si>
    <t>or TRIM(LOWER(S1_DISPOSITION)) ilike '%Settlement payment%' then S1_LAST_DISPOSITION_DATE end as S1_rpc_date,</t>
  </si>
  <si>
    <t>WHEN TRIM(LOWER(S2_DISPOSITION)) ilike '%payment%' or TRIM(LOWER(S2_DISPOSITION)) ilike '%promise to pay%'</t>
  </si>
  <si>
    <t>or TRIM(LOWER(S2_DISPOSITION)) ilike '%RPC%' or TRIM(LOWER(S2_DISPOSITION)) ilike '%settlement accepted%'</t>
  </si>
  <si>
    <t>or TRIM(LOWER(S2_DISPOSITION)) ilike '%Settlement payment%' then S2_LAST_DISPOSITION_DATE end as S2_rpc_date,</t>
  </si>
  <si>
    <t>WHEN TRIM(LOWER(S3_DISPOSITION)) ilike '%payment%' or TRIM(LOWER(S3_DISPOSITION)) ilike '%promise to pay%'</t>
  </si>
  <si>
    <t>or TRIM(LOWER(S3_DISPOSITION)) ilike '%RPC%' or TRIM(LOWER(S3_DISPOSITION)) ilike '%settlement accepted%'</t>
  </si>
  <si>
    <t>or TRIM(LOWER(S3_DISPOSITION)) ilike '%Settlement payment%' then S3_LAST_DISPOSITION_DATE end as S3_rpc_date,</t>
  </si>
  <si>
    <t>WHEN TRIM(LOWER(S4_DISPOSITION)) ilike '%payment%' or TRIM(LOWER(S4_DISPOSITION)) ilike '%promise to pay%'</t>
  </si>
  <si>
    <t>or TRIM(LOWER(S4_DISPOSITION)) ilike '%RPC%' or TRIM(LOWER(S4_DISPOSITION)) ilike '%settlement accepted%'</t>
  </si>
  <si>
    <t xml:space="preserve">or TRIM(LOWER(S4_DISPOSITION)) ilike '%Settlement payment%' then S4_LAST_DISPOSITION_DATE end as S4_rpc_date  </t>
  </si>
  <si>
    <t>from final_table</t>
  </si>
  <si>
    <t xml:space="preserve">final_table3 as </t>
  </si>
  <si>
    <t>select l.*,</t>
  </si>
  <si>
    <t>datediff(day,rpc_date,current_date) as days_since_RPC,</t>
  </si>
  <si>
    <t>datediff(day,payment_last_status_change_time,current_date) as days_since_payment,</t>
  </si>
  <si>
    <t>case when payment_last_status_change_time&gt; charge_off_date then 1 else 0 end as payment_flag,</t>
  </si>
  <si>
    <t>case when rpc_date&gt; charge_off_date then 1 else 0 end as rpc_flag</t>
  </si>
  <si>
    <t xml:space="preserve">    (</t>
  </si>
  <si>
    <t xml:space="preserve">    select *,</t>
  </si>
  <si>
    <t xml:space="preserve">    greatest(s1_rpc_date,s2_rpc_date,s3_rpc_date,s4_rpc_date) as rpc_date</t>
  </si>
  <si>
    <t xml:space="preserve">    from final_table2</t>
  </si>
  <si>
    <t xml:space="preserve">    )l</t>
  </si>
  <si>
    <t>--select * from final_table3;</t>
  </si>
  <si>
    <t xml:space="preserve">,final_table4 as </t>
  </si>
  <si>
    <t>case when call_time_flag = 'Other' then 1 else 2 end as Call_group</t>
  </si>
  <si>
    <t xml:space="preserve">    (select a.*,</t>
  </si>
  <si>
    <t xml:space="preserve">    b.call_date,</t>
  </si>
  <si>
    <t xml:space="preserve">     -- Flag if call was Yesterday</t>
  </si>
  <si>
    <t xml:space="preserve">        WHEN b.call_date = CURRENT_DATE - 1 THEN 'Called Yesterday'        </t>
  </si>
  <si>
    <t xml:space="preserve">    -- Generic "Last Friday" logic regardless of today's date</t>
  </si>
  <si>
    <t xml:space="preserve">        WHEN b.call_date = DATE_TRUNC('WEEK', CURRENT_DATE) - 3 THEN 'Called Last Friday'      </t>
  </si>
  <si>
    <t xml:space="preserve">        ELSE 'Other'</t>
  </si>
  <si>
    <t xml:space="preserve">        END AS call_time_flag</t>
  </si>
  <si>
    <t xml:space="preserve">    from final_table3 a</t>
  </si>
  <si>
    <t xml:space="preserve">    left join latest_call b</t>
  </si>
  <si>
    <t xml:space="preserve">    on a.fbbid = b.fbbid</t>
  </si>
  <si>
    <t>flags as</t>
  </si>
  <si>
    <t>row_number() over(order by priority_flag asc, current_os desc) as priority_flag_final</t>
  </si>
  <si>
    <t xml:space="preserve">    when call_group = 1 then 1</t>
  </si>
  <si>
    <t xml:space="preserve">    when rpc_flag = 1 and payment_flag = 1 and SETTLEMENT_FAILED_FLAG = 1 then 2</t>
  </si>
  <si>
    <t xml:space="preserve">    when SETTLEMENT_FAILED_FLAG = 1 and payment_flag = 1 and rpc_flag =0 then 3</t>
  </si>
  <si>
    <t xml:space="preserve">    when SETTLEMENT_FAILED_FLAG = 1 and payment_flag = 0 and rpc_flag =0 then 4</t>
  </si>
  <si>
    <t xml:space="preserve">    when SETTLEMENT_FAILED_FLAG = 0 and payment_flag = 1 and rpc_flag =1 then 5</t>
  </si>
  <si>
    <t xml:space="preserve">    when SETTLEMENT_FAILED_FLAG = 1 and payment_flag = 0 and rpc_flag =0 then 6</t>
  </si>
  <si>
    <t xml:space="preserve">    when SETTLEMENT_FAILED_FLAG = 0 and payment_flag = 1 and rpc_flag =0 then 7</t>
  </si>
  <si>
    <t xml:space="preserve">    when SETTLEMENT_FAILED_FLAG = 0 and payment_flag = 0 and rpc_flag =1 then 8</t>
  </si>
  <si>
    <t xml:space="preserve">    when SETTLEMENT_FAILED_FLAG = 0 and payment_flag = 0 and rpc_flag = 0 then 9</t>
  </si>
  <si>
    <t xml:space="preserve">    else 10 end as priority_flag</t>
  </si>
  <si>
    <t xml:space="preserve">    from final_table4</t>
  </si>
  <si>
    <t xml:space="preserve">    where charge_off_year &gt;=2024 </t>
  </si>
  <si>
    <t xml:space="preserve">    and final_inclusion_flag = 1</t>
  </si>
  <si>
    <t xml:space="preserve">select * from flags </t>
  </si>
  <si>
    <t>order by priority_flag_final;</t>
  </si>
  <si>
    <t>END;</t>
  </si>
  <si>
    <t xml:space="preserve"> -- Select * from tableau.credit.collections_dialer_charge_off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</si>
</sst>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18FD-E8C7-0A47-A0EF-721B0B202982}">
  <dimension ref="A1:C424"/>
  <sheetViews>
    <sheetView showGridLines="0" workbookViewId="0">
      <selection activeCell="A2" sqref="A2"/>
    </sheetView>
  </sheetViews>
  <sheetFormatPr baseColWidth="10" defaultRowHeight="16" x14ac:dyDescent="0.2"/>
  <cols>
    <col min="1" max="2" width="2.83203125" customWidth="1"/>
  </cols>
  <sheetData>
    <row r="1" spans="1:3" ht="27" x14ac:dyDescent="0.35">
      <c r="A1" s="1" t="s">
        <v>0</v>
      </c>
    </row>
    <row r="4" spans="1:3" x14ac:dyDescent="0.2">
      <c r="C4" t="s">
        <v>1</v>
      </c>
    </row>
    <row r="5" spans="1:3" x14ac:dyDescent="0.2">
      <c r="C5" t="s">
        <v>2</v>
      </c>
    </row>
    <row r="6" spans="1:3" x14ac:dyDescent="0.2">
      <c r="C6" t="s">
        <v>3</v>
      </c>
    </row>
    <row r="7" spans="1:3" x14ac:dyDescent="0.2">
      <c r="C7" t="s">
        <v>4</v>
      </c>
    </row>
    <row r="8" spans="1:3" x14ac:dyDescent="0.2">
      <c r="C8" t="s">
        <v>5</v>
      </c>
    </row>
    <row r="9" spans="1:3" x14ac:dyDescent="0.2">
      <c r="C9" t="s">
        <v>6</v>
      </c>
    </row>
    <row r="10" spans="1:3" x14ac:dyDescent="0.2">
      <c r="C10" t="s">
        <v>7</v>
      </c>
    </row>
    <row r="11" spans="1:3" x14ac:dyDescent="0.2">
      <c r="C11" t="s">
        <v>8</v>
      </c>
    </row>
    <row r="12" spans="1:3" x14ac:dyDescent="0.2">
      <c r="C12" t="s">
        <v>9</v>
      </c>
    </row>
    <row r="13" spans="1:3" x14ac:dyDescent="0.2">
      <c r="C13" t="s">
        <v>10</v>
      </c>
    </row>
    <row r="14" spans="1:3" x14ac:dyDescent="0.2">
      <c r="C14" t="s">
        <v>11</v>
      </c>
    </row>
    <row r="15" spans="1:3" x14ac:dyDescent="0.2">
      <c r="C15" t="s">
        <v>12</v>
      </c>
    </row>
    <row r="16" spans="1:3" x14ac:dyDescent="0.2">
      <c r="C16" t="s">
        <v>13</v>
      </c>
    </row>
    <row r="17" spans="3:3" x14ac:dyDescent="0.2">
      <c r="C17" t="s">
        <v>14</v>
      </c>
    </row>
    <row r="18" spans="3:3" x14ac:dyDescent="0.2">
      <c r="C18" t="s">
        <v>15</v>
      </c>
    </row>
    <row r="19" spans="3:3" x14ac:dyDescent="0.2">
      <c r="C19" t="s">
        <v>16</v>
      </c>
    </row>
    <row r="20" spans="3:3" x14ac:dyDescent="0.2">
      <c r="C20" t="s">
        <v>2</v>
      </c>
    </row>
    <row r="21" spans="3:3" x14ac:dyDescent="0.2">
      <c r="C21" t="s">
        <v>17</v>
      </c>
    </row>
    <row r="22" spans="3:3" x14ac:dyDescent="0.2">
      <c r="C22" t="s">
        <v>18</v>
      </c>
    </row>
    <row r="23" spans="3:3" x14ac:dyDescent="0.2">
      <c r="C23" t="s">
        <v>19</v>
      </c>
    </row>
    <row r="24" spans="3:3" x14ac:dyDescent="0.2">
      <c r="C24" t="s">
        <v>20</v>
      </c>
    </row>
    <row r="25" spans="3:3" x14ac:dyDescent="0.2">
      <c r="C25" t="s">
        <v>21</v>
      </c>
    </row>
    <row r="26" spans="3:3" x14ac:dyDescent="0.2">
      <c r="C26" t="s">
        <v>22</v>
      </c>
    </row>
    <row r="27" spans="3:3" x14ac:dyDescent="0.2">
      <c r="C27" t="s">
        <v>23</v>
      </c>
    </row>
    <row r="28" spans="3:3" x14ac:dyDescent="0.2">
      <c r="C28" t="s">
        <v>24</v>
      </c>
    </row>
    <row r="29" spans="3:3" x14ac:dyDescent="0.2">
      <c r="C29" t="s">
        <v>25</v>
      </c>
    </row>
    <row r="30" spans="3:3" x14ac:dyDescent="0.2">
      <c r="C30" t="s">
        <v>26</v>
      </c>
    </row>
    <row r="31" spans="3:3" x14ac:dyDescent="0.2">
      <c r="C31" t="s">
        <v>27</v>
      </c>
    </row>
    <row r="32" spans="3:3" x14ac:dyDescent="0.2">
      <c r="C32" t="s">
        <v>28</v>
      </c>
    </row>
    <row r="33" spans="3:3" x14ac:dyDescent="0.2">
      <c r="C33" t="s">
        <v>12</v>
      </c>
    </row>
    <row r="35" spans="3:3" x14ac:dyDescent="0.2">
      <c r="C35" t="s">
        <v>29</v>
      </c>
    </row>
    <row r="36" spans="3:3" x14ac:dyDescent="0.2">
      <c r="C36" t="s">
        <v>30</v>
      </c>
    </row>
    <row r="37" spans="3:3" x14ac:dyDescent="0.2">
      <c r="C37" t="s">
        <v>2</v>
      </c>
    </row>
    <row r="38" spans="3:3" x14ac:dyDescent="0.2">
      <c r="C38" t="s">
        <v>31</v>
      </c>
    </row>
    <row r="39" spans="3:3" x14ac:dyDescent="0.2">
      <c r="C39" t="s">
        <v>32</v>
      </c>
    </row>
    <row r="40" spans="3:3" x14ac:dyDescent="0.2">
      <c r="C40" t="s">
        <v>33</v>
      </c>
    </row>
    <row r="41" spans="3:3" x14ac:dyDescent="0.2">
      <c r="C41" t="s">
        <v>34</v>
      </c>
    </row>
    <row r="42" spans="3:3" x14ac:dyDescent="0.2">
      <c r="C42" t="s">
        <v>35</v>
      </c>
    </row>
    <row r="43" spans="3:3" x14ac:dyDescent="0.2">
      <c r="C43" t="s">
        <v>36</v>
      </c>
    </row>
    <row r="44" spans="3:3" x14ac:dyDescent="0.2">
      <c r="C44" t="s">
        <v>37</v>
      </c>
    </row>
    <row r="45" spans="3:3" x14ac:dyDescent="0.2">
      <c r="C45" t="s">
        <v>38</v>
      </c>
    </row>
    <row r="46" spans="3:3" x14ac:dyDescent="0.2">
      <c r="C46" t="s">
        <v>39</v>
      </c>
    </row>
    <row r="47" spans="3:3" x14ac:dyDescent="0.2">
      <c r="C47" t="s">
        <v>40</v>
      </c>
    </row>
    <row r="48" spans="3:3" x14ac:dyDescent="0.2">
      <c r="C48" t="s">
        <v>41</v>
      </c>
    </row>
    <row r="49" spans="3:3" x14ac:dyDescent="0.2">
      <c r="C49" t="s">
        <v>42</v>
      </c>
    </row>
    <row r="51" spans="3:3" x14ac:dyDescent="0.2">
      <c r="C51" t="s">
        <v>43</v>
      </c>
    </row>
    <row r="52" spans="3:3" x14ac:dyDescent="0.2">
      <c r="C52" t="s">
        <v>44</v>
      </c>
    </row>
    <row r="53" spans="3:3" x14ac:dyDescent="0.2">
      <c r="C53" t="s">
        <v>45</v>
      </c>
    </row>
    <row r="54" spans="3:3" x14ac:dyDescent="0.2">
      <c r="C54" t="s">
        <v>46</v>
      </c>
    </row>
    <row r="55" spans="3:3" x14ac:dyDescent="0.2">
      <c r="C55" t="s">
        <v>42</v>
      </c>
    </row>
    <row r="56" spans="3:3" x14ac:dyDescent="0.2">
      <c r="C56" t="e" cm="1">
        <f t="array" ref="C56">-- Consolidate call logs from four different data sources to ensure no disposition data is lost.</f>
        <v>#NAME?</v>
      </c>
    </row>
    <row r="57" spans="3:3" x14ac:dyDescent="0.2">
      <c r="C57" t="e" cm="1">
        <f t="array" ref="C57">-- source_1 for dispositions is created using analytics.credit.v_five9_call_log</f>
        <v>#NAME?</v>
      </c>
    </row>
    <row r="58" spans="3:3" x14ac:dyDescent="0.2">
      <c r="C58" t="s">
        <v>47</v>
      </c>
    </row>
    <row r="59" spans="3:3" x14ac:dyDescent="0.2">
      <c r="C59" t="s">
        <v>48</v>
      </c>
    </row>
    <row r="60" spans="3:3" x14ac:dyDescent="0.2">
      <c r="C60" t="s">
        <v>49</v>
      </c>
    </row>
    <row r="61" spans="3:3" x14ac:dyDescent="0.2">
      <c r="C61" t="s">
        <v>50</v>
      </c>
    </row>
    <row r="62" spans="3:3" x14ac:dyDescent="0.2">
      <c r="C62" t="s">
        <v>51</v>
      </c>
    </row>
    <row r="63" spans="3:3" x14ac:dyDescent="0.2">
      <c r="C63" t="s">
        <v>52</v>
      </c>
    </row>
    <row r="64" spans="3:3" x14ac:dyDescent="0.2">
      <c r="C64" t="s">
        <v>53</v>
      </c>
    </row>
    <row r="65" spans="3:3" x14ac:dyDescent="0.2">
      <c r="C65" t="s">
        <v>54</v>
      </c>
    </row>
    <row r="66" spans="3:3" x14ac:dyDescent="0.2">
      <c r="C66" t="s">
        <v>55</v>
      </c>
    </row>
    <row r="67" spans="3:3" x14ac:dyDescent="0.2">
      <c r="C67" t="s">
        <v>56</v>
      </c>
    </row>
    <row r="68" spans="3:3" x14ac:dyDescent="0.2">
      <c r="C68" t="s">
        <v>57</v>
      </c>
    </row>
    <row r="69" spans="3:3" x14ac:dyDescent="0.2">
      <c r="C69" t="s">
        <v>58</v>
      </c>
    </row>
    <row r="70" spans="3:3" x14ac:dyDescent="0.2">
      <c r="C70" t="s">
        <v>59</v>
      </c>
    </row>
    <row r="71" spans="3:3" x14ac:dyDescent="0.2">
      <c r="C71" t="s">
        <v>60</v>
      </c>
    </row>
    <row r="72" spans="3:3" x14ac:dyDescent="0.2">
      <c r="C72" t="s">
        <v>61</v>
      </c>
    </row>
    <row r="73" spans="3:3" x14ac:dyDescent="0.2">
      <c r="C73" t="s">
        <v>62</v>
      </c>
    </row>
    <row r="74" spans="3:3" x14ac:dyDescent="0.2">
      <c r="C74" t="e" cm="1">
        <f t="array" aca="1" ref="C74" ca="1">-- qualify row_number() over(partition by fbbid order by date_call desc) = 1</f>
        <v>#NAME?</v>
      </c>
    </row>
    <row r="75" spans="3:3" x14ac:dyDescent="0.2">
      <c r="C75" t="s">
        <v>63</v>
      </c>
    </row>
    <row r="76" spans="3:3" x14ac:dyDescent="0.2">
      <c r="C76" t="s">
        <v>64</v>
      </c>
    </row>
    <row r="77" spans="3:3" x14ac:dyDescent="0.2">
      <c r="C77" t="s">
        <v>65</v>
      </c>
    </row>
    <row r="78" spans="3:3" x14ac:dyDescent="0.2">
      <c r="C78" t="s">
        <v>66</v>
      </c>
    </row>
    <row r="79" spans="3:3" x14ac:dyDescent="0.2">
      <c r="C79" t="s">
        <v>67</v>
      </c>
    </row>
    <row r="80" spans="3:3" x14ac:dyDescent="0.2">
      <c r="C80" t="s">
        <v>68</v>
      </c>
    </row>
    <row r="81" spans="3:3" x14ac:dyDescent="0.2">
      <c r="C81" t="s">
        <v>69</v>
      </c>
    </row>
    <row r="82" spans="3:3" x14ac:dyDescent="0.2">
      <c r="C82" t="s">
        <v>70</v>
      </c>
    </row>
    <row r="83" spans="3:3" x14ac:dyDescent="0.2">
      <c r="C83" t="s">
        <v>71</v>
      </c>
    </row>
    <row r="84" spans="3:3" x14ac:dyDescent="0.2">
      <c r="C84" t="s">
        <v>72</v>
      </c>
    </row>
    <row r="85" spans="3:3" x14ac:dyDescent="0.2">
      <c r="C85" t="s">
        <v>73</v>
      </c>
    </row>
    <row r="86" spans="3:3" x14ac:dyDescent="0.2">
      <c r="C86" t="s">
        <v>42</v>
      </c>
    </row>
    <row r="88" spans="3:3" x14ac:dyDescent="0.2">
      <c r="C88" t="e" cm="1">
        <f t="array" ref="C88">-- source_2 for dispositions is created using ANALYTICS.CREDIT.FIVE9_CALL_LOG_REPORT</f>
        <v>#NAME?</v>
      </c>
    </row>
    <row r="89" spans="3:3" x14ac:dyDescent="0.2">
      <c r="C89" t="s">
        <v>74</v>
      </c>
    </row>
    <row r="90" spans="3:3" x14ac:dyDescent="0.2">
      <c r="C90" t="s">
        <v>48</v>
      </c>
    </row>
    <row r="91" spans="3:3" x14ac:dyDescent="0.2">
      <c r="C91" t="s">
        <v>75</v>
      </c>
    </row>
    <row r="92" spans="3:3" x14ac:dyDescent="0.2">
      <c r="C92" t="s">
        <v>76</v>
      </c>
    </row>
    <row r="93" spans="3:3" x14ac:dyDescent="0.2">
      <c r="C93" t="s">
        <v>77</v>
      </c>
    </row>
    <row r="94" spans="3:3" x14ac:dyDescent="0.2">
      <c r="C94" t="s">
        <v>78</v>
      </c>
    </row>
    <row r="95" spans="3:3" x14ac:dyDescent="0.2">
      <c r="C95" t="s">
        <v>79</v>
      </c>
    </row>
    <row r="96" spans="3:3" x14ac:dyDescent="0.2">
      <c r="C96" t="s">
        <v>80</v>
      </c>
    </row>
    <row r="97" spans="3:3" x14ac:dyDescent="0.2">
      <c r="C97" t="s">
        <v>81</v>
      </c>
    </row>
    <row r="98" spans="3:3" x14ac:dyDescent="0.2">
      <c r="C98" t="s">
        <v>82</v>
      </c>
    </row>
    <row r="99" spans="3:3" x14ac:dyDescent="0.2">
      <c r="C99" t="s">
        <v>83</v>
      </c>
    </row>
    <row r="100" spans="3:3" x14ac:dyDescent="0.2">
      <c r="C100" t="s">
        <v>84</v>
      </c>
    </row>
    <row r="101" spans="3:3" x14ac:dyDescent="0.2">
      <c r="C101" t="s">
        <v>85</v>
      </c>
    </row>
    <row r="102" spans="3:3" x14ac:dyDescent="0.2">
      <c r="C102" t="s">
        <v>86</v>
      </c>
    </row>
    <row r="103" spans="3:3" x14ac:dyDescent="0.2">
      <c r="C103" t="s">
        <v>87</v>
      </c>
    </row>
    <row r="104" spans="3:3" x14ac:dyDescent="0.2">
      <c r="C104" t="s">
        <v>88</v>
      </c>
    </row>
    <row r="105" spans="3:3" x14ac:dyDescent="0.2">
      <c r="C105" t="s">
        <v>89</v>
      </c>
    </row>
    <row r="106" spans="3:3" x14ac:dyDescent="0.2">
      <c r="C106" t="s">
        <v>90</v>
      </c>
    </row>
    <row r="107" spans="3:3" x14ac:dyDescent="0.2">
      <c r="C107" t="s">
        <v>91</v>
      </c>
    </row>
    <row r="108" spans="3:3" x14ac:dyDescent="0.2">
      <c r="C108" t="s">
        <v>92</v>
      </c>
    </row>
    <row r="109" spans="3:3" x14ac:dyDescent="0.2">
      <c r="C109" t="s">
        <v>93</v>
      </c>
    </row>
    <row r="110" spans="3:3" x14ac:dyDescent="0.2">
      <c r="C110" t="s">
        <v>94</v>
      </c>
    </row>
    <row r="111" spans="3:3" x14ac:dyDescent="0.2">
      <c r="C111" t="s">
        <v>95</v>
      </c>
    </row>
    <row r="112" spans="3:3" x14ac:dyDescent="0.2">
      <c r="C112" t="s">
        <v>96</v>
      </c>
    </row>
    <row r="113" spans="3:3" x14ac:dyDescent="0.2">
      <c r="C113" t="s">
        <v>97</v>
      </c>
    </row>
    <row r="114" spans="3:3" x14ac:dyDescent="0.2">
      <c r="C114" t="s">
        <v>98</v>
      </c>
    </row>
    <row r="115" spans="3:3" x14ac:dyDescent="0.2">
      <c r="C115" t="s">
        <v>99</v>
      </c>
    </row>
    <row r="116" spans="3:3" x14ac:dyDescent="0.2">
      <c r="C116" t="s">
        <v>80</v>
      </c>
    </row>
    <row r="117" spans="3:3" x14ac:dyDescent="0.2">
      <c r="C117" t="s">
        <v>85</v>
      </c>
    </row>
    <row r="118" spans="3:3" x14ac:dyDescent="0.2">
      <c r="C118" t="s">
        <v>86</v>
      </c>
    </row>
    <row r="119" spans="3:3" x14ac:dyDescent="0.2">
      <c r="C119" t="s">
        <v>87</v>
      </c>
    </row>
    <row r="120" spans="3:3" x14ac:dyDescent="0.2">
      <c r="C120" t="s">
        <v>88</v>
      </c>
    </row>
    <row r="121" spans="3:3" x14ac:dyDescent="0.2">
      <c r="C121" t="s">
        <v>100</v>
      </c>
    </row>
    <row r="122" spans="3:3" x14ac:dyDescent="0.2">
      <c r="C122" t="s">
        <v>101</v>
      </c>
    </row>
    <row r="123" spans="3:3" x14ac:dyDescent="0.2">
      <c r="C123" t="s">
        <v>102</v>
      </c>
    </row>
    <row r="124" spans="3:3" x14ac:dyDescent="0.2">
      <c r="C124" t="s">
        <v>103</v>
      </c>
    </row>
    <row r="125" spans="3:3" x14ac:dyDescent="0.2">
      <c r="C125" t="s">
        <v>104</v>
      </c>
    </row>
    <row r="126" spans="3:3" x14ac:dyDescent="0.2">
      <c r="C126" t="s">
        <v>105</v>
      </c>
    </row>
    <row r="127" spans="3:3" x14ac:dyDescent="0.2">
      <c r="C127" t="s">
        <v>106</v>
      </c>
    </row>
    <row r="128" spans="3:3" x14ac:dyDescent="0.2">
      <c r="C128" t="s">
        <v>107</v>
      </c>
    </row>
    <row r="129" spans="3:3" x14ac:dyDescent="0.2">
      <c r="C129" t="s">
        <v>108</v>
      </c>
    </row>
    <row r="130" spans="3:3" x14ac:dyDescent="0.2">
      <c r="C130" t="s">
        <v>109</v>
      </c>
    </row>
    <row r="131" spans="3:3" x14ac:dyDescent="0.2">
      <c r="C131" t="s">
        <v>110</v>
      </c>
    </row>
    <row r="132" spans="3:3" x14ac:dyDescent="0.2">
      <c r="C132" t="s">
        <v>64</v>
      </c>
    </row>
    <row r="133" spans="3:3" x14ac:dyDescent="0.2">
      <c r="C133" t="s">
        <v>111</v>
      </c>
    </row>
    <row r="134" spans="3:3" x14ac:dyDescent="0.2">
      <c r="C134" t="s">
        <v>66</v>
      </c>
    </row>
    <row r="135" spans="3:3" x14ac:dyDescent="0.2">
      <c r="C135" t="s">
        <v>67</v>
      </c>
    </row>
    <row r="136" spans="3:3" x14ac:dyDescent="0.2">
      <c r="C136" t="s">
        <v>68</v>
      </c>
    </row>
    <row r="137" spans="3:3" x14ac:dyDescent="0.2">
      <c r="C137" t="s">
        <v>69</v>
      </c>
    </row>
    <row r="138" spans="3:3" x14ac:dyDescent="0.2">
      <c r="C138" t="s">
        <v>70</v>
      </c>
    </row>
    <row r="139" spans="3:3" x14ac:dyDescent="0.2">
      <c r="C139" t="s">
        <v>71</v>
      </c>
    </row>
    <row r="140" spans="3:3" x14ac:dyDescent="0.2">
      <c r="C140" t="s">
        <v>72</v>
      </c>
    </row>
    <row r="141" spans="3:3" x14ac:dyDescent="0.2">
      <c r="C141" t="s">
        <v>42</v>
      </c>
    </row>
    <row r="143" spans="3:3" x14ac:dyDescent="0.2">
      <c r="C143" t="s">
        <v>112</v>
      </c>
    </row>
    <row r="144" spans="3:3" x14ac:dyDescent="0.2">
      <c r="C144" t="s">
        <v>113</v>
      </c>
    </row>
    <row r="145" spans="3:3" x14ac:dyDescent="0.2">
      <c r="C145" t="s">
        <v>48</v>
      </c>
    </row>
    <row r="146" spans="3:3" x14ac:dyDescent="0.2">
      <c r="C146" t="s">
        <v>114</v>
      </c>
    </row>
    <row r="147" spans="3:3" x14ac:dyDescent="0.2">
      <c r="C147" t="s">
        <v>115</v>
      </c>
    </row>
    <row r="148" spans="3:3" x14ac:dyDescent="0.2">
      <c r="C148" t="s">
        <v>116</v>
      </c>
    </row>
    <row r="149" spans="3:3" x14ac:dyDescent="0.2">
      <c r="C149" t="s">
        <v>117</v>
      </c>
    </row>
    <row r="150" spans="3:3" x14ac:dyDescent="0.2">
      <c r="C150" t="s">
        <v>118</v>
      </c>
    </row>
    <row r="151" spans="3:3" x14ac:dyDescent="0.2">
      <c r="C151" t="s">
        <v>119</v>
      </c>
    </row>
    <row r="152" spans="3:3" x14ac:dyDescent="0.2">
      <c r="C152" t="s">
        <v>120</v>
      </c>
    </row>
    <row r="153" spans="3:3" x14ac:dyDescent="0.2">
      <c r="C153" t="s">
        <v>42</v>
      </c>
    </row>
    <row r="155" spans="3:3" x14ac:dyDescent="0.2">
      <c r="C155" t="e" cm="1">
        <f t="array" ref="C155">-- source_4 for dispositions is created using external_data_sources.salesforce_nova.task</f>
        <v>#NAME?</v>
      </c>
    </row>
    <row r="156" spans="3:3" x14ac:dyDescent="0.2">
      <c r="C156" t="s">
        <v>121</v>
      </c>
    </row>
    <row r="157" spans="3:3" x14ac:dyDescent="0.2">
      <c r="C157" t="s">
        <v>48</v>
      </c>
    </row>
    <row r="158" spans="3:3" x14ac:dyDescent="0.2">
      <c r="C158" t="s">
        <v>114</v>
      </c>
    </row>
    <row r="159" spans="3:3" x14ac:dyDescent="0.2">
      <c r="C159" t="s">
        <v>122</v>
      </c>
    </row>
    <row r="160" spans="3:3" x14ac:dyDescent="0.2">
      <c r="C160" t="s">
        <v>123</v>
      </c>
    </row>
    <row r="161" spans="3:3" x14ac:dyDescent="0.2">
      <c r="C161" t="s">
        <v>124</v>
      </c>
    </row>
    <row r="162" spans="3:3" x14ac:dyDescent="0.2">
      <c r="C162" t="s">
        <v>125</v>
      </c>
    </row>
    <row r="163" spans="3:3" x14ac:dyDescent="0.2">
      <c r="C163" t="s">
        <v>126</v>
      </c>
    </row>
    <row r="164" spans="3:3" x14ac:dyDescent="0.2">
      <c r="C164" t="s">
        <v>127</v>
      </c>
    </row>
    <row r="165" spans="3:3" x14ac:dyDescent="0.2">
      <c r="C165" t="s">
        <v>64</v>
      </c>
    </row>
    <row r="166" spans="3:3" x14ac:dyDescent="0.2">
      <c r="C166" t="s">
        <v>111</v>
      </c>
    </row>
    <row r="167" spans="3:3" x14ac:dyDescent="0.2">
      <c r="C167" t="s">
        <v>66</v>
      </c>
    </row>
    <row r="168" spans="3:3" x14ac:dyDescent="0.2">
      <c r="C168" t="s">
        <v>67</v>
      </c>
    </row>
    <row r="169" spans="3:3" x14ac:dyDescent="0.2">
      <c r="C169" t="s">
        <v>68</v>
      </c>
    </row>
    <row r="170" spans="3:3" x14ac:dyDescent="0.2">
      <c r="C170" t="s">
        <v>69</v>
      </c>
    </row>
    <row r="171" spans="3:3" x14ac:dyDescent="0.2">
      <c r="C171" t="s">
        <v>70</v>
      </c>
    </row>
    <row r="172" spans="3:3" x14ac:dyDescent="0.2">
      <c r="C172" t="s">
        <v>71</v>
      </c>
    </row>
    <row r="173" spans="3:3" x14ac:dyDescent="0.2">
      <c r="C173" t="s">
        <v>72</v>
      </c>
    </row>
    <row r="174" spans="3:3" x14ac:dyDescent="0.2">
      <c r="C174" t="s">
        <v>42</v>
      </c>
    </row>
    <row r="175" spans="3:3" x14ac:dyDescent="0.2">
      <c r="C175" t="e" cm="1">
        <f t="array" ref="C175">--Mapping call logs from each source with Delinquent accounts</f>
        <v>#NAME?</v>
      </c>
    </row>
    <row r="176" spans="3:3" x14ac:dyDescent="0.2">
      <c r="C176" t="s">
        <v>128</v>
      </c>
    </row>
    <row r="177" spans="3:3" x14ac:dyDescent="0.2">
      <c r="C177" t="s">
        <v>129</v>
      </c>
    </row>
    <row r="178" spans="3:3" x14ac:dyDescent="0.2">
      <c r="C178" t="s">
        <v>48</v>
      </c>
    </row>
    <row r="179" spans="3:3" x14ac:dyDescent="0.2">
      <c r="C179" t="s">
        <v>130</v>
      </c>
    </row>
    <row r="180" spans="3:3" x14ac:dyDescent="0.2">
      <c r="C180" t="s">
        <v>131</v>
      </c>
    </row>
    <row r="181" spans="3:3" x14ac:dyDescent="0.2">
      <c r="C181" t="s">
        <v>132</v>
      </c>
    </row>
    <row r="182" spans="3:3" x14ac:dyDescent="0.2">
      <c r="C182" t="s">
        <v>133</v>
      </c>
    </row>
    <row r="183" spans="3:3" x14ac:dyDescent="0.2">
      <c r="C183" t="s">
        <v>134</v>
      </c>
    </row>
    <row r="184" spans="3:3" x14ac:dyDescent="0.2">
      <c r="C184" t="s">
        <v>135</v>
      </c>
    </row>
    <row r="185" spans="3:3" x14ac:dyDescent="0.2">
      <c r="C185" t="s">
        <v>136</v>
      </c>
    </row>
    <row r="186" spans="3:3" x14ac:dyDescent="0.2">
      <c r="C186" t="s">
        <v>137</v>
      </c>
    </row>
    <row r="187" spans="3:3" x14ac:dyDescent="0.2">
      <c r="C187" t="s">
        <v>138</v>
      </c>
    </row>
    <row r="188" spans="3:3" x14ac:dyDescent="0.2">
      <c r="C188" t="s">
        <v>139</v>
      </c>
    </row>
    <row r="189" spans="3:3" x14ac:dyDescent="0.2">
      <c r="C189" t="s">
        <v>140</v>
      </c>
    </row>
    <row r="190" spans="3:3" x14ac:dyDescent="0.2">
      <c r="C190" t="s">
        <v>141</v>
      </c>
    </row>
    <row r="191" spans="3:3" x14ac:dyDescent="0.2">
      <c r="C191" t="s">
        <v>142</v>
      </c>
    </row>
    <row r="192" spans="3:3" x14ac:dyDescent="0.2">
      <c r="C192" t="s">
        <v>143</v>
      </c>
    </row>
    <row r="193" spans="3:3" x14ac:dyDescent="0.2">
      <c r="C193" t="s">
        <v>144</v>
      </c>
    </row>
    <row r="194" spans="3:3" x14ac:dyDescent="0.2">
      <c r="C194" t="s">
        <v>145</v>
      </c>
    </row>
    <row r="195" spans="3:3" x14ac:dyDescent="0.2">
      <c r="C195" t="s">
        <v>146</v>
      </c>
    </row>
    <row r="196" spans="3:3" x14ac:dyDescent="0.2">
      <c r="C196" t="s">
        <v>147</v>
      </c>
    </row>
    <row r="197" spans="3:3" x14ac:dyDescent="0.2">
      <c r="C197" t="s">
        <v>148</v>
      </c>
    </row>
    <row r="198" spans="3:3" x14ac:dyDescent="0.2">
      <c r="C198" t="s">
        <v>42</v>
      </c>
    </row>
    <row r="199" spans="3:3" x14ac:dyDescent="0.2">
      <c r="C199" t="s">
        <v>149</v>
      </c>
    </row>
    <row r="200" spans="3:3" x14ac:dyDescent="0.2">
      <c r="C200" t="s">
        <v>150</v>
      </c>
    </row>
    <row r="201" spans="3:3" x14ac:dyDescent="0.2">
      <c r="C201" t="s">
        <v>151</v>
      </c>
    </row>
    <row r="202" spans="3:3" x14ac:dyDescent="0.2">
      <c r="C202" t="s">
        <v>152</v>
      </c>
    </row>
    <row r="203" spans="3:3" x14ac:dyDescent="0.2">
      <c r="C203" t="s">
        <v>153</v>
      </c>
    </row>
    <row r="204" spans="3:3" x14ac:dyDescent="0.2">
      <c r="C204" t="s">
        <v>154</v>
      </c>
    </row>
    <row r="205" spans="3:3" x14ac:dyDescent="0.2">
      <c r="C205" t="s">
        <v>155</v>
      </c>
    </row>
    <row r="206" spans="3:3" x14ac:dyDescent="0.2">
      <c r="C206" t="s">
        <v>156</v>
      </c>
    </row>
    <row r="208" spans="3:3" x14ac:dyDescent="0.2">
      <c r="C208" t="s">
        <v>157</v>
      </c>
    </row>
    <row r="209" spans="3:3" x14ac:dyDescent="0.2">
      <c r="C209" t="s">
        <v>158</v>
      </c>
    </row>
    <row r="211" spans="3:3" x14ac:dyDescent="0.2">
      <c r="C211" t="s">
        <v>159</v>
      </c>
    </row>
    <row r="212" spans="3:3" x14ac:dyDescent="0.2">
      <c r="C212" t="s">
        <v>152</v>
      </c>
    </row>
    <row r="213" spans="3:3" x14ac:dyDescent="0.2">
      <c r="C213" t="s">
        <v>160</v>
      </c>
    </row>
    <row r="214" spans="3:3" x14ac:dyDescent="0.2">
      <c r="C214" t="s">
        <v>95</v>
      </c>
    </row>
    <row r="215" spans="3:3" x14ac:dyDescent="0.2">
      <c r="C215" t="s">
        <v>104</v>
      </c>
    </row>
    <row r="216" spans="3:3" x14ac:dyDescent="0.2">
      <c r="C216" t="s">
        <v>105</v>
      </c>
    </row>
    <row r="217" spans="3:3" x14ac:dyDescent="0.2">
      <c r="C217" t="s">
        <v>106</v>
      </c>
    </row>
    <row r="218" spans="3:3" x14ac:dyDescent="0.2">
      <c r="C218" t="s">
        <v>161</v>
      </c>
    </row>
    <row r="219" spans="3:3" x14ac:dyDescent="0.2">
      <c r="C219" t="s">
        <v>162</v>
      </c>
    </row>
    <row r="221" spans="3:3" x14ac:dyDescent="0.2">
      <c r="C221" t="s">
        <v>157</v>
      </c>
    </row>
    <row r="223" spans="3:3" x14ac:dyDescent="0.2">
      <c r="C223" t="s">
        <v>163</v>
      </c>
    </row>
    <row r="224" spans="3:3" x14ac:dyDescent="0.2">
      <c r="C224" t="s">
        <v>152</v>
      </c>
    </row>
    <row r="225" spans="3:3" x14ac:dyDescent="0.2">
      <c r="C225" t="s">
        <v>164</v>
      </c>
    </row>
    <row r="226" spans="3:3" x14ac:dyDescent="0.2">
      <c r="C226" t="s">
        <v>165</v>
      </c>
    </row>
    <row r="227" spans="3:3" x14ac:dyDescent="0.2">
      <c r="C227" t="s">
        <v>166</v>
      </c>
    </row>
    <row r="228" spans="3:3" x14ac:dyDescent="0.2">
      <c r="C228" t="s">
        <v>167</v>
      </c>
    </row>
    <row r="230" spans="3:3" x14ac:dyDescent="0.2">
      <c r="C230" t="s">
        <v>157</v>
      </c>
    </row>
    <row r="232" spans="3:3" x14ac:dyDescent="0.2">
      <c r="C232" t="s">
        <v>168</v>
      </c>
    </row>
    <row r="233" spans="3:3" x14ac:dyDescent="0.2">
      <c r="C233" t="s">
        <v>152</v>
      </c>
    </row>
    <row r="234" spans="3:3" x14ac:dyDescent="0.2">
      <c r="C234" t="s">
        <v>169</v>
      </c>
    </row>
    <row r="235" spans="3:3" x14ac:dyDescent="0.2">
      <c r="C235" t="s">
        <v>170</v>
      </c>
    </row>
    <row r="236" spans="3:3" x14ac:dyDescent="0.2">
      <c r="C236" t="s">
        <v>171</v>
      </c>
    </row>
    <row r="237" spans="3:3" x14ac:dyDescent="0.2">
      <c r="C237" t="s">
        <v>172</v>
      </c>
    </row>
    <row r="238" spans="3:3" x14ac:dyDescent="0.2">
      <c r="C238" t="s">
        <v>42</v>
      </c>
    </row>
    <row r="239" spans="3:3" x14ac:dyDescent="0.2">
      <c r="C239" t="e" cm="1">
        <f t="array" ref="C239">-- Final result: Distinct list of ALL FBBIDs that have a DNC disposition in their history</f>
        <v>#NAME?</v>
      </c>
    </row>
    <row r="240" spans="3:3" x14ac:dyDescent="0.2">
      <c r="C240" t="s">
        <v>173</v>
      </c>
    </row>
    <row r="241" spans="3:3" x14ac:dyDescent="0.2">
      <c r="C241" t="s">
        <v>48</v>
      </c>
    </row>
    <row r="242" spans="3:3" x14ac:dyDescent="0.2">
      <c r="C242" t="s">
        <v>75</v>
      </c>
    </row>
    <row r="243" spans="3:3" x14ac:dyDescent="0.2">
      <c r="C243" t="s">
        <v>174</v>
      </c>
    </row>
    <row r="244" spans="3:3" x14ac:dyDescent="0.2">
      <c r="C244" t="s">
        <v>175</v>
      </c>
    </row>
    <row r="245" spans="3:3" x14ac:dyDescent="0.2">
      <c r="C245" t="s">
        <v>176</v>
      </c>
    </row>
    <row r="246" spans="3:3" x14ac:dyDescent="0.2">
      <c r="C246" t="s">
        <v>177</v>
      </c>
    </row>
    <row r="247" spans="3:3" x14ac:dyDescent="0.2">
      <c r="C247" t="s">
        <v>178</v>
      </c>
    </row>
    <row r="248" spans="3:3" x14ac:dyDescent="0.2">
      <c r="C248" t="s">
        <v>42</v>
      </c>
    </row>
    <row r="249" spans="3:3" x14ac:dyDescent="0.2">
      <c r="C249" t="s">
        <v>179</v>
      </c>
    </row>
    <row r="250" spans="3:3" x14ac:dyDescent="0.2">
      <c r="C250" t="s">
        <v>49</v>
      </c>
    </row>
    <row r="251" spans="3:3" x14ac:dyDescent="0.2">
      <c r="C251" t="s">
        <v>115</v>
      </c>
    </row>
    <row r="252" spans="3:3" x14ac:dyDescent="0.2">
      <c r="C252" t="s">
        <v>180</v>
      </c>
    </row>
    <row r="253" spans="3:3" x14ac:dyDescent="0.2">
      <c r="C253" t="s">
        <v>181</v>
      </c>
    </row>
    <row r="254" spans="3:3" x14ac:dyDescent="0.2">
      <c r="C254" t="s">
        <v>182</v>
      </c>
    </row>
    <row r="255" spans="3:3" x14ac:dyDescent="0.2">
      <c r="C255" t="s">
        <v>183</v>
      </c>
    </row>
    <row r="256" spans="3:3" x14ac:dyDescent="0.2">
      <c r="C256" t="s">
        <v>184</v>
      </c>
    </row>
    <row r="257" spans="3:3" x14ac:dyDescent="0.2">
      <c r="C257" t="s">
        <v>185</v>
      </c>
    </row>
    <row r="258" spans="3:3" x14ac:dyDescent="0.2">
      <c r="C258" t="s">
        <v>42</v>
      </c>
    </row>
    <row r="259" spans="3:3" x14ac:dyDescent="0.2">
      <c r="C259" t="s">
        <v>186</v>
      </c>
    </row>
    <row r="260" spans="3:3" x14ac:dyDescent="0.2">
      <c r="C260" t="s">
        <v>187</v>
      </c>
    </row>
    <row r="261" spans="3:3" x14ac:dyDescent="0.2">
      <c r="C261" t="s">
        <v>114</v>
      </c>
    </row>
    <row r="262" spans="3:3" x14ac:dyDescent="0.2">
      <c r="C262" t="s">
        <v>188</v>
      </c>
    </row>
    <row r="263" spans="3:3" x14ac:dyDescent="0.2">
      <c r="C263" t="s">
        <v>189</v>
      </c>
    </row>
    <row r="264" spans="3:3" x14ac:dyDescent="0.2">
      <c r="C264" t="s">
        <v>190</v>
      </c>
    </row>
    <row r="265" spans="3:3" x14ac:dyDescent="0.2">
      <c r="C265" t="s">
        <v>191</v>
      </c>
    </row>
    <row r="266" spans="3:3" x14ac:dyDescent="0.2">
      <c r="C266" t="s">
        <v>192</v>
      </c>
    </row>
    <row r="267" spans="3:3" x14ac:dyDescent="0.2">
      <c r="C267" t="s">
        <v>193</v>
      </c>
    </row>
    <row r="268" spans="3:3" x14ac:dyDescent="0.2">
      <c r="C268" t="s">
        <v>194</v>
      </c>
    </row>
    <row r="269" spans="3:3" x14ac:dyDescent="0.2">
      <c r="C269" t="s">
        <v>195</v>
      </c>
    </row>
    <row r="270" spans="3:3" x14ac:dyDescent="0.2">
      <c r="C270" t="s">
        <v>196</v>
      </c>
    </row>
    <row r="271" spans="3:3" x14ac:dyDescent="0.2">
      <c r="C271" t="s">
        <v>197</v>
      </c>
    </row>
    <row r="272" spans="3:3" x14ac:dyDescent="0.2">
      <c r="C272" t="s">
        <v>198</v>
      </c>
    </row>
    <row r="273" spans="3:3" x14ac:dyDescent="0.2">
      <c r="C273" t="s">
        <v>199</v>
      </c>
    </row>
    <row r="274" spans="3:3" x14ac:dyDescent="0.2">
      <c r="C274" t="s">
        <v>200</v>
      </c>
    </row>
    <row r="275" spans="3:3" x14ac:dyDescent="0.2">
      <c r="C275" t="s">
        <v>201</v>
      </c>
    </row>
    <row r="276" spans="3:3" x14ac:dyDescent="0.2">
      <c r="C276" t="s">
        <v>202</v>
      </c>
    </row>
    <row r="277" spans="3:3" x14ac:dyDescent="0.2">
      <c r="C277" t="s">
        <v>203</v>
      </c>
    </row>
    <row r="278" spans="3:3" x14ac:dyDescent="0.2">
      <c r="C278" t="s">
        <v>204</v>
      </c>
    </row>
    <row r="279" spans="3:3" x14ac:dyDescent="0.2">
      <c r="C279" t="s">
        <v>205</v>
      </c>
    </row>
    <row r="280" spans="3:3" x14ac:dyDescent="0.2">
      <c r="C280" t="s">
        <v>206</v>
      </c>
    </row>
    <row r="281" spans="3:3" x14ac:dyDescent="0.2">
      <c r="C281" t="s">
        <v>207</v>
      </c>
    </row>
    <row r="282" spans="3:3" x14ac:dyDescent="0.2">
      <c r="C282" t="s">
        <v>208</v>
      </c>
    </row>
    <row r="283" spans="3:3" x14ac:dyDescent="0.2">
      <c r="C283" t="s">
        <v>209</v>
      </c>
    </row>
    <row r="284" spans="3:3" x14ac:dyDescent="0.2">
      <c r="C284" t="s">
        <v>210</v>
      </c>
    </row>
    <row r="285" spans="3:3" x14ac:dyDescent="0.2">
      <c r="C285" t="s">
        <v>211</v>
      </c>
    </row>
    <row r="286" spans="3:3" x14ac:dyDescent="0.2">
      <c r="C286" t="s">
        <v>212</v>
      </c>
    </row>
    <row r="287" spans="3:3" x14ac:dyDescent="0.2">
      <c r="C287" t="s">
        <v>213</v>
      </c>
    </row>
    <row r="288" spans="3:3" x14ac:dyDescent="0.2">
      <c r="C288" t="s">
        <v>214</v>
      </c>
    </row>
    <row r="289" spans="3:3" x14ac:dyDescent="0.2">
      <c r="C289" t="s">
        <v>215</v>
      </c>
    </row>
    <row r="290" spans="3:3" x14ac:dyDescent="0.2">
      <c r="C290" t="s">
        <v>216</v>
      </c>
    </row>
    <row r="291" spans="3:3" x14ac:dyDescent="0.2">
      <c r="C291" t="s">
        <v>217</v>
      </c>
    </row>
    <row r="292" spans="3:3" x14ac:dyDescent="0.2">
      <c r="C292" t="s">
        <v>218</v>
      </c>
    </row>
    <row r="293" spans="3:3" x14ac:dyDescent="0.2">
      <c r="C293" t="s">
        <v>219</v>
      </c>
    </row>
    <row r="294" spans="3:3" x14ac:dyDescent="0.2">
      <c r="C294" t="s">
        <v>205</v>
      </c>
    </row>
    <row r="295" spans="3:3" x14ac:dyDescent="0.2">
      <c r="C295" t="s">
        <v>220</v>
      </c>
    </row>
    <row r="296" spans="3:3" x14ac:dyDescent="0.2">
      <c r="C296" t="s">
        <v>221</v>
      </c>
    </row>
    <row r="297" spans="3:3" x14ac:dyDescent="0.2">
      <c r="C297" t="s">
        <v>222</v>
      </c>
    </row>
    <row r="298" spans="3:3" x14ac:dyDescent="0.2">
      <c r="C298" t="s">
        <v>223</v>
      </c>
    </row>
    <row r="299" spans="3:3" x14ac:dyDescent="0.2">
      <c r="C299" t="s">
        <v>224</v>
      </c>
    </row>
    <row r="300" spans="3:3" x14ac:dyDescent="0.2">
      <c r="C300" t="s">
        <v>225</v>
      </c>
    </row>
    <row r="301" spans="3:3" x14ac:dyDescent="0.2">
      <c r="C301" t="s">
        <v>226</v>
      </c>
    </row>
    <row r="302" spans="3:3" x14ac:dyDescent="0.2">
      <c r="C302" t="s">
        <v>205</v>
      </c>
    </row>
    <row r="303" spans="3:3" x14ac:dyDescent="0.2">
      <c r="C303" t="s">
        <v>227</v>
      </c>
    </row>
    <row r="304" spans="3:3" x14ac:dyDescent="0.2">
      <c r="C304" t="s">
        <v>228</v>
      </c>
    </row>
    <row r="305" spans="3:3" x14ac:dyDescent="0.2">
      <c r="C305" t="s">
        <v>229</v>
      </c>
    </row>
    <row r="306" spans="3:3" x14ac:dyDescent="0.2">
      <c r="C306" t="s">
        <v>230</v>
      </c>
    </row>
    <row r="307" spans="3:3" x14ac:dyDescent="0.2">
      <c r="C307" t="s">
        <v>231</v>
      </c>
    </row>
    <row r="308" spans="3:3" x14ac:dyDescent="0.2">
      <c r="C308" t="s">
        <v>232</v>
      </c>
    </row>
    <row r="309" spans="3:3" x14ac:dyDescent="0.2">
      <c r="C309" t="s">
        <v>233</v>
      </c>
    </row>
    <row r="310" spans="3:3" x14ac:dyDescent="0.2">
      <c r="C310" t="s">
        <v>234</v>
      </c>
    </row>
    <row r="311" spans="3:3" x14ac:dyDescent="0.2">
      <c r="C311" t="s">
        <v>235</v>
      </c>
    </row>
    <row r="312" spans="3:3" x14ac:dyDescent="0.2">
      <c r="C312" t="s">
        <v>236</v>
      </c>
    </row>
    <row r="313" spans="3:3" x14ac:dyDescent="0.2">
      <c r="C313" t="s">
        <v>205</v>
      </c>
    </row>
    <row r="314" spans="3:3" x14ac:dyDescent="0.2">
      <c r="C314" t="s">
        <v>228</v>
      </c>
    </row>
    <row r="315" spans="3:3" x14ac:dyDescent="0.2">
      <c r="C315" t="s">
        <v>237</v>
      </c>
    </row>
    <row r="316" spans="3:3" x14ac:dyDescent="0.2">
      <c r="C316" t="s">
        <v>238</v>
      </c>
    </row>
    <row r="317" spans="3:3" x14ac:dyDescent="0.2">
      <c r="C317" t="s">
        <v>239</v>
      </c>
    </row>
    <row r="318" spans="3:3" x14ac:dyDescent="0.2">
      <c r="C318" t="s">
        <v>240</v>
      </c>
    </row>
    <row r="319" spans="3:3" x14ac:dyDescent="0.2">
      <c r="C319" t="s">
        <v>241</v>
      </c>
    </row>
    <row r="320" spans="3:3" x14ac:dyDescent="0.2">
      <c r="C320" t="s">
        <v>242</v>
      </c>
    </row>
    <row r="321" spans="3:3" x14ac:dyDescent="0.2">
      <c r="C321" t="s">
        <v>243</v>
      </c>
    </row>
    <row r="322" spans="3:3" x14ac:dyDescent="0.2">
      <c r="C322" t="s">
        <v>244</v>
      </c>
    </row>
    <row r="323" spans="3:3" x14ac:dyDescent="0.2">
      <c r="C323" t="s">
        <v>245</v>
      </c>
    </row>
    <row r="324" spans="3:3" x14ac:dyDescent="0.2">
      <c r="C324" t="s">
        <v>246</v>
      </c>
    </row>
    <row r="325" spans="3:3" x14ac:dyDescent="0.2">
      <c r="C325" t="s">
        <v>247</v>
      </c>
    </row>
    <row r="326" spans="3:3" x14ac:dyDescent="0.2">
      <c r="C326" t="s">
        <v>248</v>
      </c>
    </row>
    <row r="327" spans="3:3" x14ac:dyDescent="0.2">
      <c r="C327" t="s">
        <v>249</v>
      </c>
    </row>
    <row r="328" spans="3:3" x14ac:dyDescent="0.2">
      <c r="C328" t="s">
        <v>250</v>
      </c>
    </row>
    <row r="329" spans="3:3" x14ac:dyDescent="0.2">
      <c r="C329" t="s">
        <v>251</v>
      </c>
    </row>
    <row r="330" spans="3:3" x14ac:dyDescent="0.2">
      <c r="C330" t="s">
        <v>252</v>
      </c>
    </row>
    <row r="331" spans="3:3" x14ac:dyDescent="0.2">
      <c r="C331" t="s">
        <v>253</v>
      </c>
    </row>
    <row r="332" spans="3:3" x14ac:dyDescent="0.2">
      <c r="C332" t="s">
        <v>254</v>
      </c>
    </row>
    <row r="333" spans="3:3" x14ac:dyDescent="0.2">
      <c r="C333" t="s">
        <v>255</v>
      </c>
    </row>
    <row r="334" spans="3:3" x14ac:dyDescent="0.2">
      <c r="C334" t="s">
        <v>256</v>
      </c>
    </row>
    <row r="335" spans="3:3" x14ac:dyDescent="0.2">
      <c r="C335" t="s">
        <v>257</v>
      </c>
    </row>
    <row r="336" spans="3:3" x14ac:dyDescent="0.2">
      <c r="C336" t="s">
        <v>258</v>
      </c>
    </row>
    <row r="337" spans="3:3" x14ac:dyDescent="0.2">
      <c r="C337" t="s">
        <v>254</v>
      </c>
    </row>
    <row r="338" spans="3:3" x14ac:dyDescent="0.2">
      <c r="C338" t="s">
        <v>259</v>
      </c>
    </row>
    <row r="339" spans="3:3" x14ac:dyDescent="0.2">
      <c r="C339" t="s">
        <v>260</v>
      </c>
    </row>
    <row r="340" spans="3:3" x14ac:dyDescent="0.2">
      <c r="C340" t="s">
        <v>261</v>
      </c>
    </row>
    <row r="341" spans="3:3" x14ac:dyDescent="0.2">
      <c r="C341" t="s">
        <v>262</v>
      </c>
    </row>
    <row r="342" spans="3:3" x14ac:dyDescent="0.2">
      <c r="C342" t="s">
        <v>12</v>
      </c>
    </row>
    <row r="343" spans="3:3" x14ac:dyDescent="0.2">
      <c r="C343" t="s">
        <v>263</v>
      </c>
    </row>
    <row r="344" spans="3:3" x14ac:dyDescent="0.2">
      <c r="C344" t="e" cm="1">
        <f t="array" ref="C344">-- in</f>
        <v>#NAME?</v>
      </c>
    </row>
    <row r="345" spans="3:3" x14ac:dyDescent="0.2">
      <c r="C345" t="s">
        <v>264</v>
      </c>
    </row>
    <row r="346" spans="3:3" x14ac:dyDescent="0.2">
      <c r="C346">
        <f>-- 858245</f>
        <v>858245</v>
      </c>
    </row>
    <row r="347" spans="3:3" x14ac:dyDescent="0.2">
      <c r="C347" t="s">
        <v>265</v>
      </c>
    </row>
    <row r="351" spans="3:3" x14ac:dyDescent="0.2">
      <c r="C351" t="s">
        <v>266</v>
      </c>
    </row>
    <row r="352" spans="3:3" x14ac:dyDescent="0.2">
      <c r="C352" t="s">
        <v>267</v>
      </c>
    </row>
    <row r="353" spans="3:3" x14ac:dyDescent="0.2">
      <c r="C353" t="s">
        <v>268</v>
      </c>
    </row>
    <row r="354" spans="3:3" x14ac:dyDescent="0.2">
      <c r="C354" t="s">
        <v>269</v>
      </c>
    </row>
    <row r="355" spans="3:3" x14ac:dyDescent="0.2">
      <c r="C355" t="s">
        <v>270</v>
      </c>
    </row>
    <row r="356" spans="3:3" x14ac:dyDescent="0.2">
      <c r="C356" t="s">
        <v>271</v>
      </c>
    </row>
    <row r="357" spans="3:3" x14ac:dyDescent="0.2">
      <c r="C357" t="s">
        <v>272</v>
      </c>
    </row>
    <row r="359" spans="3:3" x14ac:dyDescent="0.2">
      <c r="C359" t="s">
        <v>273</v>
      </c>
    </row>
    <row r="360" spans="3:3" x14ac:dyDescent="0.2">
      <c r="C360" t="s">
        <v>115</v>
      </c>
    </row>
    <row r="361" spans="3:3" x14ac:dyDescent="0.2">
      <c r="C361" t="s">
        <v>274</v>
      </c>
    </row>
    <row r="362" spans="3:3" x14ac:dyDescent="0.2">
      <c r="C362" t="s">
        <v>275</v>
      </c>
    </row>
    <row r="363" spans="3:3" x14ac:dyDescent="0.2">
      <c r="C363" t="s">
        <v>276</v>
      </c>
    </row>
    <row r="364" spans="3:3" x14ac:dyDescent="0.2">
      <c r="C364" t="s">
        <v>277</v>
      </c>
    </row>
    <row r="365" spans="3:3" x14ac:dyDescent="0.2">
      <c r="C365" t="s">
        <v>278</v>
      </c>
    </row>
    <row r="366" spans="3:3" x14ac:dyDescent="0.2">
      <c r="C366" t="s">
        <v>279</v>
      </c>
    </row>
    <row r="367" spans="3:3" x14ac:dyDescent="0.2">
      <c r="C367" t="s">
        <v>280</v>
      </c>
    </row>
    <row r="368" spans="3:3" x14ac:dyDescent="0.2">
      <c r="C368" t="s">
        <v>281</v>
      </c>
    </row>
    <row r="369" spans="3:3" x14ac:dyDescent="0.2">
      <c r="C369" t="s">
        <v>282</v>
      </c>
    </row>
    <row r="370" spans="3:3" x14ac:dyDescent="0.2">
      <c r="C370" t="s">
        <v>283</v>
      </c>
    </row>
    <row r="371" spans="3:3" x14ac:dyDescent="0.2">
      <c r="C371" t="s">
        <v>284</v>
      </c>
    </row>
    <row r="372" spans="3:3" x14ac:dyDescent="0.2">
      <c r="C372" t="s">
        <v>285</v>
      </c>
    </row>
    <row r="373" spans="3:3" x14ac:dyDescent="0.2">
      <c r="C373" t="s">
        <v>286</v>
      </c>
    </row>
    <row r="374" spans="3:3" x14ac:dyDescent="0.2">
      <c r="C374" t="s">
        <v>287</v>
      </c>
    </row>
    <row r="375" spans="3:3" x14ac:dyDescent="0.2">
      <c r="C375" t="s">
        <v>288</v>
      </c>
    </row>
    <row r="376" spans="3:3" x14ac:dyDescent="0.2">
      <c r="C376" t="s">
        <v>181</v>
      </c>
    </row>
    <row r="377" spans="3:3" x14ac:dyDescent="0.2">
      <c r="C377" t="s">
        <v>289</v>
      </c>
    </row>
    <row r="378" spans="3:3" x14ac:dyDescent="0.2">
      <c r="C378" t="s">
        <v>290</v>
      </c>
    </row>
    <row r="379" spans="3:3" x14ac:dyDescent="0.2">
      <c r="C379" t="s">
        <v>291</v>
      </c>
    </row>
    <row r="380" spans="3:3" x14ac:dyDescent="0.2">
      <c r="C380" t="s">
        <v>292</v>
      </c>
    </row>
    <row r="381" spans="3:3" x14ac:dyDescent="0.2">
      <c r="C381" t="s">
        <v>293</v>
      </c>
    </row>
    <row r="382" spans="3:3" x14ac:dyDescent="0.2">
      <c r="C382" t="s">
        <v>294</v>
      </c>
    </row>
    <row r="383" spans="3:3" x14ac:dyDescent="0.2">
      <c r="C383" t="s">
        <v>295</v>
      </c>
    </row>
    <row r="384" spans="3:3" x14ac:dyDescent="0.2">
      <c r="C384" t="s">
        <v>296</v>
      </c>
    </row>
    <row r="385" spans="3:3" x14ac:dyDescent="0.2">
      <c r="C385" t="s">
        <v>297</v>
      </c>
    </row>
    <row r="386" spans="3:3" x14ac:dyDescent="0.2">
      <c r="C386" t="s">
        <v>298</v>
      </c>
    </row>
    <row r="387" spans="3:3" x14ac:dyDescent="0.2">
      <c r="C387" t="s">
        <v>299</v>
      </c>
    </row>
    <row r="388" spans="3:3" x14ac:dyDescent="0.2">
      <c r="C388" t="s">
        <v>300</v>
      </c>
    </row>
    <row r="389" spans="3:3" x14ac:dyDescent="0.2">
      <c r="C389" t="s">
        <v>301</v>
      </c>
    </row>
    <row r="390" spans="3:3" x14ac:dyDescent="0.2">
      <c r="C390" t="s">
        <v>302</v>
      </c>
    </row>
    <row r="391" spans="3:3" x14ac:dyDescent="0.2">
      <c r="C391" t="s">
        <v>295</v>
      </c>
    </row>
    <row r="392" spans="3:3" x14ac:dyDescent="0.2">
      <c r="C392" t="s">
        <v>303</v>
      </c>
    </row>
    <row r="393" spans="3:3" x14ac:dyDescent="0.2">
      <c r="C393" t="s">
        <v>304</v>
      </c>
    </row>
    <row r="394" spans="3:3" x14ac:dyDescent="0.2">
      <c r="C394" t="s">
        <v>305</v>
      </c>
    </row>
    <row r="395" spans="3:3" x14ac:dyDescent="0.2">
      <c r="C395" t="s">
        <v>306</v>
      </c>
    </row>
    <row r="396" spans="3:3" x14ac:dyDescent="0.2">
      <c r="C396" t="s">
        <v>307</v>
      </c>
    </row>
    <row r="397" spans="3:3" x14ac:dyDescent="0.2">
      <c r="C397" t="s">
        <v>308</v>
      </c>
    </row>
    <row r="398" spans="3:3" x14ac:dyDescent="0.2">
      <c r="C398" t="s">
        <v>309</v>
      </c>
    </row>
    <row r="399" spans="3:3" x14ac:dyDescent="0.2">
      <c r="C399" t="s">
        <v>295</v>
      </c>
    </row>
    <row r="400" spans="3:3" x14ac:dyDescent="0.2">
      <c r="C400" t="s">
        <v>310</v>
      </c>
    </row>
    <row r="401" spans="3:3" x14ac:dyDescent="0.2">
      <c r="C401" t="s">
        <v>311</v>
      </c>
    </row>
    <row r="402" spans="3:3" x14ac:dyDescent="0.2">
      <c r="C402" t="s">
        <v>312</v>
      </c>
    </row>
    <row r="403" spans="3:3" x14ac:dyDescent="0.2">
      <c r="C403" t="s">
        <v>313</v>
      </c>
    </row>
    <row r="404" spans="3:3" x14ac:dyDescent="0.2">
      <c r="C404" t="s">
        <v>314</v>
      </c>
    </row>
    <row r="405" spans="3:3" x14ac:dyDescent="0.2">
      <c r="C405" t="s">
        <v>315</v>
      </c>
    </row>
    <row r="406" spans="3:3" x14ac:dyDescent="0.2">
      <c r="C406" t="s">
        <v>316</v>
      </c>
    </row>
    <row r="407" spans="3:3" x14ac:dyDescent="0.2">
      <c r="C407" t="s">
        <v>295</v>
      </c>
    </row>
    <row r="408" spans="3:3" x14ac:dyDescent="0.2">
      <c r="C408" t="s">
        <v>317</v>
      </c>
    </row>
    <row r="409" spans="3:3" x14ac:dyDescent="0.2">
      <c r="C409" t="s">
        <v>318</v>
      </c>
    </row>
    <row r="410" spans="3:3" x14ac:dyDescent="0.2">
      <c r="C410" t="s">
        <v>319</v>
      </c>
    </row>
    <row r="411" spans="3:3" x14ac:dyDescent="0.2">
      <c r="C411" t="s">
        <v>320</v>
      </c>
    </row>
    <row r="412" spans="3:3" x14ac:dyDescent="0.2">
      <c r="C412" t="s">
        <v>321</v>
      </c>
    </row>
    <row r="413" spans="3:3" x14ac:dyDescent="0.2">
      <c r="C413" t="s">
        <v>322</v>
      </c>
    </row>
    <row r="414" spans="3:3" x14ac:dyDescent="0.2">
      <c r="C414" t="s">
        <v>323</v>
      </c>
    </row>
    <row r="415" spans="3:3" x14ac:dyDescent="0.2">
      <c r="C415" t="s">
        <v>324</v>
      </c>
    </row>
    <row r="416" spans="3:3" x14ac:dyDescent="0.2">
      <c r="C416" t="s">
        <v>325</v>
      </c>
    </row>
    <row r="417" spans="3:3" x14ac:dyDescent="0.2">
      <c r="C417" t="s">
        <v>326</v>
      </c>
    </row>
    <row r="418" spans="3:3" x14ac:dyDescent="0.2">
      <c r="C418" t="s">
        <v>327</v>
      </c>
    </row>
    <row r="419" spans="3:3" x14ac:dyDescent="0.2">
      <c r="C419" t="s">
        <v>328</v>
      </c>
    </row>
    <row r="420" spans="3:3" x14ac:dyDescent="0.2">
      <c r="C420" t="s">
        <v>329</v>
      </c>
    </row>
    <row r="421" spans="3:3" x14ac:dyDescent="0.2">
      <c r="C421" t="s">
        <v>330</v>
      </c>
    </row>
    <row r="424" spans="3:3" x14ac:dyDescent="0.2">
      <c r="C424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ECE8-3A78-B64B-96CD-FE78EB74F797}">
  <dimension ref="A1:C625"/>
  <sheetViews>
    <sheetView showGridLines="0" tabSelected="1" workbookViewId="0">
      <selection activeCell="H18" sqref="H18"/>
    </sheetView>
  </sheetViews>
  <sheetFormatPr baseColWidth="10" defaultRowHeight="16" x14ac:dyDescent="0.2"/>
  <cols>
    <col min="1" max="2" width="2.83203125" customWidth="1"/>
  </cols>
  <sheetData>
    <row r="1" spans="1:3" ht="27" x14ac:dyDescent="0.35">
      <c r="A1" s="1" t="s">
        <v>332</v>
      </c>
    </row>
    <row r="4" spans="1:3" x14ac:dyDescent="0.2">
      <c r="C4" t="s">
        <v>1</v>
      </c>
    </row>
    <row r="5" spans="1:3" x14ac:dyDescent="0.2">
      <c r="C5" t="s">
        <v>2</v>
      </c>
    </row>
    <row r="6" spans="1:3" x14ac:dyDescent="0.2">
      <c r="C6" t="s">
        <v>3</v>
      </c>
    </row>
    <row r="7" spans="1:3" x14ac:dyDescent="0.2">
      <c r="C7" t="s">
        <v>4</v>
      </c>
    </row>
    <row r="8" spans="1:3" x14ac:dyDescent="0.2">
      <c r="C8" t="s">
        <v>333</v>
      </c>
    </row>
    <row r="9" spans="1:3" x14ac:dyDescent="0.2">
      <c r="C9" t="s">
        <v>5</v>
      </c>
    </row>
    <row r="10" spans="1:3" x14ac:dyDescent="0.2">
      <c r="C10" t="s">
        <v>6</v>
      </c>
    </row>
    <row r="11" spans="1:3" x14ac:dyDescent="0.2">
      <c r="C11" t="s">
        <v>7</v>
      </c>
    </row>
    <row r="12" spans="1:3" x14ac:dyDescent="0.2">
      <c r="C12" t="s">
        <v>8</v>
      </c>
    </row>
    <row r="13" spans="1:3" x14ac:dyDescent="0.2">
      <c r="C13" t="s">
        <v>9</v>
      </c>
    </row>
    <row r="14" spans="1:3" x14ac:dyDescent="0.2">
      <c r="C14" t="s">
        <v>10</v>
      </c>
    </row>
    <row r="15" spans="1:3" x14ac:dyDescent="0.2">
      <c r="C15" t="s">
        <v>11</v>
      </c>
    </row>
    <row r="16" spans="1:3" x14ac:dyDescent="0.2">
      <c r="C16" t="s">
        <v>12</v>
      </c>
    </row>
    <row r="17" spans="3:3" x14ac:dyDescent="0.2">
      <c r="C17" t="s">
        <v>15</v>
      </c>
    </row>
    <row r="18" spans="3:3" x14ac:dyDescent="0.2">
      <c r="C18" t="s">
        <v>16</v>
      </c>
    </row>
    <row r="19" spans="3:3" x14ac:dyDescent="0.2">
      <c r="C19" t="s">
        <v>2</v>
      </c>
    </row>
    <row r="20" spans="3:3" x14ac:dyDescent="0.2">
      <c r="C20" t="s">
        <v>17</v>
      </c>
    </row>
    <row r="21" spans="3:3" x14ac:dyDescent="0.2">
      <c r="C21" t="s">
        <v>18</v>
      </c>
    </row>
    <row r="22" spans="3:3" x14ac:dyDescent="0.2">
      <c r="C22" t="s">
        <v>334</v>
      </c>
    </row>
    <row r="23" spans="3:3" x14ac:dyDescent="0.2">
      <c r="C23" t="s">
        <v>19</v>
      </c>
    </row>
    <row r="24" spans="3:3" x14ac:dyDescent="0.2">
      <c r="C24" t="s">
        <v>20</v>
      </c>
    </row>
    <row r="25" spans="3:3" x14ac:dyDescent="0.2">
      <c r="C25" t="s">
        <v>21</v>
      </c>
    </row>
    <row r="26" spans="3:3" x14ac:dyDescent="0.2">
      <c r="C26" t="s">
        <v>22</v>
      </c>
    </row>
    <row r="27" spans="3:3" x14ac:dyDescent="0.2">
      <c r="C27" t="s">
        <v>23</v>
      </c>
    </row>
    <row r="28" spans="3:3" x14ac:dyDescent="0.2">
      <c r="C28" t="s">
        <v>24</v>
      </c>
    </row>
    <row r="29" spans="3:3" x14ac:dyDescent="0.2">
      <c r="C29" t="s">
        <v>25</v>
      </c>
    </row>
    <row r="30" spans="3:3" x14ac:dyDescent="0.2">
      <c r="C30" t="s">
        <v>26</v>
      </c>
    </row>
    <row r="31" spans="3:3" x14ac:dyDescent="0.2">
      <c r="C31" t="s">
        <v>27</v>
      </c>
    </row>
    <row r="32" spans="3:3" x14ac:dyDescent="0.2">
      <c r="C32" t="s">
        <v>335</v>
      </c>
    </row>
    <row r="33" spans="3:3" x14ac:dyDescent="0.2">
      <c r="C33" t="s">
        <v>12</v>
      </c>
    </row>
    <row r="34" spans="3:3" x14ac:dyDescent="0.2">
      <c r="C34" t="s">
        <v>336</v>
      </c>
    </row>
    <row r="35" spans="3:3" x14ac:dyDescent="0.2">
      <c r="C35" t="s">
        <v>30</v>
      </c>
    </row>
    <row r="36" spans="3:3" x14ac:dyDescent="0.2">
      <c r="C36" t="s">
        <v>2</v>
      </c>
    </row>
    <row r="37" spans="3:3" x14ac:dyDescent="0.2">
      <c r="C37" t="s">
        <v>17</v>
      </c>
    </row>
    <row r="38" spans="3:3" x14ac:dyDescent="0.2">
      <c r="C38" t="s">
        <v>18</v>
      </c>
    </row>
    <row r="39" spans="3:3" x14ac:dyDescent="0.2">
      <c r="C39" t="s">
        <v>337</v>
      </c>
    </row>
    <row r="40" spans="3:3" x14ac:dyDescent="0.2">
      <c r="C40" t="s">
        <v>19</v>
      </c>
    </row>
    <row r="41" spans="3:3" x14ac:dyDescent="0.2">
      <c r="C41" t="s">
        <v>20</v>
      </c>
    </row>
    <row r="42" spans="3:3" x14ac:dyDescent="0.2">
      <c r="C42" t="s">
        <v>338</v>
      </c>
    </row>
    <row r="43" spans="3:3" x14ac:dyDescent="0.2">
      <c r="C43" t="s">
        <v>339</v>
      </c>
    </row>
    <row r="44" spans="3:3" x14ac:dyDescent="0.2">
      <c r="C44" t="s">
        <v>340</v>
      </c>
    </row>
    <row r="45" spans="3:3" x14ac:dyDescent="0.2">
      <c r="C45" t="s">
        <v>341</v>
      </c>
    </row>
    <row r="46" spans="3:3" x14ac:dyDescent="0.2">
      <c r="C46" t="s">
        <v>342</v>
      </c>
    </row>
    <row r="47" spans="3:3" x14ac:dyDescent="0.2">
      <c r="C47" t="s">
        <v>343</v>
      </c>
    </row>
    <row r="48" spans="3:3" x14ac:dyDescent="0.2">
      <c r="C48" t="s">
        <v>344</v>
      </c>
    </row>
    <row r="49" spans="3:3" x14ac:dyDescent="0.2">
      <c r="C49" t="s">
        <v>345</v>
      </c>
    </row>
    <row r="50" spans="3:3" x14ac:dyDescent="0.2">
      <c r="C50" t="s">
        <v>346</v>
      </c>
    </row>
    <row r="51" spans="3:3" x14ac:dyDescent="0.2">
      <c r="C51" t="s">
        <v>347</v>
      </c>
    </row>
    <row r="52" spans="3:3" x14ac:dyDescent="0.2">
      <c r="C52" t="s">
        <v>42</v>
      </c>
    </row>
    <row r="53" spans="3:3" x14ac:dyDescent="0.2">
      <c r="C53" t="s">
        <v>348</v>
      </c>
    </row>
    <row r="54" spans="3:3" x14ac:dyDescent="0.2">
      <c r="C54" t="s">
        <v>349</v>
      </c>
    </row>
    <row r="55" spans="3:3" x14ac:dyDescent="0.2">
      <c r="C55" t="s">
        <v>350</v>
      </c>
    </row>
    <row r="56" spans="3:3" x14ac:dyDescent="0.2">
      <c r="C56" t="s">
        <v>351</v>
      </c>
    </row>
    <row r="57" spans="3:3" x14ac:dyDescent="0.2">
      <c r="C57" t="s">
        <v>352</v>
      </c>
    </row>
    <row r="58" spans="3:3" x14ac:dyDescent="0.2">
      <c r="C58" t="s">
        <v>353</v>
      </c>
    </row>
    <row r="59" spans="3:3" x14ac:dyDescent="0.2">
      <c r="C59" t="s">
        <v>43</v>
      </c>
    </row>
    <row r="60" spans="3:3" x14ac:dyDescent="0.2">
      <c r="C60" t="s">
        <v>44</v>
      </c>
    </row>
    <row r="61" spans="3:3" x14ac:dyDescent="0.2">
      <c r="C61" t="s">
        <v>45</v>
      </c>
    </row>
    <row r="62" spans="3:3" x14ac:dyDescent="0.2">
      <c r="C62" t="s">
        <v>354</v>
      </c>
    </row>
    <row r="63" spans="3:3" x14ac:dyDescent="0.2">
      <c r="C63" t="s">
        <v>355</v>
      </c>
    </row>
    <row r="64" spans="3:3" x14ac:dyDescent="0.2">
      <c r="C64" t="s">
        <v>356</v>
      </c>
    </row>
    <row r="65" spans="3:3" x14ac:dyDescent="0.2">
      <c r="C65" t="s">
        <v>357</v>
      </c>
    </row>
    <row r="66" spans="3:3" x14ac:dyDescent="0.2">
      <c r="C66" t="s">
        <v>46</v>
      </c>
    </row>
    <row r="67" spans="3:3" x14ac:dyDescent="0.2">
      <c r="C67" t="s">
        <v>358</v>
      </c>
    </row>
    <row r="68" spans="3:3" x14ac:dyDescent="0.2">
      <c r="C68" t="s">
        <v>359</v>
      </c>
    </row>
    <row r="69" spans="3:3" x14ac:dyDescent="0.2">
      <c r="C69" t="s">
        <v>12</v>
      </c>
    </row>
    <row r="70" spans="3:3" x14ac:dyDescent="0.2">
      <c r="C70" t="s">
        <v>360</v>
      </c>
    </row>
    <row r="71" spans="3:3" x14ac:dyDescent="0.2">
      <c r="C71" t="e" cm="1">
        <f t="array" ref="C71">-- Select * from final_base</f>
        <v>#NAME?</v>
      </c>
    </row>
    <row r="72" spans="3:3" x14ac:dyDescent="0.2">
      <c r="C72" t="s">
        <v>361</v>
      </c>
    </row>
    <row r="73" spans="3:3" x14ac:dyDescent="0.2">
      <c r="C73" t="e" cm="1">
        <f t="array" ref="C73">-- Consolidate call logs from four different data sources to ensure no disposition data is lost.</f>
        <v>#NAME?</v>
      </c>
    </row>
    <row r="74" spans="3:3" x14ac:dyDescent="0.2">
      <c r="C74" t="e" cm="1">
        <f t="array" ref="C74">-- source_1 for dispositions is created using analytics.credit.v_five9_call_log</f>
        <v>#NAME?</v>
      </c>
    </row>
    <row r="75" spans="3:3" x14ac:dyDescent="0.2">
      <c r="C75" t="s">
        <v>362</v>
      </c>
    </row>
    <row r="76" spans="3:3" x14ac:dyDescent="0.2">
      <c r="C76" t="s">
        <v>48</v>
      </c>
    </row>
    <row r="77" spans="3:3" x14ac:dyDescent="0.2">
      <c r="C77" t="s">
        <v>49</v>
      </c>
    </row>
    <row r="78" spans="3:3" x14ac:dyDescent="0.2">
      <c r="C78" t="s">
        <v>50</v>
      </c>
    </row>
    <row r="79" spans="3:3" x14ac:dyDescent="0.2">
      <c r="C79" t="s">
        <v>51</v>
      </c>
    </row>
    <row r="80" spans="3:3" x14ac:dyDescent="0.2">
      <c r="C80" t="s">
        <v>52</v>
      </c>
    </row>
    <row r="81" spans="3:3" x14ac:dyDescent="0.2">
      <c r="C81" t="s">
        <v>53</v>
      </c>
    </row>
    <row r="82" spans="3:3" x14ac:dyDescent="0.2">
      <c r="C82" t="s">
        <v>54</v>
      </c>
    </row>
    <row r="83" spans="3:3" x14ac:dyDescent="0.2">
      <c r="C83" t="s">
        <v>55</v>
      </c>
    </row>
    <row r="84" spans="3:3" x14ac:dyDescent="0.2">
      <c r="C84" t="s">
        <v>56</v>
      </c>
    </row>
    <row r="85" spans="3:3" x14ac:dyDescent="0.2">
      <c r="C85" t="s">
        <v>57</v>
      </c>
    </row>
    <row r="86" spans="3:3" x14ac:dyDescent="0.2">
      <c r="C86" t="s">
        <v>58</v>
      </c>
    </row>
    <row r="87" spans="3:3" x14ac:dyDescent="0.2">
      <c r="C87" t="s">
        <v>59</v>
      </c>
    </row>
    <row r="88" spans="3:3" x14ac:dyDescent="0.2">
      <c r="C88" t="s">
        <v>60</v>
      </c>
    </row>
    <row r="89" spans="3:3" x14ac:dyDescent="0.2">
      <c r="C89" t="s">
        <v>61</v>
      </c>
    </row>
    <row r="90" spans="3:3" x14ac:dyDescent="0.2">
      <c r="C90" t="s">
        <v>62</v>
      </c>
    </row>
    <row r="91" spans="3:3" x14ac:dyDescent="0.2">
      <c r="C91" t="e" cm="1">
        <f t="array" aca="1" ref="C91" ca="1">-- qualify row_number() over(partition by fbbid order by date_call desc) = 1</f>
        <v>#NAME?</v>
      </c>
    </row>
    <row r="92" spans="3:3" x14ac:dyDescent="0.2">
      <c r="C92" t="s">
        <v>63</v>
      </c>
    </row>
    <row r="93" spans="3:3" x14ac:dyDescent="0.2">
      <c r="C93" t="s">
        <v>64</v>
      </c>
    </row>
    <row r="94" spans="3:3" x14ac:dyDescent="0.2">
      <c r="C94" t="s">
        <v>65</v>
      </c>
    </row>
    <row r="95" spans="3:3" x14ac:dyDescent="0.2">
      <c r="C95" t="s">
        <v>66</v>
      </c>
    </row>
    <row r="96" spans="3:3" x14ac:dyDescent="0.2">
      <c r="C96" t="s">
        <v>67</v>
      </c>
    </row>
    <row r="97" spans="3:3" x14ac:dyDescent="0.2">
      <c r="C97" t="s">
        <v>68</v>
      </c>
    </row>
    <row r="98" spans="3:3" x14ac:dyDescent="0.2">
      <c r="C98" t="s">
        <v>69</v>
      </c>
    </row>
    <row r="99" spans="3:3" x14ac:dyDescent="0.2">
      <c r="C99" t="s">
        <v>70</v>
      </c>
    </row>
    <row r="100" spans="3:3" x14ac:dyDescent="0.2">
      <c r="C100" t="s">
        <v>71</v>
      </c>
    </row>
    <row r="101" spans="3:3" x14ac:dyDescent="0.2">
      <c r="C101" t="s">
        <v>72</v>
      </c>
    </row>
    <row r="102" spans="3:3" x14ac:dyDescent="0.2">
      <c r="C102" t="s">
        <v>73</v>
      </c>
    </row>
    <row r="103" spans="3:3" x14ac:dyDescent="0.2">
      <c r="C103" t="s">
        <v>42</v>
      </c>
    </row>
    <row r="105" spans="3:3" x14ac:dyDescent="0.2">
      <c r="C105" t="e" cm="1">
        <f t="array" ref="C105">-- source_2 for dispositions is created using ANALYTICS.CREDIT.FIVE9_CALL_LOG_REPORT</f>
        <v>#NAME?</v>
      </c>
    </row>
    <row r="106" spans="3:3" x14ac:dyDescent="0.2">
      <c r="C106" t="s">
        <v>74</v>
      </c>
    </row>
    <row r="107" spans="3:3" x14ac:dyDescent="0.2">
      <c r="C107" t="s">
        <v>48</v>
      </c>
    </row>
    <row r="108" spans="3:3" x14ac:dyDescent="0.2">
      <c r="C108" t="s">
        <v>75</v>
      </c>
    </row>
    <row r="109" spans="3:3" x14ac:dyDescent="0.2">
      <c r="C109" t="s">
        <v>76</v>
      </c>
    </row>
    <row r="110" spans="3:3" x14ac:dyDescent="0.2">
      <c r="C110" t="s">
        <v>77</v>
      </c>
    </row>
    <row r="111" spans="3:3" x14ac:dyDescent="0.2">
      <c r="C111" t="s">
        <v>78</v>
      </c>
    </row>
    <row r="112" spans="3:3" x14ac:dyDescent="0.2">
      <c r="C112" t="s">
        <v>79</v>
      </c>
    </row>
    <row r="113" spans="3:3" x14ac:dyDescent="0.2">
      <c r="C113" t="s">
        <v>80</v>
      </c>
    </row>
    <row r="114" spans="3:3" x14ac:dyDescent="0.2">
      <c r="C114" t="s">
        <v>81</v>
      </c>
    </row>
    <row r="115" spans="3:3" x14ac:dyDescent="0.2">
      <c r="C115" t="s">
        <v>82</v>
      </c>
    </row>
    <row r="116" spans="3:3" x14ac:dyDescent="0.2">
      <c r="C116" t="s">
        <v>83</v>
      </c>
    </row>
    <row r="117" spans="3:3" x14ac:dyDescent="0.2">
      <c r="C117" t="s">
        <v>84</v>
      </c>
    </row>
    <row r="118" spans="3:3" x14ac:dyDescent="0.2">
      <c r="C118" t="s">
        <v>85</v>
      </c>
    </row>
    <row r="119" spans="3:3" x14ac:dyDescent="0.2">
      <c r="C119" t="s">
        <v>86</v>
      </c>
    </row>
    <row r="120" spans="3:3" x14ac:dyDescent="0.2">
      <c r="C120" t="s">
        <v>87</v>
      </c>
    </row>
    <row r="121" spans="3:3" x14ac:dyDescent="0.2">
      <c r="C121" t="s">
        <v>88</v>
      </c>
    </row>
    <row r="122" spans="3:3" x14ac:dyDescent="0.2">
      <c r="C122" t="s">
        <v>89</v>
      </c>
    </row>
    <row r="123" spans="3:3" x14ac:dyDescent="0.2">
      <c r="C123" t="s">
        <v>90</v>
      </c>
    </row>
    <row r="124" spans="3:3" x14ac:dyDescent="0.2">
      <c r="C124" t="s">
        <v>91</v>
      </c>
    </row>
    <row r="125" spans="3:3" x14ac:dyDescent="0.2">
      <c r="C125" t="s">
        <v>92</v>
      </c>
    </row>
    <row r="126" spans="3:3" x14ac:dyDescent="0.2">
      <c r="C126" t="s">
        <v>93</v>
      </c>
    </row>
    <row r="127" spans="3:3" x14ac:dyDescent="0.2">
      <c r="C127" t="s">
        <v>94</v>
      </c>
    </row>
    <row r="128" spans="3:3" x14ac:dyDescent="0.2">
      <c r="C128" t="s">
        <v>95</v>
      </c>
    </row>
    <row r="129" spans="3:3" x14ac:dyDescent="0.2">
      <c r="C129" t="s">
        <v>96</v>
      </c>
    </row>
    <row r="130" spans="3:3" x14ac:dyDescent="0.2">
      <c r="C130" t="s">
        <v>97</v>
      </c>
    </row>
    <row r="131" spans="3:3" x14ac:dyDescent="0.2">
      <c r="C131" t="s">
        <v>98</v>
      </c>
    </row>
    <row r="132" spans="3:3" x14ac:dyDescent="0.2">
      <c r="C132" t="s">
        <v>99</v>
      </c>
    </row>
    <row r="133" spans="3:3" x14ac:dyDescent="0.2">
      <c r="C133" t="s">
        <v>80</v>
      </c>
    </row>
    <row r="134" spans="3:3" x14ac:dyDescent="0.2">
      <c r="C134" t="s">
        <v>85</v>
      </c>
    </row>
    <row r="135" spans="3:3" x14ac:dyDescent="0.2">
      <c r="C135" t="s">
        <v>86</v>
      </c>
    </row>
    <row r="136" spans="3:3" x14ac:dyDescent="0.2">
      <c r="C136" t="s">
        <v>87</v>
      </c>
    </row>
    <row r="137" spans="3:3" x14ac:dyDescent="0.2">
      <c r="C137" t="s">
        <v>88</v>
      </c>
    </row>
    <row r="138" spans="3:3" x14ac:dyDescent="0.2">
      <c r="C138" t="s">
        <v>100</v>
      </c>
    </row>
    <row r="139" spans="3:3" x14ac:dyDescent="0.2">
      <c r="C139" t="s">
        <v>101</v>
      </c>
    </row>
    <row r="140" spans="3:3" x14ac:dyDescent="0.2">
      <c r="C140" t="s">
        <v>102</v>
      </c>
    </row>
    <row r="141" spans="3:3" x14ac:dyDescent="0.2">
      <c r="C141" t="s">
        <v>103</v>
      </c>
    </row>
    <row r="142" spans="3:3" x14ac:dyDescent="0.2">
      <c r="C142" t="s">
        <v>104</v>
      </c>
    </row>
    <row r="143" spans="3:3" x14ac:dyDescent="0.2">
      <c r="C143" t="s">
        <v>105</v>
      </c>
    </row>
    <row r="144" spans="3:3" x14ac:dyDescent="0.2">
      <c r="C144" t="s">
        <v>106</v>
      </c>
    </row>
    <row r="145" spans="3:3" x14ac:dyDescent="0.2">
      <c r="C145" t="s">
        <v>107</v>
      </c>
    </row>
    <row r="146" spans="3:3" x14ac:dyDescent="0.2">
      <c r="C146" t="s">
        <v>108</v>
      </c>
    </row>
    <row r="147" spans="3:3" x14ac:dyDescent="0.2">
      <c r="C147" t="s">
        <v>109</v>
      </c>
    </row>
    <row r="148" spans="3:3" x14ac:dyDescent="0.2">
      <c r="C148" t="s">
        <v>110</v>
      </c>
    </row>
    <row r="149" spans="3:3" x14ac:dyDescent="0.2">
      <c r="C149" t="s">
        <v>64</v>
      </c>
    </row>
    <row r="150" spans="3:3" x14ac:dyDescent="0.2">
      <c r="C150" t="s">
        <v>111</v>
      </c>
    </row>
    <row r="151" spans="3:3" x14ac:dyDescent="0.2">
      <c r="C151" t="s">
        <v>66</v>
      </c>
    </row>
    <row r="152" spans="3:3" x14ac:dyDescent="0.2">
      <c r="C152" t="s">
        <v>67</v>
      </c>
    </row>
    <row r="153" spans="3:3" x14ac:dyDescent="0.2">
      <c r="C153" t="s">
        <v>68</v>
      </c>
    </row>
    <row r="154" spans="3:3" x14ac:dyDescent="0.2">
      <c r="C154" t="s">
        <v>69</v>
      </c>
    </row>
    <row r="155" spans="3:3" x14ac:dyDescent="0.2">
      <c r="C155" t="s">
        <v>70</v>
      </c>
    </row>
    <row r="156" spans="3:3" x14ac:dyDescent="0.2">
      <c r="C156" t="s">
        <v>71</v>
      </c>
    </row>
    <row r="157" spans="3:3" x14ac:dyDescent="0.2">
      <c r="C157" t="s">
        <v>72</v>
      </c>
    </row>
    <row r="158" spans="3:3" x14ac:dyDescent="0.2">
      <c r="C158" t="s">
        <v>42</v>
      </c>
    </row>
    <row r="160" spans="3:3" x14ac:dyDescent="0.2">
      <c r="C160" t="s">
        <v>112</v>
      </c>
    </row>
    <row r="161" spans="3:3" x14ac:dyDescent="0.2">
      <c r="C161" t="s">
        <v>113</v>
      </c>
    </row>
    <row r="162" spans="3:3" x14ac:dyDescent="0.2">
      <c r="C162" t="s">
        <v>48</v>
      </c>
    </row>
    <row r="163" spans="3:3" x14ac:dyDescent="0.2">
      <c r="C163" t="s">
        <v>114</v>
      </c>
    </row>
    <row r="164" spans="3:3" x14ac:dyDescent="0.2">
      <c r="C164" t="s">
        <v>115</v>
      </c>
    </row>
    <row r="165" spans="3:3" x14ac:dyDescent="0.2">
      <c r="C165" t="s">
        <v>116</v>
      </c>
    </row>
    <row r="166" spans="3:3" x14ac:dyDescent="0.2">
      <c r="C166" t="s">
        <v>117</v>
      </c>
    </row>
    <row r="167" spans="3:3" x14ac:dyDescent="0.2">
      <c r="C167" t="s">
        <v>118</v>
      </c>
    </row>
    <row r="168" spans="3:3" x14ac:dyDescent="0.2">
      <c r="C168" t="s">
        <v>119</v>
      </c>
    </row>
    <row r="169" spans="3:3" x14ac:dyDescent="0.2">
      <c r="C169" t="s">
        <v>120</v>
      </c>
    </row>
    <row r="170" spans="3:3" x14ac:dyDescent="0.2">
      <c r="C170" t="s">
        <v>42</v>
      </c>
    </row>
    <row r="172" spans="3:3" x14ac:dyDescent="0.2">
      <c r="C172" t="e" cm="1">
        <f t="array" ref="C172">-- source_4 for dispositions is created using external_data_sources.salesforce_nova.task</f>
        <v>#NAME?</v>
      </c>
    </row>
    <row r="173" spans="3:3" x14ac:dyDescent="0.2">
      <c r="C173" t="s">
        <v>121</v>
      </c>
    </row>
    <row r="174" spans="3:3" x14ac:dyDescent="0.2">
      <c r="C174" t="s">
        <v>48</v>
      </c>
    </row>
    <row r="175" spans="3:3" x14ac:dyDescent="0.2">
      <c r="C175" t="s">
        <v>114</v>
      </c>
    </row>
    <row r="176" spans="3:3" x14ac:dyDescent="0.2">
      <c r="C176" t="s">
        <v>122</v>
      </c>
    </row>
    <row r="177" spans="3:3" x14ac:dyDescent="0.2">
      <c r="C177" t="s">
        <v>123</v>
      </c>
    </row>
    <row r="178" spans="3:3" x14ac:dyDescent="0.2">
      <c r="C178" t="s">
        <v>124</v>
      </c>
    </row>
    <row r="179" spans="3:3" x14ac:dyDescent="0.2">
      <c r="C179" t="s">
        <v>125</v>
      </c>
    </row>
    <row r="180" spans="3:3" x14ac:dyDescent="0.2">
      <c r="C180" t="s">
        <v>126</v>
      </c>
    </row>
    <row r="181" spans="3:3" x14ac:dyDescent="0.2">
      <c r="C181" t="s">
        <v>127</v>
      </c>
    </row>
    <row r="182" spans="3:3" x14ac:dyDescent="0.2">
      <c r="C182" t="s">
        <v>64</v>
      </c>
    </row>
    <row r="183" spans="3:3" x14ac:dyDescent="0.2">
      <c r="C183" t="s">
        <v>111</v>
      </c>
    </row>
    <row r="184" spans="3:3" x14ac:dyDescent="0.2">
      <c r="C184" t="s">
        <v>66</v>
      </c>
    </row>
    <row r="185" spans="3:3" x14ac:dyDescent="0.2">
      <c r="C185" t="s">
        <v>67</v>
      </c>
    </row>
    <row r="186" spans="3:3" x14ac:dyDescent="0.2">
      <c r="C186" t="s">
        <v>68</v>
      </c>
    </row>
    <row r="187" spans="3:3" x14ac:dyDescent="0.2">
      <c r="C187" t="s">
        <v>69</v>
      </c>
    </row>
    <row r="188" spans="3:3" x14ac:dyDescent="0.2">
      <c r="C188" t="s">
        <v>70</v>
      </c>
    </row>
    <row r="189" spans="3:3" x14ac:dyDescent="0.2">
      <c r="C189" t="s">
        <v>71</v>
      </c>
    </row>
    <row r="190" spans="3:3" x14ac:dyDescent="0.2">
      <c r="C190" t="s">
        <v>72</v>
      </c>
    </row>
    <row r="191" spans="3:3" x14ac:dyDescent="0.2">
      <c r="C191" t="s">
        <v>42</v>
      </c>
    </row>
    <row r="192" spans="3:3" x14ac:dyDescent="0.2">
      <c r="C192" t="s">
        <v>363</v>
      </c>
    </row>
    <row r="193" spans="3:3" x14ac:dyDescent="0.2">
      <c r="C193" t="s">
        <v>48</v>
      </c>
    </row>
    <row r="194" spans="3:3" x14ac:dyDescent="0.2">
      <c r="C194" t="s">
        <v>49</v>
      </c>
    </row>
    <row r="195" spans="3:3" x14ac:dyDescent="0.2">
      <c r="C195" t="s">
        <v>364</v>
      </c>
    </row>
    <row r="196" spans="3:3" x14ac:dyDescent="0.2">
      <c r="C196" t="s">
        <v>365</v>
      </c>
    </row>
    <row r="197" spans="3:3" x14ac:dyDescent="0.2">
      <c r="C197" t="s">
        <v>48</v>
      </c>
    </row>
    <row r="198" spans="3:3" x14ac:dyDescent="0.2">
      <c r="C198" t="s">
        <v>366</v>
      </c>
    </row>
    <row r="199" spans="3:3" x14ac:dyDescent="0.2">
      <c r="C199" t="s">
        <v>157</v>
      </c>
    </row>
    <row r="200" spans="3:3" x14ac:dyDescent="0.2">
      <c r="C200" t="s">
        <v>367</v>
      </c>
    </row>
    <row r="201" spans="3:3" x14ac:dyDescent="0.2">
      <c r="C201" t="s">
        <v>157</v>
      </c>
    </row>
    <row r="202" spans="3:3" x14ac:dyDescent="0.2">
      <c r="C202" t="s">
        <v>368</v>
      </c>
    </row>
    <row r="203" spans="3:3" x14ac:dyDescent="0.2">
      <c r="C203" t="s">
        <v>157</v>
      </c>
    </row>
    <row r="204" spans="3:3" x14ac:dyDescent="0.2">
      <c r="C204" t="s">
        <v>369</v>
      </c>
    </row>
    <row r="205" spans="3:3" x14ac:dyDescent="0.2">
      <c r="C205" t="s">
        <v>370</v>
      </c>
    </row>
    <row r="206" spans="3:3" x14ac:dyDescent="0.2">
      <c r="C206" t="s">
        <v>371</v>
      </c>
    </row>
    <row r="207" spans="3:3" x14ac:dyDescent="0.2">
      <c r="C207" t="s">
        <v>12</v>
      </c>
    </row>
    <row r="208" spans="3:3" x14ac:dyDescent="0.2">
      <c r="C208" t="s">
        <v>372</v>
      </c>
    </row>
    <row r="209" spans="3:3" x14ac:dyDescent="0.2">
      <c r="C209" t="e" cm="1">
        <f t="array" ref="C209">--Mapping call logs from each source with Delinquent accounts</f>
        <v>#NAME?</v>
      </c>
    </row>
    <row r="210" spans="3:3" x14ac:dyDescent="0.2">
      <c r="C210" t="s">
        <v>128</v>
      </c>
    </row>
    <row r="211" spans="3:3" x14ac:dyDescent="0.2">
      <c r="C211" t="s">
        <v>373</v>
      </c>
    </row>
    <row r="212" spans="3:3" x14ac:dyDescent="0.2">
      <c r="C212" t="s">
        <v>48</v>
      </c>
    </row>
    <row r="213" spans="3:3" x14ac:dyDescent="0.2">
      <c r="C213" t="s">
        <v>130</v>
      </c>
    </row>
    <row r="214" spans="3:3" x14ac:dyDescent="0.2">
      <c r="C214" t="s">
        <v>131</v>
      </c>
    </row>
    <row r="215" spans="3:3" x14ac:dyDescent="0.2">
      <c r="C215" t="s">
        <v>132</v>
      </c>
    </row>
    <row r="216" spans="3:3" x14ac:dyDescent="0.2">
      <c r="C216" t="s">
        <v>133</v>
      </c>
    </row>
    <row r="217" spans="3:3" x14ac:dyDescent="0.2">
      <c r="C217" t="s">
        <v>134</v>
      </c>
    </row>
    <row r="218" spans="3:3" x14ac:dyDescent="0.2">
      <c r="C218" t="s">
        <v>135</v>
      </c>
    </row>
    <row r="219" spans="3:3" x14ac:dyDescent="0.2">
      <c r="C219" t="s">
        <v>136</v>
      </c>
    </row>
    <row r="220" spans="3:3" x14ac:dyDescent="0.2">
      <c r="C220" t="s">
        <v>137</v>
      </c>
    </row>
    <row r="221" spans="3:3" x14ac:dyDescent="0.2">
      <c r="C221" t="s">
        <v>138</v>
      </c>
    </row>
    <row r="222" spans="3:3" x14ac:dyDescent="0.2">
      <c r="C222" t="s">
        <v>139</v>
      </c>
    </row>
    <row r="223" spans="3:3" x14ac:dyDescent="0.2">
      <c r="C223" t="s">
        <v>140</v>
      </c>
    </row>
    <row r="224" spans="3:3" x14ac:dyDescent="0.2">
      <c r="C224" t="s">
        <v>141</v>
      </c>
    </row>
    <row r="225" spans="3:3" x14ac:dyDescent="0.2">
      <c r="C225" t="s">
        <v>142</v>
      </c>
    </row>
    <row r="226" spans="3:3" x14ac:dyDescent="0.2">
      <c r="C226" t="s">
        <v>143</v>
      </c>
    </row>
    <row r="227" spans="3:3" x14ac:dyDescent="0.2">
      <c r="C227" t="s">
        <v>144</v>
      </c>
    </row>
    <row r="228" spans="3:3" x14ac:dyDescent="0.2">
      <c r="C228" t="s">
        <v>145</v>
      </c>
    </row>
    <row r="229" spans="3:3" x14ac:dyDescent="0.2">
      <c r="C229" t="s">
        <v>146</v>
      </c>
    </row>
    <row r="230" spans="3:3" x14ac:dyDescent="0.2">
      <c r="C230" t="s">
        <v>147</v>
      </c>
    </row>
    <row r="231" spans="3:3" x14ac:dyDescent="0.2">
      <c r="C231" t="s">
        <v>148</v>
      </c>
    </row>
    <row r="232" spans="3:3" x14ac:dyDescent="0.2">
      <c r="C232" t="s">
        <v>42</v>
      </c>
    </row>
    <row r="233" spans="3:3" x14ac:dyDescent="0.2">
      <c r="C233" t="s">
        <v>149</v>
      </c>
    </row>
    <row r="234" spans="3:3" x14ac:dyDescent="0.2">
      <c r="C234" t="s">
        <v>150</v>
      </c>
    </row>
    <row r="235" spans="3:3" x14ac:dyDescent="0.2">
      <c r="C235" t="s">
        <v>151</v>
      </c>
    </row>
    <row r="236" spans="3:3" x14ac:dyDescent="0.2">
      <c r="C236" t="s">
        <v>152</v>
      </c>
    </row>
    <row r="237" spans="3:3" x14ac:dyDescent="0.2">
      <c r="C237" t="s">
        <v>153</v>
      </c>
    </row>
    <row r="238" spans="3:3" x14ac:dyDescent="0.2">
      <c r="C238" t="s">
        <v>154</v>
      </c>
    </row>
    <row r="239" spans="3:3" x14ac:dyDescent="0.2">
      <c r="C239" t="s">
        <v>155</v>
      </c>
    </row>
    <row r="240" spans="3:3" x14ac:dyDescent="0.2">
      <c r="C240" t="s">
        <v>156</v>
      </c>
    </row>
    <row r="242" spans="3:3" x14ac:dyDescent="0.2">
      <c r="C242" t="s">
        <v>157</v>
      </c>
    </row>
    <row r="243" spans="3:3" x14ac:dyDescent="0.2">
      <c r="C243" t="s">
        <v>158</v>
      </c>
    </row>
    <row r="245" spans="3:3" x14ac:dyDescent="0.2">
      <c r="C245" t="s">
        <v>159</v>
      </c>
    </row>
    <row r="246" spans="3:3" x14ac:dyDescent="0.2">
      <c r="C246" t="s">
        <v>152</v>
      </c>
    </row>
    <row r="247" spans="3:3" x14ac:dyDescent="0.2">
      <c r="C247" t="s">
        <v>160</v>
      </c>
    </row>
    <row r="248" spans="3:3" x14ac:dyDescent="0.2">
      <c r="C248" t="s">
        <v>95</v>
      </c>
    </row>
    <row r="249" spans="3:3" x14ac:dyDescent="0.2">
      <c r="C249" t="s">
        <v>104</v>
      </c>
    </row>
    <row r="250" spans="3:3" x14ac:dyDescent="0.2">
      <c r="C250" t="s">
        <v>105</v>
      </c>
    </row>
    <row r="251" spans="3:3" x14ac:dyDescent="0.2">
      <c r="C251" t="s">
        <v>106</v>
      </c>
    </row>
    <row r="252" spans="3:3" x14ac:dyDescent="0.2">
      <c r="C252" t="s">
        <v>161</v>
      </c>
    </row>
    <row r="253" spans="3:3" x14ac:dyDescent="0.2">
      <c r="C253" t="s">
        <v>162</v>
      </c>
    </row>
    <row r="255" spans="3:3" x14ac:dyDescent="0.2">
      <c r="C255" t="s">
        <v>157</v>
      </c>
    </row>
    <row r="257" spans="3:3" x14ac:dyDescent="0.2">
      <c r="C257" t="s">
        <v>163</v>
      </c>
    </row>
    <row r="258" spans="3:3" x14ac:dyDescent="0.2">
      <c r="C258" t="s">
        <v>152</v>
      </c>
    </row>
    <row r="259" spans="3:3" x14ac:dyDescent="0.2">
      <c r="C259" t="s">
        <v>164</v>
      </c>
    </row>
    <row r="260" spans="3:3" x14ac:dyDescent="0.2">
      <c r="C260" t="s">
        <v>165</v>
      </c>
    </row>
    <row r="261" spans="3:3" x14ac:dyDescent="0.2">
      <c r="C261" t="s">
        <v>166</v>
      </c>
    </row>
    <row r="262" spans="3:3" x14ac:dyDescent="0.2">
      <c r="C262" t="s">
        <v>167</v>
      </c>
    </row>
    <row r="264" spans="3:3" x14ac:dyDescent="0.2">
      <c r="C264" t="s">
        <v>157</v>
      </c>
    </row>
    <row r="266" spans="3:3" x14ac:dyDescent="0.2">
      <c r="C266" t="s">
        <v>168</v>
      </c>
    </row>
    <row r="267" spans="3:3" x14ac:dyDescent="0.2">
      <c r="C267" t="s">
        <v>152</v>
      </c>
    </row>
    <row r="268" spans="3:3" x14ac:dyDescent="0.2">
      <c r="C268" t="s">
        <v>169</v>
      </c>
    </row>
    <row r="269" spans="3:3" x14ac:dyDescent="0.2">
      <c r="C269" t="s">
        <v>170</v>
      </c>
    </row>
    <row r="270" spans="3:3" x14ac:dyDescent="0.2">
      <c r="C270" t="s">
        <v>171</v>
      </c>
    </row>
    <row r="271" spans="3:3" x14ac:dyDescent="0.2">
      <c r="C271" t="s">
        <v>172</v>
      </c>
    </row>
    <row r="272" spans="3:3" x14ac:dyDescent="0.2">
      <c r="C272" t="s">
        <v>42</v>
      </c>
    </row>
    <row r="273" spans="3:3" x14ac:dyDescent="0.2">
      <c r="C273" t="e" cm="1">
        <f t="array" ref="C273">-- Final result: Distinct list of ALL FBBIDs that have a DNC disposition in their history</f>
        <v>#NAME?</v>
      </c>
    </row>
    <row r="274" spans="3:3" x14ac:dyDescent="0.2">
      <c r="C274" t="s">
        <v>173</v>
      </c>
    </row>
    <row r="275" spans="3:3" x14ac:dyDescent="0.2">
      <c r="C275" t="s">
        <v>48</v>
      </c>
    </row>
    <row r="276" spans="3:3" x14ac:dyDescent="0.2">
      <c r="C276" t="s">
        <v>75</v>
      </c>
    </row>
    <row r="277" spans="3:3" x14ac:dyDescent="0.2">
      <c r="C277" t="s">
        <v>174</v>
      </c>
    </row>
    <row r="278" spans="3:3" x14ac:dyDescent="0.2">
      <c r="C278" t="s">
        <v>175</v>
      </c>
    </row>
    <row r="279" spans="3:3" x14ac:dyDescent="0.2">
      <c r="C279" t="s">
        <v>176</v>
      </c>
    </row>
    <row r="280" spans="3:3" x14ac:dyDescent="0.2">
      <c r="C280" t="s">
        <v>177</v>
      </c>
    </row>
    <row r="281" spans="3:3" x14ac:dyDescent="0.2">
      <c r="C281" t="s">
        <v>178</v>
      </c>
    </row>
    <row r="282" spans="3:3" x14ac:dyDescent="0.2">
      <c r="C282" t="s">
        <v>42</v>
      </c>
    </row>
    <row r="283" spans="3:3" x14ac:dyDescent="0.2">
      <c r="C283" t="s">
        <v>179</v>
      </c>
    </row>
    <row r="284" spans="3:3" x14ac:dyDescent="0.2">
      <c r="C284" t="s">
        <v>49</v>
      </c>
    </row>
    <row r="285" spans="3:3" x14ac:dyDescent="0.2">
      <c r="C285" t="s">
        <v>115</v>
      </c>
    </row>
    <row r="286" spans="3:3" x14ac:dyDescent="0.2">
      <c r="C286" t="s">
        <v>180</v>
      </c>
    </row>
    <row r="287" spans="3:3" x14ac:dyDescent="0.2">
      <c r="C287" t="s">
        <v>181</v>
      </c>
    </row>
    <row r="288" spans="3:3" x14ac:dyDescent="0.2">
      <c r="C288" t="s">
        <v>182</v>
      </c>
    </row>
    <row r="289" spans="3:3" x14ac:dyDescent="0.2">
      <c r="C289" t="s">
        <v>183</v>
      </c>
    </row>
    <row r="290" spans="3:3" x14ac:dyDescent="0.2">
      <c r="C290" t="s">
        <v>374</v>
      </c>
    </row>
    <row r="291" spans="3:3" x14ac:dyDescent="0.2">
      <c r="C291" t="s">
        <v>185</v>
      </c>
    </row>
    <row r="292" spans="3:3" x14ac:dyDescent="0.2">
      <c r="C292" t="s">
        <v>42</v>
      </c>
    </row>
    <row r="293" spans="3:3" x14ac:dyDescent="0.2">
      <c r="C293" t="s">
        <v>375</v>
      </c>
    </row>
    <row r="294" spans="3:3" x14ac:dyDescent="0.2">
      <c r="C294" t="s">
        <v>49</v>
      </c>
    </row>
    <row r="295" spans="3:3" x14ac:dyDescent="0.2">
      <c r="C295" t="s">
        <v>115</v>
      </c>
    </row>
    <row r="296" spans="3:3" x14ac:dyDescent="0.2">
      <c r="C296" t="s">
        <v>180</v>
      </c>
    </row>
    <row r="297" spans="3:3" x14ac:dyDescent="0.2">
      <c r="C297" t="s">
        <v>181</v>
      </c>
    </row>
    <row r="298" spans="3:3" x14ac:dyDescent="0.2">
      <c r="C298" t="s">
        <v>182</v>
      </c>
    </row>
    <row r="299" spans="3:3" x14ac:dyDescent="0.2">
      <c r="C299" t="s">
        <v>376</v>
      </c>
    </row>
    <row r="300" spans="3:3" x14ac:dyDescent="0.2">
      <c r="C300" t="s">
        <v>377</v>
      </c>
    </row>
    <row r="301" spans="3:3" x14ac:dyDescent="0.2">
      <c r="C301" t="s">
        <v>185</v>
      </c>
    </row>
    <row r="302" spans="3:3" x14ac:dyDescent="0.2">
      <c r="C302" t="s">
        <v>42</v>
      </c>
    </row>
    <row r="303" spans="3:3" x14ac:dyDescent="0.2">
      <c r="C303" t="s">
        <v>378</v>
      </c>
    </row>
    <row r="304" spans="3:3" x14ac:dyDescent="0.2">
      <c r="C304" t="s">
        <v>49</v>
      </c>
    </row>
    <row r="305" spans="3:3" x14ac:dyDescent="0.2">
      <c r="C305" t="s">
        <v>115</v>
      </c>
    </row>
    <row r="306" spans="3:3" x14ac:dyDescent="0.2">
      <c r="C306" t="s">
        <v>379</v>
      </c>
    </row>
    <row r="307" spans="3:3" x14ac:dyDescent="0.2">
      <c r="C307" t="s">
        <v>181</v>
      </c>
    </row>
    <row r="308" spans="3:3" x14ac:dyDescent="0.2">
      <c r="C308" t="s">
        <v>182</v>
      </c>
    </row>
    <row r="309" spans="3:3" x14ac:dyDescent="0.2">
      <c r="C309" t="s">
        <v>376</v>
      </c>
    </row>
    <row r="310" spans="3:3" x14ac:dyDescent="0.2">
      <c r="C310" t="s">
        <v>380</v>
      </c>
    </row>
    <row r="311" spans="3:3" x14ac:dyDescent="0.2">
      <c r="C311" t="s">
        <v>185</v>
      </c>
    </row>
    <row r="312" spans="3:3" x14ac:dyDescent="0.2">
      <c r="C312" t="s">
        <v>12</v>
      </c>
    </row>
    <row r="313" spans="3:3" x14ac:dyDescent="0.2">
      <c r="C313" t="s">
        <v>15</v>
      </c>
    </row>
    <row r="314" spans="3:3" x14ac:dyDescent="0.2">
      <c r="C314" t="s">
        <v>381</v>
      </c>
    </row>
    <row r="315" spans="3:3" x14ac:dyDescent="0.2">
      <c r="C315" t="s">
        <v>48</v>
      </c>
    </row>
    <row r="316" spans="3:3" x14ac:dyDescent="0.2">
      <c r="C316" t="s">
        <v>382</v>
      </c>
    </row>
    <row r="317" spans="3:3" x14ac:dyDescent="0.2">
      <c r="C317" t="s">
        <v>383</v>
      </c>
    </row>
    <row r="318" spans="3:3" x14ac:dyDescent="0.2">
      <c r="C318" t="s">
        <v>384</v>
      </c>
    </row>
    <row r="319" spans="3:3" x14ac:dyDescent="0.2">
      <c r="C319" t="s">
        <v>385</v>
      </c>
    </row>
    <row r="320" spans="3:3" x14ac:dyDescent="0.2">
      <c r="C320" t="s">
        <v>386</v>
      </c>
    </row>
    <row r="321" spans="3:3" x14ac:dyDescent="0.2">
      <c r="C321" t="s">
        <v>387</v>
      </c>
    </row>
    <row r="322" spans="3:3" x14ac:dyDescent="0.2">
      <c r="C322" t="s">
        <v>388</v>
      </c>
    </row>
    <row r="323" spans="3:3" x14ac:dyDescent="0.2">
      <c r="C323" t="s">
        <v>389</v>
      </c>
    </row>
    <row r="324" spans="3:3" x14ac:dyDescent="0.2">
      <c r="C324" t="s">
        <v>390</v>
      </c>
    </row>
    <row r="325" spans="3:3" x14ac:dyDescent="0.2">
      <c r="C325" t="s">
        <v>391</v>
      </c>
    </row>
    <row r="326" spans="3:3" x14ac:dyDescent="0.2">
      <c r="C326" t="s">
        <v>42</v>
      </c>
    </row>
    <row r="328" spans="3:3" x14ac:dyDescent="0.2">
      <c r="C328" t="s">
        <v>186</v>
      </c>
    </row>
    <row r="329" spans="3:3" x14ac:dyDescent="0.2">
      <c r="C329" t="s">
        <v>187</v>
      </c>
    </row>
    <row r="330" spans="3:3" x14ac:dyDescent="0.2">
      <c r="C330" t="s">
        <v>114</v>
      </c>
    </row>
    <row r="331" spans="3:3" x14ac:dyDescent="0.2">
      <c r="C331" t="s">
        <v>188</v>
      </c>
    </row>
    <row r="332" spans="3:3" x14ac:dyDescent="0.2">
      <c r="C332" t="s">
        <v>189</v>
      </c>
    </row>
    <row r="333" spans="3:3" x14ac:dyDescent="0.2">
      <c r="C333" t="s">
        <v>392</v>
      </c>
    </row>
    <row r="334" spans="3:3" x14ac:dyDescent="0.2">
      <c r="C334" t="s">
        <v>193</v>
      </c>
    </row>
    <row r="335" spans="3:3" x14ac:dyDescent="0.2">
      <c r="C335" t="s">
        <v>393</v>
      </c>
    </row>
    <row r="336" spans="3:3" x14ac:dyDescent="0.2">
      <c r="C336" t="s">
        <v>394</v>
      </c>
    </row>
    <row r="337" spans="3:3" x14ac:dyDescent="0.2">
      <c r="C337" t="s">
        <v>395</v>
      </c>
    </row>
    <row r="338" spans="3:3" x14ac:dyDescent="0.2">
      <c r="C338" t="s">
        <v>195</v>
      </c>
    </row>
    <row r="339" spans="3:3" x14ac:dyDescent="0.2">
      <c r="C339" t="s">
        <v>396</v>
      </c>
    </row>
    <row r="340" spans="3:3" x14ac:dyDescent="0.2">
      <c r="C340" t="s">
        <v>397</v>
      </c>
    </row>
    <row r="341" spans="3:3" x14ac:dyDescent="0.2">
      <c r="C341" t="s">
        <v>398</v>
      </c>
    </row>
    <row r="342" spans="3:3" x14ac:dyDescent="0.2">
      <c r="C342" t="s">
        <v>399</v>
      </c>
    </row>
    <row r="343" spans="3:3" x14ac:dyDescent="0.2">
      <c r="C343" t="s">
        <v>400</v>
      </c>
    </row>
    <row r="344" spans="3:3" x14ac:dyDescent="0.2">
      <c r="C344" t="s">
        <v>401</v>
      </c>
    </row>
    <row r="345" spans="3:3" x14ac:dyDescent="0.2">
      <c r="C345" t="s">
        <v>196</v>
      </c>
    </row>
    <row r="346" spans="3:3" x14ac:dyDescent="0.2">
      <c r="C346" t="s">
        <v>197</v>
      </c>
    </row>
    <row r="347" spans="3:3" x14ac:dyDescent="0.2">
      <c r="C347" t="s">
        <v>198</v>
      </c>
    </row>
    <row r="348" spans="3:3" x14ac:dyDescent="0.2">
      <c r="C348" t="s">
        <v>402</v>
      </c>
    </row>
    <row r="350" spans="3:3" x14ac:dyDescent="0.2">
      <c r="C350" t="s">
        <v>403</v>
      </c>
    </row>
    <row r="351" spans="3:3" x14ac:dyDescent="0.2">
      <c r="C351" t="s">
        <v>404</v>
      </c>
    </row>
    <row r="352" spans="3:3" x14ac:dyDescent="0.2">
      <c r="C352" t="s">
        <v>405</v>
      </c>
    </row>
    <row r="353" spans="3:3" x14ac:dyDescent="0.2">
      <c r="C353" t="s">
        <v>406</v>
      </c>
    </row>
    <row r="354" spans="3:3" x14ac:dyDescent="0.2">
      <c r="C354" t="s">
        <v>407</v>
      </c>
    </row>
    <row r="356" spans="3:3" x14ac:dyDescent="0.2">
      <c r="C356" t="s">
        <v>201</v>
      </c>
    </row>
    <row r="357" spans="3:3" x14ac:dyDescent="0.2">
      <c r="C357" t="s">
        <v>202</v>
      </c>
    </row>
    <row r="358" spans="3:3" x14ac:dyDescent="0.2">
      <c r="C358" t="s">
        <v>203</v>
      </c>
    </row>
    <row r="359" spans="3:3" x14ac:dyDescent="0.2">
      <c r="C359" t="s">
        <v>204</v>
      </c>
    </row>
    <row r="360" spans="3:3" x14ac:dyDescent="0.2">
      <c r="C360" t="s">
        <v>408</v>
      </c>
    </row>
    <row r="361" spans="3:3" x14ac:dyDescent="0.2">
      <c r="C361" t="s">
        <v>205</v>
      </c>
    </row>
    <row r="362" spans="3:3" x14ac:dyDescent="0.2">
      <c r="C362" t="s">
        <v>206</v>
      </c>
    </row>
    <row r="363" spans="3:3" x14ac:dyDescent="0.2">
      <c r="C363" t="s">
        <v>409</v>
      </c>
    </row>
    <row r="364" spans="3:3" x14ac:dyDescent="0.2">
      <c r="C364" t="s">
        <v>410</v>
      </c>
    </row>
    <row r="365" spans="3:3" x14ac:dyDescent="0.2">
      <c r="C365" t="s">
        <v>228</v>
      </c>
    </row>
    <row r="366" spans="3:3" x14ac:dyDescent="0.2">
      <c r="C366" t="s">
        <v>411</v>
      </c>
    </row>
    <row r="367" spans="3:3" x14ac:dyDescent="0.2">
      <c r="C367" t="s">
        <v>412</v>
      </c>
    </row>
    <row r="368" spans="3:3" x14ac:dyDescent="0.2">
      <c r="C368" t="s">
        <v>413</v>
      </c>
    </row>
    <row r="369" spans="3:3" x14ac:dyDescent="0.2">
      <c r="C369" t="s">
        <v>406</v>
      </c>
    </row>
    <row r="370" spans="3:3" x14ac:dyDescent="0.2">
      <c r="C370" t="s">
        <v>414</v>
      </c>
    </row>
    <row r="371" spans="3:3" x14ac:dyDescent="0.2">
      <c r="C371" t="s">
        <v>205</v>
      </c>
    </row>
    <row r="372" spans="3:3" x14ac:dyDescent="0.2">
      <c r="C372" t="s">
        <v>209</v>
      </c>
    </row>
    <row r="373" spans="3:3" x14ac:dyDescent="0.2">
      <c r="C373" t="s">
        <v>210</v>
      </c>
    </row>
    <row r="374" spans="3:3" x14ac:dyDescent="0.2">
      <c r="C374" t="s">
        <v>211</v>
      </c>
    </row>
    <row r="375" spans="3:3" x14ac:dyDescent="0.2">
      <c r="C375" t="s">
        <v>415</v>
      </c>
    </row>
    <row r="376" spans="3:3" x14ac:dyDescent="0.2">
      <c r="C376" t="s">
        <v>416</v>
      </c>
    </row>
    <row r="377" spans="3:3" x14ac:dyDescent="0.2">
      <c r="C377" t="s">
        <v>417</v>
      </c>
    </row>
    <row r="378" spans="3:3" x14ac:dyDescent="0.2">
      <c r="C378" t="s">
        <v>213</v>
      </c>
    </row>
    <row r="379" spans="3:3" x14ac:dyDescent="0.2">
      <c r="C379" t="s">
        <v>418</v>
      </c>
    </row>
    <row r="380" spans="3:3" x14ac:dyDescent="0.2">
      <c r="C380" t="s">
        <v>419</v>
      </c>
    </row>
    <row r="381" spans="3:3" x14ac:dyDescent="0.2">
      <c r="C381" t="s">
        <v>216</v>
      </c>
    </row>
    <row r="382" spans="3:3" x14ac:dyDescent="0.2">
      <c r="C382" t="s">
        <v>217</v>
      </c>
    </row>
    <row r="383" spans="3:3" x14ac:dyDescent="0.2">
      <c r="C383" t="s">
        <v>218</v>
      </c>
    </row>
    <row r="384" spans="3:3" x14ac:dyDescent="0.2">
      <c r="C384" t="s">
        <v>219</v>
      </c>
    </row>
    <row r="385" spans="3:3" x14ac:dyDescent="0.2">
      <c r="C385" t="s">
        <v>420</v>
      </c>
    </row>
    <row r="386" spans="3:3" x14ac:dyDescent="0.2">
      <c r="C386" t="s">
        <v>205</v>
      </c>
    </row>
    <row r="387" spans="3:3" x14ac:dyDescent="0.2">
      <c r="C387" t="s">
        <v>205</v>
      </c>
    </row>
    <row r="388" spans="3:3" x14ac:dyDescent="0.2">
      <c r="C388" t="s">
        <v>220</v>
      </c>
    </row>
    <row r="389" spans="3:3" x14ac:dyDescent="0.2">
      <c r="C389" t="s">
        <v>421</v>
      </c>
    </row>
    <row r="390" spans="3:3" x14ac:dyDescent="0.2">
      <c r="C390" t="s">
        <v>422</v>
      </c>
    </row>
    <row r="391" spans="3:3" x14ac:dyDescent="0.2">
      <c r="C391" t="s">
        <v>223</v>
      </c>
    </row>
    <row r="392" spans="3:3" x14ac:dyDescent="0.2">
      <c r="C392" t="s">
        <v>224</v>
      </c>
    </row>
    <row r="393" spans="3:3" x14ac:dyDescent="0.2">
      <c r="C393" t="s">
        <v>225</v>
      </c>
    </row>
    <row r="394" spans="3:3" x14ac:dyDescent="0.2">
      <c r="C394" t="s">
        <v>226</v>
      </c>
    </row>
    <row r="395" spans="3:3" x14ac:dyDescent="0.2">
      <c r="C395" t="s">
        <v>423</v>
      </c>
    </row>
    <row r="397" spans="3:3" x14ac:dyDescent="0.2">
      <c r="C397" t="s">
        <v>205</v>
      </c>
    </row>
    <row r="398" spans="3:3" x14ac:dyDescent="0.2">
      <c r="C398" t="s">
        <v>227</v>
      </c>
    </row>
    <row r="399" spans="3:3" x14ac:dyDescent="0.2">
      <c r="C399" t="s">
        <v>228</v>
      </c>
    </row>
    <row r="400" spans="3:3" x14ac:dyDescent="0.2">
      <c r="C400" t="s">
        <v>229</v>
      </c>
    </row>
    <row r="401" spans="3:3" x14ac:dyDescent="0.2">
      <c r="C401" t="s">
        <v>424</v>
      </c>
    </row>
    <row r="402" spans="3:3" x14ac:dyDescent="0.2">
      <c r="C402" t="s">
        <v>425</v>
      </c>
    </row>
    <row r="403" spans="3:3" x14ac:dyDescent="0.2">
      <c r="C403" t="s">
        <v>426</v>
      </c>
    </row>
    <row r="404" spans="3:3" x14ac:dyDescent="0.2">
      <c r="C404" t="s">
        <v>427</v>
      </c>
    </row>
    <row r="405" spans="3:3" x14ac:dyDescent="0.2">
      <c r="C405" t="s">
        <v>428</v>
      </c>
    </row>
    <row r="406" spans="3:3" x14ac:dyDescent="0.2">
      <c r="C406" t="s">
        <v>234</v>
      </c>
    </row>
    <row r="407" spans="3:3" x14ac:dyDescent="0.2">
      <c r="C407" t="s">
        <v>235</v>
      </c>
    </row>
    <row r="408" spans="3:3" x14ac:dyDescent="0.2">
      <c r="C408" t="s">
        <v>236</v>
      </c>
    </row>
    <row r="409" spans="3:3" x14ac:dyDescent="0.2">
      <c r="C409" t="s">
        <v>205</v>
      </c>
    </row>
    <row r="410" spans="3:3" x14ac:dyDescent="0.2">
      <c r="C410" t="s">
        <v>228</v>
      </c>
    </row>
    <row r="411" spans="3:3" x14ac:dyDescent="0.2">
      <c r="C411" t="s">
        <v>237</v>
      </c>
    </row>
    <row r="412" spans="3:3" x14ac:dyDescent="0.2">
      <c r="C412" t="s">
        <v>238</v>
      </c>
    </row>
    <row r="413" spans="3:3" x14ac:dyDescent="0.2">
      <c r="C413" t="s">
        <v>239</v>
      </c>
    </row>
    <row r="414" spans="3:3" x14ac:dyDescent="0.2">
      <c r="C414" t="s">
        <v>240</v>
      </c>
    </row>
    <row r="415" spans="3:3" x14ac:dyDescent="0.2">
      <c r="C415" t="s">
        <v>241</v>
      </c>
    </row>
    <row r="416" spans="3:3" x14ac:dyDescent="0.2">
      <c r="C416" t="s">
        <v>429</v>
      </c>
    </row>
    <row r="417" spans="3:3" x14ac:dyDescent="0.2">
      <c r="C417" t="s">
        <v>243</v>
      </c>
    </row>
    <row r="418" spans="3:3" x14ac:dyDescent="0.2">
      <c r="C418" t="s">
        <v>244</v>
      </c>
    </row>
    <row r="419" spans="3:3" x14ac:dyDescent="0.2">
      <c r="C419" t="s">
        <v>430</v>
      </c>
    </row>
    <row r="420" spans="3:3" x14ac:dyDescent="0.2">
      <c r="C420" t="s">
        <v>431</v>
      </c>
    </row>
    <row r="421" spans="3:3" x14ac:dyDescent="0.2">
      <c r="C421" t="s">
        <v>432</v>
      </c>
    </row>
    <row r="422" spans="3:3" x14ac:dyDescent="0.2">
      <c r="C422" t="s">
        <v>433</v>
      </c>
    </row>
    <row r="423" spans="3:3" x14ac:dyDescent="0.2">
      <c r="C423" t="s">
        <v>434</v>
      </c>
    </row>
    <row r="424" spans="3:3" x14ac:dyDescent="0.2">
      <c r="C424" t="s">
        <v>246</v>
      </c>
    </row>
    <row r="425" spans="3:3" x14ac:dyDescent="0.2">
      <c r="C425" t="s">
        <v>247</v>
      </c>
    </row>
    <row r="426" spans="3:3" x14ac:dyDescent="0.2">
      <c r="C426" t="s">
        <v>248</v>
      </c>
    </row>
    <row r="427" spans="3:3" x14ac:dyDescent="0.2">
      <c r="C427" t="s">
        <v>249</v>
      </c>
    </row>
    <row r="428" spans="3:3" x14ac:dyDescent="0.2">
      <c r="C428" t="s">
        <v>250</v>
      </c>
    </row>
    <row r="429" spans="3:3" x14ac:dyDescent="0.2">
      <c r="C429" t="s">
        <v>259</v>
      </c>
    </row>
    <row r="430" spans="3:3" x14ac:dyDescent="0.2">
      <c r="C430" t="s">
        <v>260</v>
      </c>
    </row>
    <row r="431" spans="3:3" x14ac:dyDescent="0.2">
      <c r="C431" t="s">
        <v>261</v>
      </c>
    </row>
    <row r="432" spans="3:3" x14ac:dyDescent="0.2">
      <c r="C432" t="s">
        <v>262</v>
      </c>
    </row>
    <row r="433" spans="3:3" x14ac:dyDescent="0.2">
      <c r="C433" t="s">
        <v>435</v>
      </c>
    </row>
    <row r="434" spans="3:3" x14ac:dyDescent="0.2">
      <c r="C434" t="s">
        <v>436</v>
      </c>
    </row>
    <row r="435" spans="3:3" x14ac:dyDescent="0.2">
      <c r="C435" t="s">
        <v>437</v>
      </c>
    </row>
    <row r="436" spans="3:3" x14ac:dyDescent="0.2">
      <c r="C436" t="s">
        <v>438</v>
      </c>
    </row>
    <row r="437" spans="3:3" x14ac:dyDescent="0.2">
      <c r="C437" t="s">
        <v>439</v>
      </c>
    </row>
    <row r="438" spans="3:3" x14ac:dyDescent="0.2">
      <c r="C438" t="s">
        <v>440</v>
      </c>
    </row>
    <row r="439" spans="3:3" x14ac:dyDescent="0.2">
      <c r="C439" t="s">
        <v>12</v>
      </c>
    </row>
    <row r="440" spans="3:3" x14ac:dyDescent="0.2">
      <c r="C440" t="s">
        <v>15</v>
      </c>
    </row>
    <row r="441" spans="3:3" x14ac:dyDescent="0.2">
      <c r="C441" t="s">
        <v>266</v>
      </c>
    </row>
    <row r="442" spans="3:3" x14ac:dyDescent="0.2">
      <c r="C442" t="s">
        <v>267</v>
      </c>
    </row>
    <row r="443" spans="3:3" x14ac:dyDescent="0.2">
      <c r="C443" t="s">
        <v>268</v>
      </c>
    </row>
    <row r="444" spans="3:3" x14ac:dyDescent="0.2">
      <c r="C444" t="s">
        <v>269</v>
      </c>
    </row>
    <row r="445" spans="3:3" x14ac:dyDescent="0.2">
      <c r="C445" t="s">
        <v>270</v>
      </c>
    </row>
    <row r="446" spans="3:3" x14ac:dyDescent="0.2">
      <c r="C446" t="s">
        <v>271</v>
      </c>
    </row>
    <row r="447" spans="3:3" x14ac:dyDescent="0.2">
      <c r="C447" t="s">
        <v>272</v>
      </c>
    </row>
    <row r="448" spans="3:3" x14ac:dyDescent="0.2">
      <c r="C448" t="s">
        <v>441</v>
      </c>
    </row>
    <row r="449" spans="3:3" x14ac:dyDescent="0.2">
      <c r="C449" t="s">
        <v>48</v>
      </c>
    </row>
    <row r="450" spans="3:3" x14ac:dyDescent="0.2">
      <c r="C450" t="s">
        <v>273</v>
      </c>
    </row>
    <row r="451" spans="3:3" x14ac:dyDescent="0.2">
      <c r="C451" t="s">
        <v>115</v>
      </c>
    </row>
    <row r="452" spans="3:3" x14ac:dyDescent="0.2">
      <c r="C452" t="s">
        <v>274</v>
      </c>
    </row>
    <row r="453" spans="3:3" x14ac:dyDescent="0.2">
      <c r="C453" t="s">
        <v>442</v>
      </c>
    </row>
    <row r="454" spans="3:3" x14ac:dyDescent="0.2">
      <c r="C454" t="s">
        <v>443</v>
      </c>
    </row>
    <row r="455" spans="3:3" x14ac:dyDescent="0.2">
      <c r="C455" t="s">
        <v>444</v>
      </c>
    </row>
    <row r="456" spans="3:3" x14ac:dyDescent="0.2">
      <c r="C456" t="s">
        <v>445</v>
      </c>
    </row>
    <row r="457" spans="3:3" x14ac:dyDescent="0.2">
      <c r="C457" t="s">
        <v>275</v>
      </c>
    </row>
    <row r="458" spans="3:3" x14ac:dyDescent="0.2">
      <c r="C458" t="s">
        <v>276</v>
      </c>
    </row>
    <row r="459" spans="3:3" x14ac:dyDescent="0.2">
      <c r="C459" t="s">
        <v>277</v>
      </c>
    </row>
    <row r="460" spans="3:3" x14ac:dyDescent="0.2">
      <c r="C460" t="s">
        <v>278</v>
      </c>
    </row>
    <row r="461" spans="3:3" x14ac:dyDescent="0.2">
      <c r="C461" t="s">
        <v>279</v>
      </c>
    </row>
    <row r="462" spans="3:3" x14ac:dyDescent="0.2">
      <c r="C462" t="s">
        <v>280</v>
      </c>
    </row>
    <row r="463" spans="3:3" x14ac:dyDescent="0.2">
      <c r="C463" t="s">
        <v>281</v>
      </c>
    </row>
    <row r="464" spans="3:3" x14ac:dyDescent="0.2">
      <c r="C464" t="s">
        <v>282</v>
      </c>
    </row>
    <row r="465" spans="3:3" x14ac:dyDescent="0.2">
      <c r="C465" t="s">
        <v>283</v>
      </c>
    </row>
    <row r="466" spans="3:3" x14ac:dyDescent="0.2">
      <c r="C466" t="s">
        <v>284</v>
      </c>
    </row>
    <row r="467" spans="3:3" x14ac:dyDescent="0.2">
      <c r="C467" t="s">
        <v>285</v>
      </c>
    </row>
    <row r="468" spans="3:3" x14ac:dyDescent="0.2">
      <c r="C468" t="s">
        <v>286</v>
      </c>
    </row>
    <row r="469" spans="3:3" x14ac:dyDescent="0.2">
      <c r="C469" t="s">
        <v>287</v>
      </c>
    </row>
    <row r="470" spans="3:3" x14ac:dyDescent="0.2">
      <c r="C470" t="s">
        <v>288</v>
      </c>
    </row>
    <row r="471" spans="3:3" x14ac:dyDescent="0.2">
      <c r="C471" t="s">
        <v>181</v>
      </c>
    </row>
    <row r="472" spans="3:3" x14ac:dyDescent="0.2">
      <c r="C472" t="s">
        <v>446</v>
      </c>
    </row>
    <row r="473" spans="3:3" x14ac:dyDescent="0.2">
      <c r="C473" t="s">
        <v>447</v>
      </c>
    </row>
    <row r="474" spans="3:3" x14ac:dyDescent="0.2">
      <c r="C474" t="s">
        <v>448</v>
      </c>
    </row>
    <row r="475" spans="3:3" x14ac:dyDescent="0.2">
      <c r="C475" t="s">
        <v>289</v>
      </c>
    </row>
    <row r="476" spans="3:3" x14ac:dyDescent="0.2">
      <c r="C476" t="s">
        <v>290</v>
      </c>
    </row>
    <row r="477" spans="3:3" x14ac:dyDescent="0.2">
      <c r="C477" t="s">
        <v>291</v>
      </c>
    </row>
    <row r="478" spans="3:3" x14ac:dyDescent="0.2">
      <c r="C478" t="s">
        <v>292</v>
      </c>
    </row>
    <row r="479" spans="3:3" x14ac:dyDescent="0.2">
      <c r="C479" t="s">
        <v>293</v>
      </c>
    </row>
    <row r="480" spans="3:3" x14ac:dyDescent="0.2">
      <c r="C480" t="s">
        <v>294</v>
      </c>
    </row>
    <row r="481" spans="3:3" x14ac:dyDescent="0.2">
      <c r="C481" t="s">
        <v>449</v>
      </c>
    </row>
    <row r="482" spans="3:3" x14ac:dyDescent="0.2">
      <c r="C482" t="s">
        <v>295</v>
      </c>
    </row>
    <row r="483" spans="3:3" x14ac:dyDescent="0.2">
      <c r="C483" t="s">
        <v>296</v>
      </c>
    </row>
    <row r="484" spans="3:3" x14ac:dyDescent="0.2">
      <c r="C484" t="s">
        <v>297</v>
      </c>
    </row>
    <row r="485" spans="3:3" x14ac:dyDescent="0.2">
      <c r="C485" t="s">
        <v>298</v>
      </c>
    </row>
    <row r="486" spans="3:3" x14ac:dyDescent="0.2">
      <c r="C486" t="s">
        <v>299</v>
      </c>
    </row>
    <row r="487" spans="3:3" x14ac:dyDescent="0.2">
      <c r="C487" t="s">
        <v>300</v>
      </c>
    </row>
    <row r="488" spans="3:3" x14ac:dyDescent="0.2">
      <c r="C488" t="s">
        <v>301</v>
      </c>
    </row>
    <row r="489" spans="3:3" x14ac:dyDescent="0.2">
      <c r="C489" t="s">
        <v>302</v>
      </c>
    </row>
    <row r="490" spans="3:3" x14ac:dyDescent="0.2">
      <c r="C490" t="s">
        <v>450</v>
      </c>
    </row>
    <row r="491" spans="3:3" x14ac:dyDescent="0.2">
      <c r="C491" t="s">
        <v>295</v>
      </c>
    </row>
    <row r="492" spans="3:3" x14ac:dyDescent="0.2">
      <c r="C492" t="s">
        <v>303</v>
      </c>
    </row>
    <row r="493" spans="3:3" x14ac:dyDescent="0.2">
      <c r="C493" t="s">
        <v>304</v>
      </c>
    </row>
    <row r="494" spans="3:3" x14ac:dyDescent="0.2">
      <c r="C494" t="s">
        <v>305</v>
      </c>
    </row>
    <row r="495" spans="3:3" x14ac:dyDescent="0.2">
      <c r="C495" t="s">
        <v>306</v>
      </c>
    </row>
    <row r="496" spans="3:3" x14ac:dyDescent="0.2">
      <c r="C496" t="s">
        <v>307</v>
      </c>
    </row>
    <row r="497" spans="3:3" x14ac:dyDescent="0.2">
      <c r="C497" t="s">
        <v>308</v>
      </c>
    </row>
    <row r="498" spans="3:3" x14ac:dyDescent="0.2">
      <c r="C498" t="s">
        <v>309</v>
      </c>
    </row>
    <row r="499" spans="3:3" x14ac:dyDescent="0.2">
      <c r="C499" t="s">
        <v>451</v>
      </c>
    </row>
    <row r="500" spans="3:3" x14ac:dyDescent="0.2">
      <c r="C500" t="s">
        <v>295</v>
      </c>
    </row>
    <row r="501" spans="3:3" x14ac:dyDescent="0.2">
      <c r="C501" t="s">
        <v>310</v>
      </c>
    </row>
    <row r="502" spans="3:3" x14ac:dyDescent="0.2">
      <c r="C502" t="s">
        <v>311</v>
      </c>
    </row>
    <row r="503" spans="3:3" x14ac:dyDescent="0.2">
      <c r="C503" t="s">
        <v>312</v>
      </c>
    </row>
    <row r="504" spans="3:3" x14ac:dyDescent="0.2">
      <c r="C504" t="s">
        <v>313</v>
      </c>
    </row>
    <row r="505" spans="3:3" x14ac:dyDescent="0.2">
      <c r="C505" t="s">
        <v>314</v>
      </c>
    </row>
    <row r="506" spans="3:3" x14ac:dyDescent="0.2">
      <c r="C506" t="s">
        <v>315</v>
      </c>
    </row>
    <row r="507" spans="3:3" x14ac:dyDescent="0.2">
      <c r="C507" t="s">
        <v>316</v>
      </c>
    </row>
    <row r="508" spans="3:3" x14ac:dyDescent="0.2">
      <c r="C508" t="s">
        <v>452</v>
      </c>
    </row>
    <row r="509" spans="3:3" x14ac:dyDescent="0.2">
      <c r="C509" t="s">
        <v>295</v>
      </c>
    </row>
    <row r="510" spans="3:3" x14ac:dyDescent="0.2">
      <c r="C510" t="s">
        <v>317</v>
      </c>
    </row>
    <row r="511" spans="3:3" x14ac:dyDescent="0.2">
      <c r="C511" t="s">
        <v>318</v>
      </c>
    </row>
    <row r="512" spans="3:3" x14ac:dyDescent="0.2">
      <c r="C512" t="s">
        <v>319</v>
      </c>
    </row>
    <row r="513" spans="3:3" x14ac:dyDescent="0.2">
      <c r="C513" t="s">
        <v>320</v>
      </c>
    </row>
    <row r="514" spans="3:3" x14ac:dyDescent="0.2">
      <c r="C514" t="s">
        <v>321</v>
      </c>
    </row>
    <row r="515" spans="3:3" x14ac:dyDescent="0.2">
      <c r="C515" t="s">
        <v>453</v>
      </c>
    </row>
    <row r="516" spans="3:3" x14ac:dyDescent="0.2">
      <c r="C516" t="s">
        <v>323</v>
      </c>
    </row>
    <row r="517" spans="3:3" x14ac:dyDescent="0.2">
      <c r="C517" t="s">
        <v>324</v>
      </c>
    </row>
    <row r="518" spans="3:3" x14ac:dyDescent="0.2">
      <c r="C518" t="s">
        <v>454</v>
      </c>
    </row>
    <row r="519" spans="3:3" x14ac:dyDescent="0.2">
      <c r="C519" t="s">
        <v>455</v>
      </c>
    </row>
    <row r="520" spans="3:3" x14ac:dyDescent="0.2">
      <c r="C520" t="s">
        <v>180</v>
      </c>
    </row>
    <row r="521" spans="3:3" x14ac:dyDescent="0.2">
      <c r="C521" t="s">
        <v>456</v>
      </c>
    </row>
    <row r="522" spans="3:3" x14ac:dyDescent="0.2">
      <c r="C522" t="s">
        <v>457</v>
      </c>
    </row>
    <row r="523" spans="3:3" x14ac:dyDescent="0.2">
      <c r="C523" t="s">
        <v>326</v>
      </c>
    </row>
    <row r="524" spans="3:3" x14ac:dyDescent="0.2">
      <c r="C524" t="s">
        <v>458</v>
      </c>
    </row>
    <row r="525" spans="3:3" x14ac:dyDescent="0.2">
      <c r="C525" t="s">
        <v>459</v>
      </c>
    </row>
    <row r="526" spans="3:3" x14ac:dyDescent="0.2">
      <c r="C526" t="s">
        <v>460</v>
      </c>
    </row>
    <row r="527" spans="3:3" x14ac:dyDescent="0.2">
      <c r="C527" t="s">
        <v>12</v>
      </c>
    </row>
    <row r="528" spans="3:3" x14ac:dyDescent="0.2">
      <c r="C528" t="s">
        <v>15</v>
      </c>
    </row>
    <row r="529" spans="3:3" x14ac:dyDescent="0.2">
      <c r="C529" t="s">
        <v>461</v>
      </c>
    </row>
    <row r="530" spans="3:3" x14ac:dyDescent="0.2">
      <c r="C530" t="s">
        <v>48</v>
      </c>
    </row>
    <row r="531" spans="3:3" x14ac:dyDescent="0.2">
      <c r="C531" t="s">
        <v>462</v>
      </c>
    </row>
    <row r="532" spans="3:3" x14ac:dyDescent="0.2">
      <c r="C532" t="s">
        <v>463</v>
      </c>
    </row>
    <row r="533" spans="3:3" x14ac:dyDescent="0.2">
      <c r="C533" t="s">
        <v>464</v>
      </c>
    </row>
    <row r="534" spans="3:3" x14ac:dyDescent="0.2">
      <c r="C534" t="s">
        <v>465</v>
      </c>
    </row>
    <row r="535" spans="3:3" x14ac:dyDescent="0.2">
      <c r="C535" t="s">
        <v>466</v>
      </c>
    </row>
    <row r="536" spans="3:3" x14ac:dyDescent="0.2">
      <c r="C536" t="s">
        <v>467</v>
      </c>
    </row>
    <row r="537" spans="3:3" x14ac:dyDescent="0.2">
      <c r="C537" t="s">
        <v>468</v>
      </c>
    </row>
    <row r="538" spans="3:3" x14ac:dyDescent="0.2">
      <c r="C538" t="s">
        <v>469</v>
      </c>
    </row>
    <row r="539" spans="3:3" x14ac:dyDescent="0.2">
      <c r="C539" t="s">
        <v>470</v>
      </c>
    </row>
    <row r="540" spans="3:3" x14ac:dyDescent="0.2">
      <c r="C540" t="s">
        <v>471</v>
      </c>
    </row>
    <row r="541" spans="3:3" x14ac:dyDescent="0.2">
      <c r="C541" t="s">
        <v>472</v>
      </c>
    </row>
    <row r="542" spans="3:3" x14ac:dyDescent="0.2">
      <c r="C542" t="s">
        <v>463</v>
      </c>
    </row>
    <row r="543" spans="3:3" x14ac:dyDescent="0.2">
      <c r="C543" t="s">
        <v>473</v>
      </c>
    </row>
    <row r="544" spans="3:3" x14ac:dyDescent="0.2">
      <c r="C544" t="s">
        <v>474</v>
      </c>
    </row>
    <row r="545" spans="3:3" x14ac:dyDescent="0.2">
      <c r="C545" t="s">
        <v>475</v>
      </c>
    </row>
    <row r="546" spans="3:3" x14ac:dyDescent="0.2">
      <c r="C546" t="s">
        <v>463</v>
      </c>
    </row>
    <row r="547" spans="3:3" x14ac:dyDescent="0.2">
      <c r="C547" t="s">
        <v>476</v>
      </c>
    </row>
    <row r="548" spans="3:3" x14ac:dyDescent="0.2">
      <c r="C548" t="s">
        <v>477</v>
      </c>
    </row>
    <row r="549" spans="3:3" x14ac:dyDescent="0.2">
      <c r="C549" t="s">
        <v>478</v>
      </c>
    </row>
    <row r="550" spans="3:3" x14ac:dyDescent="0.2">
      <c r="C550" t="s">
        <v>463</v>
      </c>
    </row>
    <row r="551" spans="3:3" x14ac:dyDescent="0.2">
      <c r="C551" t="s">
        <v>479</v>
      </c>
    </row>
    <row r="552" spans="3:3" x14ac:dyDescent="0.2">
      <c r="C552" t="s">
        <v>480</v>
      </c>
    </row>
    <row r="553" spans="3:3" x14ac:dyDescent="0.2">
      <c r="C553" t="s">
        <v>481</v>
      </c>
    </row>
    <row r="554" spans="3:3" x14ac:dyDescent="0.2">
      <c r="C554" t="s">
        <v>463</v>
      </c>
    </row>
    <row r="555" spans="3:3" x14ac:dyDescent="0.2">
      <c r="C555" t="s">
        <v>482</v>
      </c>
    </row>
    <row r="556" spans="3:3" x14ac:dyDescent="0.2">
      <c r="C556" t="s">
        <v>483</v>
      </c>
    </row>
    <row r="557" spans="3:3" x14ac:dyDescent="0.2">
      <c r="C557" t="s">
        <v>484</v>
      </c>
    </row>
    <row r="558" spans="3:3" x14ac:dyDescent="0.2">
      <c r="C558" t="s">
        <v>485</v>
      </c>
    </row>
    <row r="559" spans="3:3" x14ac:dyDescent="0.2">
      <c r="C559" t="s">
        <v>42</v>
      </c>
    </row>
    <row r="560" spans="3:3" x14ac:dyDescent="0.2">
      <c r="C560" t="s">
        <v>486</v>
      </c>
    </row>
    <row r="561" spans="3:3" x14ac:dyDescent="0.2">
      <c r="C561" t="s">
        <v>48</v>
      </c>
    </row>
    <row r="562" spans="3:3" x14ac:dyDescent="0.2">
      <c r="C562" t="s">
        <v>487</v>
      </c>
    </row>
    <row r="563" spans="3:3" x14ac:dyDescent="0.2">
      <c r="C563" t="s">
        <v>488</v>
      </c>
    </row>
    <row r="564" spans="3:3" x14ac:dyDescent="0.2">
      <c r="C564" t="s">
        <v>489</v>
      </c>
    </row>
    <row r="565" spans="3:3" x14ac:dyDescent="0.2">
      <c r="C565" t="s">
        <v>490</v>
      </c>
    </row>
    <row r="566" spans="3:3" x14ac:dyDescent="0.2">
      <c r="C566" t="s">
        <v>491</v>
      </c>
    </row>
    <row r="567" spans="3:3" x14ac:dyDescent="0.2">
      <c r="C567" t="s">
        <v>365</v>
      </c>
    </row>
    <row r="568" spans="3:3" x14ac:dyDescent="0.2">
      <c r="C568" t="s">
        <v>492</v>
      </c>
    </row>
    <row r="569" spans="3:3" x14ac:dyDescent="0.2">
      <c r="C569" t="s">
        <v>493</v>
      </c>
    </row>
    <row r="570" spans="3:3" x14ac:dyDescent="0.2">
      <c r="C570" t="s">
        <v>494</v>
      </c>
    </row>
    <row r="571" spans="3:3" x14ac:dyDescent="0.2">
      <c r="C571" t="s">
        <v>495</v>
      </c>
    </row>
    <row r="572" spans="3:3" x14ac:dyDescent="0.2">
      <c r="C572" t="s">
        <v>496</v>
      </c>
    </row>
    <row r="573" spans="3:3" x14ac:dyDescent="0.2">
      <c r="C573" t="s">
        <v>12</v>
      </c>
    </row>
    <row r="574" spans="3:3" x14ac:dyDescent="0.2">
      <c r="C574" t="s">
        <v>497</v>
      </c>
    </row>
    <row r="575" spans="3:3" x14ac:dyDescent="0.2">
      <c r="C575" t="s">
        <v>498</v>
      </c>
    </row>
    <row r="576" spans="3:3" x14ac:dyDescent="0.2">
      <c r="C576" t="s">
        <v>48</v>
      </c>
    </row>
    <row r="577" spans="3:3" x14ac:dyDescent="0.2">
      <c r="C577" t="s">
        <v>487</v>
      </c>
    </row>
    <row r="578" spans="3:3" x14ac:dyDescent="0.2">
      <c r="C578" t="s">
        <v>499</v>
      </c>
    </row>
    <row r="579" spans="3:3" x14ac:dyDescent="0.2">
      <c r="C579" t="s">
        <v>365</v>
      </c>
    </row>
    <row r="580" spans="3:3" x14ac:dyDescent="0.2">
      <c r="C580" t="s">
        <v>500</v>
      </c>
    </row>
    <row r="581" spans="3:3" x14ac:dyDescent="0.2">
      <c r="C581" t="s">
        <v>501</v>
      </c>
    </row>
    <row r="582" spans="3:3" x14ac:dyDescent="0.2">
      <c r="C582" t="s">
        <v>228</v>
      </c>
    </row>
    <row r="583" spans="3:3" x14ac:dyDescent="0.2">
      <c r="C583" t="s">
        <v>502</v>
      </c>
    </row>
    <row r="584" spans="3:3" x14ac:dyDescent="0.2">
      <c r="C584" t="s">
        <v>503</v>
      </c>
    </row>
    <row r="585" spans="3:3" x14ac:dyDescent="0.2">
      <c r="C585" t="s">
        <v>504</v>
      </c>
    </row>
    <row r="586" spans="3:3" x14ac:dyDescent="0.2">
      <c r="C586" t="s">
        <v>505</v>
      </c>
    </row>
    <row r="587" spans="3:3" x14ac:dyDescent="0.2">
      <c r="C587" t="s">
        <v>506</v>
      </c>
    </row>
    <row r="588" spans="3:3" x14ac:dyDescent="0.2">
      <c r="C588" t="s">
        <v>507</v>
      </c>
    </row>
    <row r="589" spans="3:3" x14ac:dyDescent="0.2">
      <c r="C589" t="s">
        <v>508</v>
      </c>
    </row>
    <row r="590" spans="3:3" x14ac:dyDescent="0.2">
      <c r="C590" t="s">
        <v>509</v>
      </c>
    </row>
    <row r="591" spans="3:3" x14ac:dyDescent="0.2">
      <c r="C591" t="s">
        <v>510</v>
      </c>
    </row>
    <row r="592" spans="3:3" x14ac:dyDescent="0.2">
      <c r="C592" t="s">
        <v>496</v>
      </c>
    </row>
    <row r="593" spans="3:3" x14ac:dyDescent="0.2">
      <c r="C593" t="s">
        <v>12</v>
      </c>
    </row>
    <row r="594" spans="3:3" x14ac:dyDescent="0.2">
      <c r="C594" t="s">
        <v>15</v>
      </c>
    </row>
    <row r="595" spans="3:3" x14ac:dyDescent="0.2">
      <c r="C595" t="s">
        <v>511</v>
      </c>
    </row>
    <row r="596" spans="3:3" x14ac:dyDescent="0.2">
      <c r="C596" t="s">
        <v>48</v>
      </c>
    </row>
    <row r="597" spans="3:3" x14ac:dyDescent="0.2">
      <c r="C597" t="s">
        <v>487</v>
      </c>
    </row>
    <row r="598" spans="3:3" x14ac:dyDescent="0.2">
      <c r="C598" t="s">
        <v>512</v>
      </c>
    </row>
    <row r="599" spans="3:3" x14ac:dyDescent="0.2">
      <c r="C599" t="s">
        <v>365</v>
      </c>
    </row>
    <row r="600" spans="3:3" x14ac:dyDescent="0.2">
      <c r="C600" t="s">
        <v>48</v>
      </c>
    </row>
    <row r="601" spans="3:3" x14ac:dyDescent="0.2">
      <c r="C601" t="s">
        <v>493</v>
      </c>
    </row>
    <row r="602" spans="3:3" x14ac:dyDescent="0.2">
      <c r="C602" t="s">
        <v>399</v>
      </c>
    </row>
    <row r="603" spans="3:3" x14ac:dyDescent="0.2">
      <c r="C603" t="s">
        <v>513</v>
      </c>
    </row>
    <row r="604" spans="3:3" x14ac:dyDescent="0.2">
      <c r="C604" t="s">
        <v>514</v>
      </c>
    </row>
    <row r="605" spans="3:3" x14ac:dyDescent="0.2">
      <c r="C605" t="s">
        <v>515</v>
      </c>
    </row>
    <row r="606" spans="3:3" x14ac:dyDescent="0.2">
      <c r="C606" t="s">
        <v>516</v>
      </c>
    </row>
    <row r="607" spans="3:3" x14ac:dyDescent="0.2">
      <c r="C607" t="s">
        <v>517</v>
      </c>
    </row>
    <row r="608" spans="3:3" x14ac:dyDescent="0.2">
      <c r="C608" t="s">
        <v>518</v>
      </c>
    </row>
    <row r="609" spans="3:3" x14ac:dyDescent="0.2">
      <c r="C609" t="s">
        <v>519</v>
      </c>
    </row>
    <row r="610" spans="3:3" x14ac:dyDescent="0.2">
      <c r="C610" t="s">
        <v>520</v>
      </c>
    </row>
    <row r="611" spans="3:3" x14ac:dyDescent="0.2">
      <c r="C611" t="s">
        <v>521</v>
      </c>
    </row>
    <row r="612" spans="3:3" x14ac:dyDescent="0.2">
      <c r="C612" t="s">
        <v>522</v>
      </c>
    </row>
    <row r="613" spans="3:3" x14ac:dyDescent="0.2">
      <c r="C613" t="s">
        <v>523</v>
      </c>
    </row>
    <row r="614" spans="3:3" x14ac:dyDescent="0.2">
      <c r="C614" t="s">
        <v>524</v>
      </c>
    </row>
    <row r="615" spans="3:3" x14ac:dyDescent="0.2">
      <c r="C615" t="s">
        <v>525</v>
      </c>
    </row>
    <row r="616" spans="3:3" x14ac:dyDescent="0.2">
      <c r="C616" t="s">
        <v>370</v>
      </c>
    </row>
    <row r="617" spans="3:3" x14ac:dyDescent="0.2">
      <c r="C617" t="s">
        <v>12</v>
      </c>
    </row>
    <row r="618" spans="3:3" x14ac:dyDescent="0.2">
      <c r="C618" t="s">
        <v>526</v>
      </c>
    </row>
    <row r="619" spans="3:3" x14ac:dyDescent="0.2">
      <c r="C619" t="s">
        <v>527</v>
      </c>
    </row>
    <row r="620" spans="3:3" x14ac:dyDescent="0.2">
      <c r="C620" t="s">
        <v>528</v>
      </c>
    </row>
    <row r="621" spans="3:3" x14ac:dyDescent="0.2">
      <c r="C621" t="s">
        <v>329</v>
      </c>
    </row>
    <row r="622" spans="3:3" x14ac:dyDescent="0.2">
      <c r="C622" t="s">
        <v>329</v>
      </c>
    </row>
    <row r="625" spans="3:3" x14ac:dyDescent="0.2">
      <c r="C625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Dialer Code</vt:lpstr>
      <vt:lpstr>Charge off dialer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</dc:creator>
  <cp:lastModifiedBy>Manish Kumar</cp:lastModifiedBy>
  <dcterms:created xsi:type="dcterms:W3CDTF">2026-01-15T16:03:52Z</dcterms:created>
  <dcterms:modified xsi:type="dcterms:W3CDTF">2026-01-15T16:04:26Z</dcterms:modified>
</cp:coreProperties>
</file>