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manish.kumar/Desktop/Codes/"/>
    </mc:Choice>
  </mc:AlternateContent>
  <xr:revisionPtr revIDLastSave="0" documentId="8_{0110A24E-4C9D-E046-8580-1871E18CA092}" xr6:coauthVersionLast="47" xr6:coauthVersionMax="47" xr10:uidLastSave="{00000000-0000-0000-0000-000000000000}"/>
  <bookViews>
    <workbookView xWindow="0" yWindow="0" windowWidth="28800" windowHeight="18000" activeTab="2" xr2:uid="{6AC397C5-256E-E147-8E3E-B72310277BBE}"/>
  </bookViews>
  <sheets>
    <sheet name="Recovery code" sheetId="1" r:id="rId1"/>
    <sheet name="Cured logic" sheetId="2" r:id="rId2"/>
    <sheet name="Dialer performance logic "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1" l="1" a="1"/>
  <c r="C5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<sst xmlns="http://schemas.openxmlformats.org/spreadsheetml/2006/main" count="359" uniqueCount="289">
  <si>
    <t>with start_date AS ('2025-07-01')</t>
  </si>
  <si>
    <t>, end_date AS ('2025-12-31')</t>
  </si>
  <si>
    <t>(</t>
  </si>
  <si>
    <t>)</t>
  </si>
  <si>
    <t>, payments as (</t>
  </si>
  <si>
    <t>select fbbid, payment_transmission_date, sum(payment_total_amount) as amt_recovered</t>
  </si>
  <si>
    <t>from bi.finance.payments_data</t>
  </si>
  <si>
    <t>where (bank_name like '%SEQ%' or bank_name like '%MRS%' or bank_name like '%P&amp;B%')</t>
  </si>
  <si>
    <t>and payment_status = 'FUND'</t>
  </si>
  <si>
    <t>group by 1, 2</t>
  </si>
  <si>
    <t>SELECT fbbids.fbbid</t>
  </si>
  <si>
    <t>, fbbids.transfer_date</t>
  </si>
  <si>
    <t>, CASE WHEN fbbids.transfer_date::date BETWEEN start_date AND end_date THEN 1 ELSE 0 END transfer_in_time_frame</t>
  </si>
  <si>
    <t>, CASE WHEN payments.payment_transmission_date::date &lt;= end_date THEN 1 ELSE 0 END payment_in_time_frame</t>
  </si>
  <si>
    <t>, payments.payment_transmission_date</t>
  </si>
  <si>
    <t>, fbbids.transfer_balance</t>
  </si>
  <si>
    <t>, payments.amt_recovered</t>
  </si>
  <si>
    <t>, datediff('day',fbbids.transfer_date,payments.payment_transmission_date) days_between_transfer_and_payment</t>
  </si>
  <si>
    <t>, floor(days_between_transfer_and_payment/30) mob</t>
  </si>
  <si>
    <t>FROM fbbids</t>
  </si>
  <si>
    <t>LEFT JOIN payments</t>
  </si>
  <si>
    <t>ORDER BY fbbids.fbbid, payments.payment_transmission_date</t>
  </si>
  <si>
    <t>, fbbids as</t>
  </si>
  <si>
    <t>select l.*,</t>
  </si>
  <si>
    <t xml:space="preserve">    lead(transfer_date,1,'2090-01-01') over(partition by fbbid order by transfer_date) as next_transfer_date</t>
  </si>
  <si>
    <t xml:space="preserve">from </t>
  </si>
  <si>
    <t xml:space="preserve">    select </t>
  </si>
  <si>
    <t xml:space="preserve">        fbbid,</t>
  </si>
  <si>
    <t xml:space="preserve">        edate as transfer_date, </t>
  </si>
  <si>
    <t xml:space="preserve">        recovery_suggested_state, </t>
  </si>
  <si>
    <t xml:space="preserve">        recovery_suggested_substate,</t>
  </si>
  <si>
    <t xml:space="preserve">        outstanding_principal,fees_due,discount_pending,</t>
  </si>
  <si>
    <t xml:space="preserve">        row_number() over(partition by fbbid, recovery_suggested_substate order by edate) as rn,</t>
  </si>
  <si>
    <t xml:space="preserve">        (outstanding_principal + fees_due - discount_pending) as transfer_balance,</t>
  </si>
  <si>
    <t xml:space="preserve">        lag(recovery_suggested_state) over (partition by fbbid order by edate) prior_day_state, </t>
  </si>
  <si>
    <t xml:space="preserve">        -- lag(outstanding_principal + fees_due - discount_pending) over (partition by fbbid order by edate) transfer_balance,</t>
  </si>
  <si>
    <t xml:space="preserve">        min(case when recovery_suggested_state = 'ELR' then edate end) </t>
  </si>
  <si>
    <t xml:space="preserve">            over (partition by fbbid) as initial_elr_start_date</t>
  </si>
  <si>
    <t xml:space="preserve">    from bi.public.daily_approved_customers_data</t>
  </si>
  <si>
    <t xml:space="preserve">    where recovery_suggested_state = 'ELR' </t>
  </si>
  <si>
    <t xml:space="preserve">    and recovery_suggested_substate in ('SEQ_PRIM', 'MRS_PRIM','PB_CAPITAL')</t>
  </si>
  <si>
    <t>)l where rn = 1</t>
  </si>
  <si>
    <t>, fbbids.recovery_suggested_substate</t>
  </si>
  <si>
    <t xml:space="preserve">, row_number() OVER (PARTITION BY fbbids.fbbid,recovery_suggested_substate ORDER BY payments.payment_transmission_date) row_num </t>
  </si>
  <si>
    <t xml:space="preserve">ON fbbids.fbbid = payments.fbbid </t>
  </si>
  <si>
    <t>and (payments.payment_transmission_date &gt; fbbids.transfer_date and payments.payment_transmission_date&lt;= fbbids.next_transfer_date)</t>
  </si>
  <si>
    <t>--This query takes the date the account was moved to Sequium or MRS or P&amp;B, the balance on that date, and then any subsequent payments after placement. Each month, we look at the head-to-head performance on all accounts placed with each vendor in the prior six months. Remember that accounts with multiple payments will have multiple rows (so the starting balance will be repeated). This information is provided Yakeeta in a graph format for monthly Business Review meetings with each partner, and we also use this on a quarterly basis to make any adjustments to placement (if necessary).</t>
  </si>
  <si>
    <t>-- SELECT *</t>
  </si>
  <si>
    <t>-- WHERE RECOVERY_SUGGESTED_SUBSTATE = 'PB_CAPITAL'</t>
  </si>
  <si>
    <t>-- QUALIFY ROW_NUMBER() OVER(PARTITION BY FBBID ORDER BY EDATE) = 1</t>
  </si>
  <si>
    <t>&gt;&gt; SEQ _ P&amp;B Recovery code</t>
  </si>
  <si>
    <t>-- Base inventory logic</t>
  </si>
  <si>
    <t>-- Code to pull account and loan level data</t>
  </si>
  <si>
    <t xml:space="preserve">with </t>
  </si>
  <si>
    <t>fmd_agg AS (</t>
  </si>
  <si>
    <t xml:space="preserve">  SELECT</t>
  </si>
  <si>
    <t xml:space="preserve">      fmd.fbbid</t>
  </si>
  <si>
    <t xml:space="preserve">  --  , fmd.loan_key </t>
  </si>
  <si>
    <t xml:space="preserve">    , fmd.edate</t>
  </si>
  <si>
    <t xml:space="preserve">    , MAX(fmd.dpd_days)     AS dpd_days        </t>
  </si>
  <si>
    <t xml:space="preserve">    , MAX(fmd.dpd_bucket)   AS dpd_bucket</t>
  </si>
  <si>
    <t xml:space="preserve">    , SUM(fmd.outstanding_balance_due) AS outstanding_balance_due_all_loans</t>
  </si>
  <si>
    <t xml:space="preserve">    , MAX(fmd.is_charged_off) AS is_charged_off_any</t>
  </si>
  <si>
    <t xml:space="preserve">  FROM BI.FINANCE.FINANCE_METRICS_DAILY fmd</t>
  </si>
  <si>
    <t xml:space="preserve">  where edate &gt;= '2025-10-01'</t>
  </si>
  <si>
    <t xml:space="preserve">  GROUP BY 1,2</t>
  </si>
  <si>
    <t>,</t>
  </si>
  <si>
    <t>base as</t>
  </si>
  <si>
    <t>select *,</t>
  </si>
  <si>
    <t xml:space="preserve">case </t>
  </si>
  <si>
    <t>when dpd_bucket in (1,2) then 'DPD1-2'</t>
  </si>
  <si>
    <t>when dpd_bucket in (3,4,5,6,7,8) then 'DPD3-8'</t>
  </si>
  <si>
    <t>else 'DPD9-13' end as dpd_group,</t>
  </si>
  <si>
    <t>DATE_TRUNC('WEEK', edate::DATE + 4)::DATE + 2 AS collection_week,</t>
  </si>
  <si>
    <t>from fmd_agg</t>
  </si>
  <si>
    <t>where is_charged_off_any = 0 and dpd_bucket&gt;0</t>
  </si>
  <si>
    <t>),</t>
  </si>
  <si>
    <t xml:space="preserve">base1 as </t>
  </si>
  <si>
    <t xml:space="preserve">select * </t>
  </si>
  <si>
    <t>from base</t>
  </si>
  <si>
    <t>qualify row_number() over(partition by fbbid,loan_key,collection_week order by edate) =1</t>
  </si>
  <si>
    <t>cured as (</t>
  </si>
  <si>
    <t>select l.* from (</t>
  </si>
  <si>
    <t xml:space="preserve">    a.*,</t>
  </si>
  <si>
    <t xml:space="preserve">    b.edate as cured_edate,</t>
  </si>
  <si>
    <t xml:space="preserve">    b.dpd_bucket as cured_dpd_bucket,</t>
  </si>
  <si>
    <t xml:space="preserve">    case when b.dpd_bucket =0 then 1 else 0 end as cured,</t>
  </si>
  <si>
    <t xml:space="preserve">    row_number() over(partition by a.fbbid,a.loan_key,a.collection_week order by b.edate)as rn</t>
  </si>
  <si>
    <t xml:space="preserve">    from with_split a</t>
  </si>
  <si>
    <t xml:space="preserve">    left join fmd_agg b</t>
  </si>
  <si>
    <t xml:space="preserve">    on a.fbbid = b.fbbid and a.loan_key = b.loan_key </t>
  </si>
  <si>
    <t xml:space="preserve">    and a.collection_week = dateadd(day,-1,b.edate) and b.dpd_bucket = 0 </t>
  </si>
  <si>
    <t xml:space="preserve">    --qualify row_number() over(partition by a.fbbid,a.loan_key,a.collection_week order by b.edate) = 1</t>
  </si>
  <si>
    <t>select * from cured;</t>
  </si>
  <si>
    <t>/*All delinquent accounts*/</t>
  </si>
  <si>
    <t>&gt;&gt; Cured accounts logic</t>
  </si>
  <si>
    <t>CREATE OR REPLACE table TABLEAU.CREDIT.Dialer_performance_tracker as</t>
  </si>
  <si>
    <t>call_data_five_nine as</t>
  </si>
  <si>
    <t xml:space="preserve">Select </t>
  </si>
  <si>
    <t>FBBID,</t>
  </si>
  <si>
    <t>Date_time_call,</t>
  </si>
  <si>
    <t>DISPOSITION,</t>
  </si>
  <si>
    <t>AGENT_NAME,</t>
  </si>
  <si>
    <t>AGENT_GROUP,</t>
  </si>
  <si>
    <t>DPD_BUCKET</t>
  </si>
  <si>
    <t>from analytics.credit.v_five9_call_log</t>
  </si>
  <si>
    <t xml:space="preserve">where </t>
  </si>
  <si>
    <t>date(date_time_call) &gt;= '2025-10-01'</t>
  </si>
  <si>
    <t>--and call_type = 'Outbound'</t>
  </si>
  <si>
    <t>and campaign in ('Collections - 1-2 OB',</t>
  </si>
  <si>
    <t>'Collections - 3-12 OB')</t>
  </si>
  <si>
    <t>-- 'Collections - 14 plus OB',</t>
  </si>
  <si>
    <t>-- 'Collections - Broken PTP OB',</t>
  </si>
  <si>
    <t>-- 'Collections - Missed Payment Priority OB')</t>
  </si>
  <si>
    <t>and fbbid is not null</t>
  </si>
  <si>
    <t>--select * from external_data_sources.salesforce_nova.task where fundbox_id__c = '2092683' order by lastmodifieddate</t>
  </si>
  <si>
    <t>--select * from analytics.credit.v_five9_call_log where fbbid = 2418275 order by date_call desc;</t>
  </si>
  <si>
    <t>call_data_salesforce</t>
  </si>
  <si>
    <t xml:space="preserve">as </t>
  </si>
  <si>
    <t>select</t>
  </si>
  <si>
    <t>case when fundbox_id__c = 'Not Linked' then 0 else TRY_TO_NUMBER(fundbox_id__c) end as Fbbid_2,</t>
  </si>
  <si>
    <t>lastmodifieddate,</t>
  </si>
  <si>
    <t>calltype,</t>
  </si>
  <si>
    <t>calldisposition,</t>
  </si>
  <si>
    <t>null as DPD_bucket2,</t>
  </si>
  <si>
    <t>null as agent_name2,</t>
  </si>
  <si>
    <t>null as agent_group2</t>
  </si>
  <si>
    <t>from external_data_sources.salesforce_nova.task</t>
  </si>
  <si>
    <t>where date(lastmodifieddate) &gt;= '2025-10-01' and TRY_TO_NUMBER(fundbox_id__c) is not null</t>
  </si>
  <si>
    <t>and ROLE_ID_NAME__C in ('ER agent','Collections Manager')</t>
  </si>
  <si>
    <t>--select * from external_data_sources.salesforce_nova.task where fundbox_id__c = '2418275';</t>
  </si>
  <si>
    <t>,all_calls as</t>
  </si>
  <si>
    <t>select a.*,</t>
  </si>
  <si>
    <t xml:space="preserve">b.* </t>
  </si>
  <si>
    <t>from call_data_five_nine a</t>
  </si>
  <si>
    <t>full outer join call_data_salesforce b</t>
  </si>
  <si>
    <t xml:space="preserve">on a.fbbid = b.fbbid_2 </t>
  </si>
  <si>
    <t>and date(a.date_time_call) = date(b.lastmodifieddate)</t>
  </si>
  <si>
    <t>dialing_data as</t>
  </si>
  <si>
    <t>select coalesce(fbbid,fbbid_2) as fbbid,</t>
  </si>
  <si>
    <t>coalesce(date(date_time_call),date(lastmodifieddate)) as call_date,</t>
  </si>
  <si>
    <t>coalesce(dpd_bucket,dpd_bucket2) as dpd_bucket,</t>
  </si>
  <si>
    <t>case when (disposition ilike '%Payment%' or calldisposition ilike '%payment%') then 1 else 0 end as payment_flag,</t>
  </si>
  <si>
    <t>case when (disposition ilike '%Promise to Pay%' or calldisposition ilike '%Promise to Pay%') then 1 else 0 end as PTP_flag,</t>
  </si>
  <si>
    <t>case when (disposition ilike '%RPC%' or calldisposition ilike '%RPC%') then 1 else 0 end as RPC_flag,</t>
  </si>
  <si>
    <t>case when (disposition ilike '%Settlement Accepted%' or calldisposition ilike '%Settlement Accepted%') then 1 else 0 end as Settlement_flag,</t>
  </si>
  <si>
    <t>case when (disposition ilike '%Third Party%' or calldisposition ilike '%Third Party%') then 1 else 0 end as third_party_flag,</t>
  </si>
  <si>
    <t>case when (agent_name is not null and disposition ilike '%not answer%' and calldisposition not in ('Payment','Promise to Pay','RPC','Settlement Accepted','Third Party')) then 1 else 0 end as not_answer_contacted,</t>
  </si>
  <si>
    <t>disposition,</t>
  </si>
  <si>
    <t>agent_name</t>
  </si>
  <si>
    <t>from all_calls</t>
  </si>
  <si>
    <t>base_calls as</t>
  </si>
  <si>
    <t>select fbbid,</t>
  </si>
  <si>
    <t>call_date,</t>
  </si>
  <si>
    <t>dpd_bucket,</t>
  </si>
  <si>
    <t>count(*) as total_dials,</t>
  </si>
  <si>
    <t>sum(PAYMENT_FLAG) as payment_count,</t>
  </si>
  <si>
    <t>sum(PTP_FLAG) as ptp_count,</t>
  </si>
  <si>
    <t>sum(RPC_FLAG) as rpc_count,</t>
  </si>
  <si>
    <t>sum(SETTLEMENT_FLAG) as settlement_count,</t>
  </si>
  <si>
    <t>sum(THIRD_PARTY_FLAG) as third_party_count,</t>
  </si>
  <si>
    <t>sum(NOT_ANSWER_CONTACTED) as not_answer_contacted_count</t>
  </si>
  <si>
    <t>from dialing_data</t>
  </si>
  <si>
    <t>group by 1,2,3</t>
  </si>
  <si>
    <t xml:space="preserve">Inventory as </t>
  </si>
  <si>
    <t>from indus.public.Dailer_master_table</t>
  </si>
  <si>
    <t>where final_inclusion_flag = 1</t>
  </si>
  <si>
    <t>qualify row_number() over(partition by fbbid,edate order by edate)= 1</t>
  </si>
  <si>
    <t>mapping_inventory as</t>
  </si>
  <si>
    <t>b.fbbid as inv_fbbid,</t>
  </si>
  <si>
    <t>b.edate,</t>
  </si>
  <si>
    <t>b.dpd_bucket as inv_dpd_bucket,</t>
  </si>
  <si>
    <t>b.current_os,</t>
  </si>
  <si>
    <t xml:space="preserve">    when (call_date&lt;'2025-11-10' or call_date = '2025-11-20') or</t>
  </si>
  <si>
    <t xml:space="preserve">    (call_date&gt;='2025-11-10' and b.fbbid is not null)then 1 </t>
  </si>
  <si>
    <t xml:space="preserve">    else 0 end as present_in_inventory</t>
  </si>
  <si>
    <t>from base_calls a</t>
  </si>
  <si>
    <t>left join inventory b</t>
  </si>
  <si>
    <t xml:space="preserve">on a.fbbid = b.fbbid </t>
  </si>
  <si>
    <t>and a.call_date = b.edate</t>
  </si>
  <si>
    <t>where present_in_inventory = 1</t>
  </si>
  <si>
    <t xml:space="preserve">  GROUP BY fmd.fbbid, fmd.edate</t>
  </si>
  <si>
    <t>-- select * from fmd_agg where fbbid = 2418275 order by edate desc;</t>
  </si>
  <si>
    <t xml:space="preserve">,with_dpd as </t>
  </si>
  <si>
    <t>select a.fbbid as dialer_fbbid,</t>
  </si>
  <si>
    <t>c.fbbid as fbbid,</t>
  </si>
  <si>
    <t>a.call_date as edate,</t>
  </si>
  <si>
    <t>a.dpd_bucket as dialer_dpd_bucket,</t>
  </si>
  <si>
    <t>c.dpd_bucket as dpd_bucket,</t>
  </si>
  <si>
    <t>c.outstanding_balance_due_all_loans,</t>
  </si>
  <si>
    <t>total_dials,payment_count,ptp_count,rpc_count,settlement_count,third_party_count,</t>
  </si>
  <si>
    <t>not_answer_contacted_count,current_os</t>
  </si>
  <si>
    <t>from mapping_inventory a</t>
  </si>
  <si>
    <t>left join fmd_agg c</t>
  </si>
  <si>
    <t>on a.fbbid = c.fbbid and a.call_date = dateadd(day,1,c.edate)</t>
  </si>
  <si>
    <t>With_cure as</t>
  </si>
  <si>
    <t>case when a.dpd_bucket &gt; b.dpd_bucket then 1 else 0 end as dpd_improvement,</t>
  </si>
  <si>
    <t>case when b.dpd_bucket = 0 then 1 else 0 end as cured,</t>
  </si>
  <si>
    <t>case when c.dpd_bucket = 0 then 1 else 0 end as cured_by_7_day,</t>
  </si>
  <si>
    <t>c.dpd_bucket as DPD_7_day,</t>
  </si>
  <si>
    <t>b.dpd_bucket as next_day_dpd,</t>
  </si>
  <si>
    <t>b.is_charged_off_any</t>
  </si>
  <si>
    <t>from with_dpd a</t>
  </si>
  <si>
    <t>left join fmd_agg b</t>
  </si>
  <si>
    <t>and a.edate = dateadd(day,-1,b.edate)</t>
  </si>
  <si>
    <t xml:space="preserve">left join fmd_agg c </t>
  </si>
  <si>
    <t xml:space="preserve">on a.fbbid = c.fbbid </t>
  </si>
  <si>
    <t>and a.edate = dateadd(day,-7,c.edate)</t>
  </si>
  <si>
    <t>total_overdue AS (</t>
  </si>
  <si>
    <t>SELECT</t>
  </si>
  <si>
    <t xml:space="preserve">    T2.EDATE AS OD_date,</t>
  </si>
  <si>
    <t xml:space="preserve">    T1.FBBID,</t>
  </si>
  <si>
    <t xml:space="preserve">    T1.LOAN_KEY,</t>
  </si>
  <si>
    <t xml:space="preserve">    SUM(T1.STATUS_VALUE) AS total_overdue_balance</t>
  </si>
  <si>
    <t>FROM BI.FINANCE.LOAN_STATUSES T1</t>
  </si>
  <si>
    <t>JOIN BI.INTERNAL.DATES T2</t>
  </si>
  <si>
    <t xml:space="preserve">    ON T2.EDATE BETWEEN T1.FROM_DATE AND T1.TO_DATE</t>
  </si>
  <si>
    <t xml:space="preserve">    --AND DAYOFWEEK(T2.EDATE) = 3</t>
  </si>
  <si>
    <t xml:space="preserve">    AND T2.EDATE &lt;= CURRENT_DATE</t>
  </si>
  <si>
    <t>JOIN (</t>
  </si>
  <si>
    <t xml:space="preserve">    SELECT DISTINCT loan_key, edate</t>
  </si>
  <si>
    <t xml:space="preserve">    FROM BI.FINANCE.FINANCE_METRICS_DAILY</t>
  </si>
  <si>
    <t xml:space="preserve">    WHERE loan_operational_status &lt;&gt; 'CNCL'</t>
  </si>
  <si>
    <t xml:space="preserve">    AND is_charged_off = 0</t>
  </si>
  <si>
    <t xml:space="preserve">  ) t3</t>
  </si>
  <si>
    <t xml:space="preserve">    ON t3.loan_key = T1.loan_key</t>
  </si>
  <si>
    <t xml:space="preserve">    AND t3.edate = T2.EDATE</t>
  </si>
  <si>
    <t>WHERE T1.STATUS_NAME = 'APD_LOAN_TOTAL_AMOUNT'</t>
  </si>
  <si>
    <t>GROUP BY 1,2,3</t>
  </si>
  <si>
    <t>overdue_balance as</t>
  </si>
  <si>
    <t>fbbid,</t>
  </si>
  <si>
    <t>OD_date,</t>
  </si>
  <si>
    <t>sum(total_overdue_balance) as tob</t>
  </si>
  <si>
    <t>from total_overdue</t>
  </si>
  <si>
    <t>group by all</t>
  </si>
  <si>
    <t xml:space="preserve">with_overdue as </t>
  </si>
  <si>
    <t>b.tob,</t>
  </si>
  <si>
    <t>c.tob as overdue_next_day,</t>
  </si>
  <si>
    <t>d.tob as overdue_7th_day</t>
  </si>
  <si>
    <t>from with_cure a</t>
  </si>
  <si>
    <t>left join overdue_balance b</t>
  </si>
  <si>
    <t>and a.edate = b.OD_date</t>
  </si>
  <si>
    <t>left join overdue_balance c</t>
  </si>
  <si>
    <t>and a.edate = dateadd(day,-1,c.OD_date)</t>
  </si>
  <si>
    <t>left join overdue_balance d</t>
  </si>
  <si>
    <t>on a.fbbid = d.fbbid</t>
  </si>
  <si>
    <t>and a.edate = dateadd(day,-7,d.OD_date)</t>
  </si>
  <si>
    <t xml:space="preserve">Payment as </t>
  </si>
  <si>
    <t>SELECT fbbid,</t>
  </si>
  <si>
    <t>date(payment_event_time) as payment_date,</t>
  </si>
  <si>
    <t>sum(TO_DOUBLE(PAYMENT_COMPONENTS_JSON:PAYMENT_AMOUNT)) AS payment_amount</t>
  </si>
  <si>
    <t>FROM BI.FINANCE.PAYMENTS_MODEL</t>
  </si>
  <si>
    <t>WHERE payment_status = 'FUND' and direction = 'D'</t>
  </si>
  <si>
    <t>group by 1,2</t>
  </si>
  <si>
    <t xml:space="preserve">with_payment as </t>
  </si>
  <si>
    <t xml:space="preserve">select </t>
  </si>
  <si>
    <t>a.*,</t>
  </si>
  <si>
    <t>case when total_dials&gt;0 then 1 else 0 end as dial_flag,</t>
  </si>
  <si>
    <t>b.payment_amount,</t>
  </si>
  <si>
    <t>case when rpc_count&gt;0 then 1 else 0 end as rpc_flag,</t>
  </si>
  <si>
    <t>case when ptp_count &gt;0 then 1 else 0 end as ptp_flag,</t>
  </si>
  <si>
    <t>case when payment_count&gt;0 then 1 else 0 end as payment_flag,</t>
  </si>
  <si>
    <t>from with_overdue a</t>
  </si>
  <si>
    <t xml:space="preserve">left join </t>
  </si>
  <si>
    <t xml:space="preserve">    (</t>
  </si>
  <si>
    <t xml:space="preserve">    select a.fbbid,a.edate,</t>
  </si>
  <si>
    <t xml:space="preserve">    sum(b.payment_amount) as payment_amount</t>
  </si>
  <si>
    <t xml:space="preserve">    from with_overdue a</t>
  </si>
  <si>
    <t xml:space="preserve">    left join payment b </t>
  </si>
  <si>
    <t xml:space="preserve">    on a.fbbid = b.fbbid </t>
  </si>
  <si>
    <t xml:space="preserve">    and b.payment_date = a.edate</t>
  </si>
  <si>
    <t xml:space="preserve">    -- AND b.payment_date &gt;= a.call_date</t>
  </si>
  <si>
    <t xml:space="preserve">    -- AND b.payment_date &lt;= DATEADD(day, 6, a.edate)</t>
  </si>
  <si>
    <t xml:space="preserve">    group by 1,2</t>
  </si>
  <si>
    <t xml:space="preserve">    )b </t>
  </si>
  <si>
    <t>on a.fbbid = b.fbbid and a.edate = b.edate</t>
  </si>
  <si>
    <t>payment_6_day as</t>
  </si>
  <si>
    <t>b.payment_amount as payment_amount_6</t>
  </si>
  <si>
    <t xml:space="preserve">from with_payment a </t>
  </si>
  <si>
    <t xml:space="preserve">    select a.fbbid,</t>
  </si>
  <si>
    <t xml:space="preserve">    a.edate,</t>
  </si>
  <si>
    <t xml:space="preserve">    sum(b.payment_amount) as payment_amount,</t>
  </si>
  <si>
    <t xml:space="preserve">    from with_payment a</t>
  </si>
  <si>
    <t xml:space="preserve">    left join payment b</t>
  </si>
  <si>
    <t xml:space="preserve">    on a.fbbid = b.fbbid and (a.edate&lt;= b.payment_date and dateadd(day,7,a.edate) &gt;=b.payment_date)</t>
  </si>
  <si>
    <t xml:space="preserve">    ) b </t>
  </si>
  <si>
    <t>*,</t>
  </si>
  <si>
    <t>from payment_6_day where dpd_bucket is not null;</t>
  </si>
  <si>
    <t>&gt;&gt; Dialer performance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</si>
</sst>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20"/>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8DE0-E603-0645-96E4-850064FD3400}">
  <dimension ref="A1:D61"/>
  <sheetViews>
    <sheetView showGridLines="0" workbookViewId="0"/>
  </sheetViews>
  <sheetFormatPr baseColWidth="10" defaultRowHeight="16" x14ac:dyDescent="0.2"/>
  <cols>
    <col min="1" max="2" width="2.83203125" customWidth="1"/>
  </cols>
  <sheetData>
    <row r="1" spans="1:3" ht="27" x14ac:dyDescent="0.35">
      <c r="A1" s="1" t="s">
        <v>50</v>
      </c>
    </row>
    <row r="4" spans="1:3" x14ac:dyDescent="0.2">
      <c r="C4" t="s">
        <v>46</v>
      </c>
    </row>
    <row r="6" spans="1:3" x14ac:dyDescent="0.2">
      <c r="C6" t="s">
        <v>0</v>
      </c>
    </row>
    <row r="7" spans="1:3" x14ac:dyDescent="0.2">
      <c r="C7" t="s">
        <v>1</v>
      </c>
    </row>
    <row r="8" spans="1:3" x14ac:dyDescent="0.2">
      <c r="C8" t="s">
        <v>22</v>
      </c>
    </row>
    <row r="9" spans="1:3" x14ac:dyDescent="0.2">
      <c r="C9" t="s">
        <v>2</v>
      </c>
    </row>
    <row r="10" spans="1:3" x14ac:dyDescent="0.2">
      <c r="C10" t="s">
        <v>23</v>
      </c>
    </row>
    <row r="11" spans="1:3" x14ac:dyDescent="0.2">
      <c r="C11" t="s">
        <v>24</v>
      </c>
    </row>
    <row r="12" spans="1:3" x14ac:dyDescent="0.2">
      <c r="C12" t="s">
        <v>25</v>
      </c>
    </row>
    <row r="13" spans="1:3" x14ac:dyDescent="0.2">
      <c r="C13" t="s">
        <v>2</v>
      </c>
    </row>
    <row r="14" spans="1:3" x14ac:dyDescent="0.2">
      <c r="C14" t="s">
        <v>26</v>
      </c>
    </row>
    <row r="15" spans="1:3" x14ac:dyDescent="0.2">
      <c r="C15" t="s">
        <v>27</v>
      </c>
    </row>
    <row r="16" spans="1:3" x14ac:dyDescent="0.2">
      <c r="C16" t="s">
        <v>28</v>
      </c>
    </row>
    <row r="17" spans="3:4" x14ac:dyDescent="0.2">
      <c r="C17" t="s">
        <v>29</v>
      </c>
    </row>
    <row r="18" spans="3:4" x14ac:dyDescent="0.2">
      <c r="C18" t="s">
        <v>30</v>
      </c>
    </row>
    <row r="19" spans="3:4" x14ac:dyDescent="0.2">
      <c r="C19" t="s">
        <v>31</v>
      </c>
    </row>
    <row r="20" spans="3:4" x14ac:dyDescent="0.2">
      <c r="C20" t="s">
        <v>32</v>
      </c>
    </row>
    <row r="21" spans="3:4" x14ac:dyDescent="0.2">
      <c r="C21" t="s">
        <v>33</v>
      </c>
    </row>
    <row r="22" spans="3:4" x14ac:dyDescent="0.2">
      <c r="C22" t="s">
        <v>34</v>
      </c>
    </row>
    <row r="23" spans="3:4" x14ac:dyDescent="0.2">
      <c r="C23" t="s">
        <v>35</v>
      </c>
    </row>
    <row r="24" spans="3:4" x14ac:dyDescent="0.2">
      <c r="C24" t="s">
        <v>36</v>
      </c>
    </row>
    <row r="25" spans="3:4" x14ac:dyDescent="0.2">
      <c r="C25" t="s">
        <v>37</v>
      </c>
    </row>
    <row r="26" spans="3:4" x14ac:dyDescent="0.2">
      <c r="C26" t="s">
        <v>38</v>
      </c>
    </row>
    <row r="27" spans="3:4" x14ac:dyDescent="0.2">
      <c r="C27" t="s">
        <v>39</v>
      </c>
    </row>
    <row r="28" spans="3:4" x14ac:dyDescent="0.2">
      <c r="C28" t="s">
        <v>40</v>
      </c>
    </row>
    <row r="29" spans="3:4" x14ac:dyDescent="0.2">
      <c r="C29" t="s">
        <v>41</v>
      </c>
    </row>
    <row r="30" spans="3:4" x14ac:dyDescent="0.2">
      <c r="C30" t="s">
        <v>3</v>
      </c>
    </row>
    <row r="31" spans="3:4" x14ac:dyDescent="0.2">
      <c r="C31" t="s">
        <v>4</v>
      </c>
    </row>
    <row r="32" spans="3:4" x14ac:dyDescent="0.2">
      <c r="D32" t="s">
        <v>5</v>
      </c>
    </row>
    <row r="33" spans="3:4" x14ac:dyDescent="0.2">
      <c r="D33" t="s">
        <v>6</v>
      </c>
    </row>
    <row r="34" spans="3:4" x14ac:dyDescent="0.2">
      <c r="D34" t="s">
        <v>7</v>
      </c>
    </row>
    <row r="35" spans="3:4" x14ac:dyDescent="0.2">
      <c r="D35" t="s">
        <v>8</v>
      </c>
    </row>
    <row r="36" spans="3:4" x14ac:dyDescent="0.2">
      <c r="D36" t="s">
        <v>9</v>
      </c>
    </row>
    <row r="37" spans="3:4" x14ac:dyDescent="0.2">
      <c r="C37" t="s">
        <v>3</v>
      </c>
    </row>
    <row r="38" spans="3:4" x14ac:dyDescent="0.2">
      <c r="C38" t="s">
        <v>10</v>
      </c>
    </row>
    <row r="39" spans="3:4" x14ac:dyDescent="0.2">
      <c r="C39" t="s">
        <v>11</v>
      </c>
    </row>
    <row r="40" spans="3:4" x14ac:dyDescent="0.2">
      <c r="C40" t="s">
        <v>12</v>
      </c>
    </row>
    <row r="41" spans="3:4" x14ac:dyDescent="0.2">
      <c r="C41" t="s">
        <v>13</v>
      </c>
    </row>
    <row r="42" spans="3:4" x14ac:dyDescent="0.2">
      <c r="C42" t="s">
        <v>14</v>
      </c>
    </row>
    <row r="43" spans="3:4" x14ac:dyDescent="0.2">
      <c r="C43" t="s">
        <v>42</v>
      </c>
    </row>
    <row r="44" spans="3:4" x14ac:dyDescent="0.2">
      <c r="C44" t="s">
        <v>15</v>
      </c>
    </row>
    <row r="45" spans="3:4" x14ac:dyDescent="0.2">
      <c r="C45" t="s">
        <v>16</v>
      </c>
    </row>
    <row r="46" spans="3:4" x14ac:dyDescent="0.2">
      <c r="C46" t="s">
        <v>17</v>
      </c>
    </row>
    <row r="47" spans="3:4" x14ac:dyDescent="0.2">
      <c r="C47" t="s">
        <v>18</v>
      </c>
    </row>
    <row r="48" spans="3:4" x14ac:dyDescent="0.2">
      <c r="C48" t="s">
        <v>43</v>
      </c>
    </row>
    <row r="49" spans="3:3" x14ac:dyDescent="0.2">
      <c r="C49" t="s">
        <v>19</v>
      </c>
    </row>
    <row r="50" spans="3:3" x14ac:dyDescent="0.2">
      <c r="C50" t="s">
        <v>20</v>
      </c>
    </row>
    <row r="51" spans="3:3" x14ac:dyDescent="0.2">
      <c r="C51" t="s">
        <v>44</v>
      </c>
    </row>
    <row r="52" spans="3:3" x14ac:dyDescent="0.2">
      <c r="C52" t="s">
        <v>45</v>
      </c>
    </row>
    <row r="53" spans="3:3" x14ac:dyDescent="0.2">
      <c r="C53" t="s">
        <v>21</v>
      </c>
    </row>
    <row r="58" spans="3:3" x14ac:dyDescent="0.2">
      <c r="C58" t="s">
        <v>47</v>
      </c>
    </row>
    <row r="59" spans="3:3" x14ac:dyDescent="0.2">
      <c r="C59" t="e" cm="1">
        <f t="array" ref="C59">-- from bi.public.daily_approved_customers_data</f>
        <v>#NAME?</v>
      </c>
    </row>
    <row r="60" spans="3:3" x14ac:dyDescent="0.2">
      <c r="C60" t="s">
        <v>48</v>
      </c>
    </row>
    <row r="61" spans="3:3" x14ac:dyDescent="0.2">
      <c r="C6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649D-A57B-BD40-A664-3ACC398888D3}">
  <dimension ref="A1:C54"/>
  <sheetViews>
    <sheetView showGridLines="0" workbookViewId="0">
      <selection activeCell="G7" sqref="G7"/>
    </sheetView>
  </sheetViews>
  <sheetFormatPr baseColWidth="10" defaultRowHeight="16" x14ac:dyDescent="0.2"/>
  <cols>
    <col min="1" max="2" width="2.83203125" customWidth="1"/>
  </cols>
  <sheetData>
    <row r="1" spans="1:3" ht="27" x14ac:dyDescent="0.35">
      <c r="A1" s="1" t="s">
        <v>95</v>
      </c>
    </row>
    <row r="4" spans="1:3" x14ac:dyDescent="0.2">
      <c r="C4" t="s">
        <v>51</v>
      </c>
    </row>
    <row r="5" spans="1:3" x14ac:dyDescent="0.2">
      <c r="C5" t="s">
        <v>52</v>
      </c>
    </row>
    <row r="6" spans="1:3" x14ac:dyDescent="0.2">
      <c r="C6" t="s">
        <v>53</v>
      </c>
    </row>
    <row r="7" spans="1:3" x14ac:dyDescent="0.2">
      <c r="C7" t="s">
        <v>54</v>
      </c>
    </row>
    <row r="8" spans="1:3" x14ac:dyDescent="0.2">
      <c r="C8" t="s">
        <v>55</v>
      </c>
    </row>
    <row r="9" spans="1:3" x14ac:dyDescent="0.2">
      <c r="C9" t="s">
        <v>56</v>
      </c>
    </row>
    <row r="10" spans="1:3" x14ac:dyDescent="0.2">
      <c r="C10" t="s">
        <v>57</v>
      </c>
    </row>
    <row r="11" spans="1:3" x14ac:dyDescent="0.2">
      <c r="C11" t="s">
        <v>58</v>
      </c>
    </row>
    <row r="12" spans="1:3" x14ac:dyDescent="0.2">
      <c r="C12" t="s">
        <v>59</v>
      </c>
    </row>
    <row r="13" spans="1:3" x14ac:dyDescent="0.2">
      <c r="C13" t="s">
        <v>60</v>
      </c>
    </row>
    <row r="14" spans="1:3" x14ac:dyDescent="0.2">
      <c r="C14" t="s">
        <v>61</v>
      </c>
    </row>
    <row r="15" spans="1:3" x14ac:dyDescent="0.2">
      <c r="C15" t="s">
        <v>62</v>
      </c>
    </row>
    <row r="16" spans="1:3" x14ac:dyDescent="0.2">
      <c r="C16" t="s">
        <v>63</v>
      </c>
    </row>
    <row r="17" spans="3:3" x14ac:dyDescent="0.2">
      <c r="C17" t="s">
        <v>64</v>
      </c>
    </row>
    <row r="18" spans="3:3" x14ac:dyDescent="0.2">
      <c r="C18" t="s">
        <v>65</v>
      </c>
    </row>
    <row r="19" spans="3:3" x14ac:dyDescent="0.2">
      <c r="C19" t="s">
        <v>3</v>
      </c>
    </row>
    <row r="20" spans="3:3" x14ac:dyDescent="0.2">
      <c r="C20" t="s">
        <v>66</v>
      </c>
    </row>
    <row r="21" spans="3:3" x14ac:dyDescent="0.2">
      <c r="C21" t="s">
        <v>94</v>
      </c>
    </row>
    <row r="22" spans="3:3" x14ac:dyDescent="0.2">
      <c r="C22" t="s">
        <v>67</v>
      </c>
    </row>
    <row r="23" spans="3:3" x14ac:dyDescent="0.2">
      <c r="C23" t="s">
        <v>2</v>
      </c>
    </row>
    <row r="24" spans="3:3" x14ac:dyDescent="0.2">
      <c r="C24" t="s">
        <v>68</v>
      </c>
    </row>
    <row r="25" spans="3:3" x14ac:dyDescent="0.2">
      <c r="C25" t="s">
        <v>69</v>
      </c>
    </row>
    <row r="26" spans="3:3" x14ac:dyDescent="0.2">
      <c r="C26" t="s">
        <v>70</v>
      </c>
    </row>
    <row r="27" spans="3:3" x14ac:dyDescent="0.2">
      <c r="C27" t="s">
        <v>71</v>
      </c>
    </row>
    <row r="28" spans="3:3" x14ac:dyDescent="0.2">
      <c r="C28" t="s">
        <v>72</v>
      </c>
    </row>
    <row r="29" spans="3:3" x14ac:dyDescent="0.2">
      <c r="C29" t="s">
        <v>73</v>
      </c>
    </row>
    <row r="30" spans="3:3" x14ac:dyDescent="0.2">
      <c r="C30" t="s">
        <v>74</v>
      </c>
    </row>
    <row r="31" spans="3:3" x14ac:dyDescent="0.2">
      <c r="C31" t="s">
        <v>75</v>
      </c>
    </row>
    <row r="32" spans="3:3" x14ac:dyDescent="0.2">
      <c r="C32" t="s">
        <v>76</v>
      </c>
    </row>
    <row r="33" spans="3:3" x14ac:dyDescent="0.2">
      <c r="C33" t="s">
        <v>77</v>
      </c>
    </row>
    <row r="34" spans="3:3" x14ac:dyDescent="0.2">
      <c r="C34" t="s">
        <v>2</v>
      </c>
    </row>
    <row r="35" spans="3:3" x14ac:dyDescent="0.2">
      <c r="C35" t="s">
        <v>78</v>
      </c>
    </row>
    <row r="36" spans="3:3" x14ac:dyDescent="0.2">
      <c r="C36" t="s">
        <v>79</v>
      </c>
    </row>
    <row r="37" spans="3:3" x14ac:dyDescent="0.2">
      <c r="C37" t="s">
        <v>80</v>
      </c>
    </row>
    <row r="38" spans="3:3" x14ac:dyDescent="0.2">
      <c r="C38" t="s">
        <v>76</v>
      </c>
    </row>
    <row r="39" spans="3:3" x14ac:dyDescent="0.2">
      <c r="C39" t="s">
        <v>81</v>
      </c>
    </row>
    <row r="40" spans="3:3" x14ac:dyDescent="0.2">
      <c r="C40" t="s">
        <v>82</v>
      </c>
    </row>
    <row r="41" spans="3:3" x14ac:dyDescent="0.2">
      <c r="C41" t="s">
        <v>26</v>
      </c>
    </row>
    <row r="42" spans="3:3" x14ac:dyDescent="0.2">
      <c r="C42" t="s">
        <v>83</v>
      </c>
    </row>
    <row r="43" spans="3:3" x14ac:dyDescent="0.2">
      <c r="C43" t="s">
        <v>84</v>
      </c>
    </row>
    <row r="44" spans="3:3" x14ac:dyDescent="0.2">
      <c r="C44" t="s">
        <v>85</v>
      </c>
    </row>
    <row r="45" spans="3:3" x14ac:dyDescent="0.2">
      <c r="C45" t="s">
        <v>86</v>
      </c>
    </row>
    <row r="46" spans="3:3" x14ac:dyDescent="0.2">
      <c r="C46" t="s">
        <v>87</v>
      </c>
    </row>
    <row r="47" spans="3:3" x14ac:dyDescent="0.2">
      <c r="C47" t="s">
        <v>88</v>
      </c>
    </row>
    <row r="48" spans="3:3" x14ac:dyDescent="0.2">
      <c r="C48" t="s">
        <v>89</v>
      </c>
    </row>
    <row r="49" spans="3:3" x14ac:dyDescent="0.2">
      <c r="C49" t="s">
        <v>90</v>
      </c>
    </row>
    <row r="50" spans="3:3" x14ac:dyDescent="0.2">
      <c r="C50" t="s">
        <v>91</v>
      </c>
    </row>
    <row r="51" spans="3:3" x14ac:dyDescent="0.2">
      <c r="C51" t="s">
        <v>92</v>
      </c>
    </row>
    <row r="52" spans="3:3" x14ac:dyDescent="0.2">
      <c r="C52" t="s">
        <v>41</v>
      </c>
    </row>
    <row r="53" spans="3:3" x14ac:dyDescent="0.2">
      <c r="C53" t="s">
        <v>3</v>
      </c>
    </row>
    <row r="54" spans="3:3" x14ac:dyDescent="0.2">
      <c r="C54"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2FE0-3549-0742-BCCC-278B7B233191}">
  <dimension ref="A1:C260"/>
  <sheetViews>
    <sheetView showGridLines="0" tabSelected="1" workbookViewId="0">
      <selection activeCell="C3" sqref="C2:C3"/>
    </sheetView>
  </sheetViews>
  <sheetFormatPr baseColWidth="10" defaultRowHeight="16" x14ac:dyDescent="0.2"/>
  <cols>
    <col min="1" max="2" width="2.83203125" customWidth="1"/>
  </cols>
  <sheetData>
    <row r="1" spans="1:3" ht="27" x14ac:dyDescent="0.35">
      <c r="A1" s="1" t="s">
        <v>288</v>
      </c>
    </row>
    <row r="5" spans="1:3" x14ac:dyDescent="0.2">
      <c r="C5" t="s">
        <v>96</v>
      </c>
    </row>
    <row r="6" spans="1:3" x14ac:dyDescent="0.2">
      <c r="C6" t="s">
        <v>53</v>
      </c>
    </row>
    <row r="7" spans="1:3" x14ac:dyDescent="0.2">
      <c r="C7" t="s">
        <v>97</v>
      </c>
    </row>
    <row r="8" spans="1:3" x14ac:dyDescent="0.2">
      <c r="C8" t="s">
        <v>2</v>
      </c>
    </row>
    <row r="9" spans="1:3" x14ac:dyDescent="0.2">
      <c r="C9" t="s">
        <v>98</v>
      </c>
    </row>
    <row r="10" spans="1:3" x14ac:dyDescent="0.2">
      <c r="C10" t="s">
        <v>99</v>
      </c>
    </row>
    <row r="11" spans="1:3" x14ac:dyDescent="0.2">
      <c r="C11" t="s">
        <v>100</v>
      </c>
    </row>
    <row r="12" spans="1:3" x14ac:dyDescent="0.2">
      <c r="C12" t="s">
        <v>101</v>
      </c>
    </row>
    <row r="13" spans="1:3" x14ac:dyDescent="0.2">
      <c r="C13" t="s">
        <v>102</v>
      </c>
    </row>
    <row r="14" spans="1:3" x14ac:dyDescent="0.2">
      <c r="C14" t="s">
        <v>103</v>
      </c>
    </row>
    <row r="15" spans="1:3" x14ac:dyDescent="0.2">
      <c r="C15" t="s">
        <v>104</v>
      </c>
    </row>
    <row r="16" spans="1:3" x14ac:dyDescent="0.2">
      <c r="C16" t="s">
        <v>105</v>
      </c>
    </row>
    <row r="17" spans="3:3" x14ac:dyDescent="0.2">
      <c r="C17" t="s">
        <v>106</v>
      </c>
    </row>
    <row r="18" spans="3:3" x14ac:dyDescent="0.2">
      <c r="C18" t="s">
        <v>107</v>
      </c>
    </row>
    <row r="19" spans="3:3" x14ac:dyDescent="0.2">
      <c r="C19" t="s">
        <v>108</v>
      </c>
    </row>
    <row r="20" spans="3:3" x14ac:dyDescent="0.2">
      <c r="C20" t="s">
        <v>109</v>
      </c>
    </row>
    <row r="21" spans="3:3" x14ac:dyDescent="0.2">
      <c r="C21" t="s">
        <v>110</v>
      </c>
    </row>
    <row r="22" spans="3:3" x14ac:dyDescent="0.2">
      <c r="C22" t="s">
        <v>111</v>
      </c>
    </row>
    <row r="23" spans="3:3" x14ac:dyDescent="0.2">
      <c r="C23" t="s">
        <v>112</v>
      </c>
    </row>
    <row r="24" spans="3:3" x14ac:dyDescent="0.2">
      <c r="C24" t="s">
        <v>113</v>
      </c>
    </row>
    <row r="25" spans="3:3" x14ac:dyDescent="0.2">
      <c r="C25" t="s">
        <v>114</v>
      </c>
    </row>
    <row r="26" spans="3:3" x14ac:dyDescent="0.2">
      <c r="C26" t="s">
        <v>3</v>
      </c>
    </row>
    <row r="27" spans="3:3" x14ac:dyDescent="0.2">
      <c r="C27" t="s">
        <v>115</v>
      </c>
    </row>
    <row r="29" spans="3:3" x14ac:dyDescent="0.2">
      <c r="C29" t="s">
        <v>116</v>
      </c>
    </row>
    <row r="30" spans="3:3" x14ac:dyDescent="0.2">
      <c r="C30" t="s">
        <v>66</v>
      </c>
    </row>
    <row r="31" spans="3:3" x14ac:dyDescent="0.2">
      <c r="C31" t="s">
        <v>117</v>
      </c>
    </row>
    <row r="32" spans="3:3" x14ac:dyDescent="0.2">
      <c r="C32" t="s">
        <v>118</v>
      </c>
    </row>
    <row r="33" spans="3:3" x14ac:dyDescent="0.2">
      <c r="C33" t="s">
        <v>2</v>
      </c>
    </row>
    <row r="34" spans="3:3" x14ac:dyDescent="0.2">
      <c r="C34" t="s">
        <v>119</v>
      </c>
    </row>
    <row r="35" spans="3:3" x14ac:dyDescent="0.2">
      <c r="C35" t="s">
        <v>120</v>
      </c>
    </row>
    <row r="36" spans="3:3" x14ac:dyDescent="0.2">
      <c r="C36" t="s">
        <v>121</v>
      </c>
    </row>
    <row r="37" spans="3:3" x14ac:dyDescent="0.2">
      <c r="C37" t="s">
        <v>122</v>
      </c>
    </row>
    <row r="38" spans="3:3" x14ac:dyDescent="0.2">
      <c r="C38" t="s">
        <v>123</v>
      </c>
    </row>
    <row r="39" spans="3:3" x14ac:dyDescent="0.2">
      <c r="C39" t="s">
        <v>124</v>
      </c>
    </row>
    <row r="40" spans="3:3" x14ac:dyDescent="0.2">
      <c r="C40" t="s">
        <v>125</v>
      </c>
    </row>
    <row r="41" spans="3:3" x14ac:dyDescent="0.2">
      <c r="C41" t="s">
        <v>126</v>
      </c>
    </row>
    <row r="42" spans="3:3" x14ac:dyDescent="0.2">
      <c r="C42" t="s">
        <v>127</v>
      </c>
    </row>
    <row r="43" spans="3:3" x14ac:dyDescent="0.2">
      <c r="C43" t="s">
        <v>128</v>
      </c>
    </row>
    <row r="44" spans="3:3" x14ac:dyDescent="0.2">
      <c r="C44" t="s">
        <v>129</v>
      </c>
    </row>
    <row r="45" spans="3:3" x14ac:dyDescent="0.2">
      <c r="C45" t="s">
        <v>3</v>
      </c>
    </row>
    <row r="46" spans="3:3" x14ac:dyDescent="0.2">
      <c r="C46" t="s">
        <v>130</v>
      </c>
    </row>
    <row r="47" spans="3:3" x14ac:dyDescent="0.2">
      <c r="C47" t="s">
        <v>131</v>
      </c>
    </row>
    <row r="48" spans="3:3" x14ac:dyDescent="0.2">
      <c r="C48" t="s">
        <v>2</v>
      </c>
    </row>
    <row r="49" spans="3:3" x14ac:dyDescent="0.2">
      <c r="C49" t="s">
        <v>132</v>
      </c>
    </row>
    <row r="50" spans="3:3" x14ac:dyDescent="0.2">
      <c r="C50" t="s">
        <v>133</v>
      </c>
    </row>
    <row r="51" spans="3:3" x14ac:dyDescent="0.2">
      <c r="C51" t="s">
        <v>134</v>
      </c>
    </row>
    <row r="52" spans="3:3" x14ac:dyDescent="0.2">
      <c r="C52" t="s">
        <v>135</v>
      </c>
    </row>
    <row r="53" spans="3:3" x14ac:dyDescent="0.2">
      <c r="C53" t="s">
        <v>136</v>
      </c>
    </row>
    <row r="54" spans="3:3" x14ac:dyDescent="0.2">
      <c r="C54" t="s">
        <v>137</v>
      </c>
    </row>
    <row r="55" spans="3:3" x14ac:dyDescent="0.2">
      <c r="C55" t="s">
        <v>3</v>
      </c>
    </row>
    <row r="56" spans="3:3" x14ac:dyDescent="0.2">
      <c r="C56" t="s">
        <v>66</v>
      </c>
    </row>
    <row r="57" spans="3:3" x14ac:dyDescent="0.2">
      <c r="C57" t="s">
        <v>138</v>
      </c>
    </row>
    <row r="58" spans="3:3" x14ac:dyDescent="0.2">
      <c r="C58" t="s">
        <v>2</v>
      </c>
    </row>
    <row r="59" spans="3:3" x14ac:dyDescent="0.2">
      <c r="C59" t="s">
        <v>139</v>
      </c>
    </row>
    <row r="60" spans="3:3" x14ac:dyDescent="0.2">
      <c r="C60" t="s">
        <v>140</v>
      </c>
    </row>
    <row r="61" spans="3:3" x14ac:dyDescent="0.2">
      <c r="C61" t="s">
        <v>141</v>
      </c>
    </row>
    <row r="62" spans="3:3" x14ac:dyDescent="0.2">
      <c r="C62" t="s">
        <v>142</v>
      </c>
    </row>
    <row r="63" spans="3:3" x14ac:dyDescent="0.2">
      <c r="C63" t="s">
        <v>143</v>
      </c>
    </row>
    <row r="64" spans="3:3" x14ac:dyDescent="0.2">
      <c r="C64" t="s">
        <v>144</v>
      </c>
    </row>
    <row r="65" spans="3:3" x14ac:dyDescent="0.2">
      <c r="C65" t="s">
        <v>145</v>
      </c>
    </row>
    <row r="66" spans="3:3" x14ac:dyDescent="0.2">
      <c r="C66" t="s">
        <v>146</v>
      </c>
    </row>
    <row r="67" spans="3:3" x14ac:dyDescent="0.2">
      <c r="C67" t="s">
        <v>147</v>
      </c>
    </row>
    <row r="68" spans="3:3" x14ac:dyDescent="0.2">
      <c r="C68" t="s">
        <v>148</v>
      </c>
    </row>
    <row r="69" spans="3:3" x14ac:dyDescent="0.2">
      <c r="C69" t="s">
        <v>123</v>
      </c>
    </row>
    <row r="70" spans="3:3" x14ac:dyDescent="0.2">
      <c r="C70" t="s">
        <v>149</v>
      </c>
    </row>
    <row r="71" spans="3:3" x14ac:dyDescent="0.2">
      <c r="C71" t="s">
        <v>150</v>
      </c>
    </row>
    <row r="72" spans="3:3" x14ac:dyDescent="0.2">
      <c r="C72" t="s">
        <v>76</v>
      </c>
    </row>
    <row r="73" spans="3:3" x14ac:dyDescent="0.2">
      <c r="C73" t="s">
        <v>151</v>
      </c>
    </row>
    <row r="74" spans="3:3" x14ac:dyDescent="0.2">
      <c r="C74" t="s">
        <v>2</v>
      </c>
    </row>
    <row r="75" spans="3:3" x14ac:dyDescent="0.2">
      <c r="C75" t="s">
        <v>152</v>
      </c>
    </row>
    <row r="76" spans="3:3" x14ac:dyDescent="0.2">
      <c r="C76" t="s">
        <v>153</v>
      </c>
    </row>
    <row r="77" spans="3:3" x14ac:dyDescent="0.2">
      <c r="C77" t="s">
        <v>154</v>
      </c>
    </row>
    <row r="78" spans="3:3" x14ac:dyDescent="0.2">
      <c r="C78" t="s">
        <v>155</v>
      </c>
    </row>
    <row r="79" spans="3:3" x14ac:dyDescent="0.2">
      <c r="C79" t="s">
        <v>156</v>
      </c>
    </row>
    <row r="80" spans="3:3" x14ac:dyDescent="0.2">
      <c r="C80" t="s">
        <v>157</v>
      </c>
    </row>
    <row r="81" spans="3:3" x14ac:dyDescent="0.2">
      <c r="C81" t="s">
        <v>158</v>
      </c>
    </row>
    <row r="82" spans="3:3" x14ac:dyDescent="0.2">
      <c r="C82" t="s">
        <v>159</v>
      </c>
    </row>
    <row r="83" spans="3:3" x14ac:dyDescent="0.2">
      <c r="C83" t="s">
        <v>160</v>
      </c>
    </row>
    <row r="84" spans="3:3" x14ac:dyDescent="0.2">
      <c r="C84" t="s">
        <v>161</v>
      </c>
    </row>
    <row r="85" spans="3:3" x14ac:dyDescent="0.2">
      <c r="C85" t="s">
        <v>162</v>
      </c>
    </row>
    <row r="86" spans="3:3" x14ac:dyDescent="0.2">
      <c r="C86" t="s">
        <v>163</v>
      </c>
    </row>
    <row r="87" spans="3:3" x14ac:dyDescent="0.2">
      <c r="C87" t="s">
        <v>3</v>
      </c>
    </row>
    <row r="88" spans="3:3" x14ac:dyDescent="0.2">
      <c r="C88" t="s">
        <v>66</v>
      </c>
    </row>
    <row r="89" spans="3:3" x14ac:dyDescent="0.2">
      <c r="C89" t="s">
        <v>164</v>
      </c>
    </row>
    <row r="90" spans="3:3" x14ac:dyDescent="0.2">
      <c r="C90" t="s">
        <v>2</v>
      </c>
    </row>
    <row r="91" spans="3:3" x14ac:dyDescent="0.2">
      <c r="C91" t="s">
        <v>78</v>
      </c>
    </row>
    <row r="92" spans="3:3" x14ac:dyDescent="0.2">
      <c r="C92" t="s">
        <v>165</v>
      </c>
    </row>
    <row r="93" spans="3:3" x14ac:dyDescent="0.2">
      <c r="C93" t="s">
        <v>166</v>
      </c>
    </row>
    <row r="94" spans="3:3" x14ac:dyDescent="0.2">
      <c r="C94" t="s">
        <v>167</v>
      </c>
    </row>
    <row r="95" spans="3:3" x14ac:dyDescent="0.2">
      <c r="C95" t="s">
        <v>76</v>
      </c>
    </row>
    <row r="96" spans="3:3" x14ac:dyDescent="0.2">
      <c r="C96" t="s">
        <v>168</v>
      </c>
    </row>
    <row r="97" spans="3:3" x14ac:dyDescent="0.2">
      <c r="C97" t="s">
        <v>2</v>
      </c>
    </row>
    <row r="98" spans="3:3" x14ac:dyDescent="0.2">
      <c r="C98" t="s">
        <v>132</v>
      </c>
    </row>
    <row r="99" spans="3:3" x14ac:dyDescent="0.2">
      <c r="C99" t="s">
        <v>169</v>
      </c>
    </row>
    <row r="100" spans="3:3" x14ac:dyDescent="0.2">
      <c r="C100" t="s">
        <v>170</v>
      </c>
    </row>
    <row r="101" spans="3:3" x14ac:dyDescent="0.2">
      <c r="C101" t="s">
        <v>171</v>
      </c>
    </row>
    <row r="102" spans="3:3" x14ac:dyDescent="0.2">
      <c r="C102" t="s">
        <v>172</v>
      </c>
    </row>
    <row r="103" spans="3:3" x14ac:dyDescent="0.2">
      <c r="C103" t="s">
        <v>69</v>
      </c>
    </row>
    <row r="104" spans="3:3" x14ac:dyDescent="0.2">
      <c r="C104" t="s">
        <v>173</v>
      </c>
    </row>
    <row r="105" spans="3:3" x14ac:dyDescent="0.2">
      <c r="C105" t="s">
        <v>174</v>
      </c>
    </row>
    <row r="106" spans="3:3" x14ac:dyDescent="0.2">
      <c r="C106" t="s">
        <v>175</v>
      </c>
    </row>
    <row r="107" spans="3:3" x14ac:dyDescent="0.2">
      <c r="C107" t="s">
        <v>176</v>
      </c>
    </row>
    <row r="108" spans="3:3" x14ac:dyDescent="0.2">
      <c r="C108" t="s">
        <v>177</v>
      </c>
    </row>
    <row r="109" spans="3:3" x14ac:dyDescent="0.2">
      <c r="C109" t="s">
        <v>178</v>
      </c>
    </row>
    <row r="110" spans="3:3" x14ac:dyDescent="0.2">
      <c r="C110" t="s">
        <v>179</v>
      </c>
    </row>
    <row r="111" spans="3:3" x14ac:dyDescent="0.2">
      <c r="C111" t="s">
        <v>180</v>
      </c>
    </row>
    <row r="112" spans="3:3" x14ac:dyDescent="0.2">
      <c r="C112" t="s">
        <v>3</v>
      </c>
    </row>
    <row r="113" spans="3:3" x14ac:dyDescent="0.2">
      <c r="C113" t="s">
        <v>66</v>
      </c>
    </row>
    <row r="114" spans="3:3" x14ac:dyDescent="0.2">
      <c r="C114" t="s">
        <v>54</v>
      </c>
    </row>
    <row r="115" spans="3:3" x14ac:dyDescent="0.2">
      <c r="C115" t="s">
        <v>55</v>
      </c>
    </row>
    <row r="116" spans="3:3" x14ac:dyDescent="0.2">
      <c r="C116" t="s">
        <v>56</v>
      </c>
    </row>
    <row r="117" spans="3:3" x14ac:dyDescent="0.2">
      <c r="C117" t="s">
        <v>58</v>
      </c>
    </row>
    <row r="118" spans="3:3" x14ac:dyDescent="0.2">
      <c r="C118" t="s">
        <v>59</v>
      </c>
    </row>
    <row r="119" spans="3:3" x14ac:dyDescent="0.2">
      <c r="C119" t="s">
        <v>60</v>
      </c>
    </row>
    <row r="120" spans="3:3" x14ac:dyDescent="0.2">
      <c r="C120" t="s">
        <v>61</v>
      </c>
    </row>
    <row r="121" spans="3:3" x14ac:dyDescent="0.2">
      <c r="C121" t="s">
        <v>62</v>
      </c>
    </row>
    <row r="122" spans="3:3" x14ac:dyDescent="0.2">
      <c r="C122" t="s">
        <v>63</v>
      </c>
    </row>
    <row r="123" spans="3:3" x14ac:dyDescent="0.2">
      <c r="C123" t="s">
        <v>181</v>
      </c>
    </row>
    <row r="124" spans="3:3" x14ac:dyDescent="0.2">
      <c r="C124" t="s">
        <v>3</v>
      </c>
    </row>
    <row r="125" spans="3:3" x14ac:dyDescent="0.2">
      <c r="C125" t="s">
        <v>182</v>
      </c>
    </row>
    <row r="128" spans="3:3" x14ac:dyDescent="0.2">
      <c r="C128" t="s">
        <v>183</v>
      </c>
    </row>
    <row r="129" spans="3:3" x14ac:dyDescent="0.2">
      <c r="C129" t="s">
        <v>2</v>
      </c>
    </row>
    <row r="130" spans="3:3" x14ac:dyDescent="0.2">
      <c r="C130" t="s">
        <v>184</v>
      </c>
    </row>
    <row r="131" spans="3:3" x14ac:dyDescent="0.2">
      <c r="C131" t="s">
        <v>185</v>
      </c>
    </row>
    <row r="132" spans="3:3" x14ac:dyDescent="0.2">
      <c r="C132" t="s">
        <v>186</v>
      </c>
    </row>
    <row r="133" spans="3:3" x14ac:dyDescent="0.2">
      <c r="C133" t="s">
        <v>187</v>
      </c>
    </row>
    <row r="134" spans="3:3" x14ac:dyDescent="0.2">
      <c r="C134" t="s">
        <v>188</v>
      </c>
    </row>
    <row r="135" spans="3:3" x14ac:dyDescent="0.2">
      <c r="C135" t="s">
        <v>189</v>
      </c>
    </row>
    <row r="136" spans="3:3" x14ac:dyDescent="0.2">
      <c r="C136" t="s">
        <v>190</v>
      </c>
    </row>
    <row r="137" spans="3:3" x14ac:dyDescent="0.2">
      <c r="C137" t="s">
        <v>191</v>
      </c>
    </row>
    <row r="138" spans="3:3" x14ac:dyDescent="0.2">
      <c r="C138" t="s">
        <v>192</v>
      </c>
    </row>
    <row r="139" spans="3:3" x14ac:dyDescent="0.2">
      <c r="C139" t="s">
        <v>193</v>
      </c>
    </row>
    <row r="140" spans="3:3" x14ac:dyDescent="0.2">
      <c r="C140" t="s">
        <v>194</v>
      </c>
    </row>
    <row r="141" spans="3:3" x14ac:dyDescent="0.2">
      <c r="C141" t="s">
        <v>76</v>
      </c>
    </row>
    <row r="142" spans="3:3" x14ac:dyDescent="0.2">
      <c r="C142" t="s">
        <v>195</v>
      </c>
    </row>
    <row r="143" spans="3:3" x14ac:dyDescent="0.2">
      <c r="C143" t="s">
        <v>2</v>
      </c>
    </row>
    <row r="144" spans="3:3" x14ac:dyDescent="0.2">
      <c r="C144" t="s">
        <v>132</v>
      </c>
    </row>
    <row r="145" spans="3:3" x14ac:dyDescent="0.2">
      <c r="C145" t="s">
        <v>196</v>
      </c>
    </row>
    <row r="146" spans="3:3" x14ac:dyDescent="0.2">
      <c r="C146" t="s">
        <v>197</v>
      </c>
    </row>
    <row r="147" spans="3:3" x14ac:dyDescent="0.2">
      <c r="C147" t="s">
        <v>198</v>
      </c>
    </row>
    <row r="148" spans="3:3" x14ac:dyDescent="0.2">
      <c r="C148" t="s">
        <v>199</v>
      </c>
    </row>
    <row r="149" spans="3:3" x14ac:dyDescent="0.2">
      <c r="C149" t="s">
        <v>200</v>
      </c>
    </row>
    <row r="150" spans="3:3" x14ac:dyDescent="0.2">
      <c r="C150" t="s">
        <v>201</v>
      </c>
    </row>
    <row r="151" spans="3:3" x14ac:dyDescent="0.2">
      <c r="C151" t="s">
        <v>202</v>
      </c>
    </row>
    <row r="152" spans="3:3" x14ac:dyDescent="0.2">
      <c r="C152" t="s">
        <v>203</v>
      </c>
    </row>
    <row r="153" spans="3:3" x14ac:dyDescent="0.2">
      <c r="C153" t="s">
        <v>178</v>
      </c>
    </row>
    <row r="154" spans="3:3" x14ac:dyDescent="0.2">
      <c r="C154" t="s">
        <v>204</v>
      </c>
    </row>
    <row r="155" spans="3:3" x14ac:dyDescent="0.2">
      <c r="C155" t="s">
        <v>205</v>
      </c>
    </row>
    <row r="156" spans="3:3" x14ac:dyDescent="0.2">
      <c r="C156" t="s">
        <v>206</v>
      </c>
    </row>
    <row r="157" spans="3:3" x14ac:dyDescent="0.2">
      <c r="C157" t="s">
        <v>207</v>
      </c>
    </row>
    <row r="158" spans="3:3" x14ac:dyDescent="0.2">
      <c r="C158" t="s">
        <v>76</v>
      </c>
    </row>
    <row r="159" spans="3:3" x14ac:dyDescent="0.2">
      <c r="C159" t="s">
        <v>208</v>
      </c>
    </row>
    <row r="160" spans="3:3" x14ac:dyDescent="0.2">
      <c r="C160" t="s">
        <v>209</v>
      </c>
    </row>
    <row r="161" spans="3:3" x14ac:dyDescent="0.2">
      <c r="C161" t="s">
        <v>210</v>
      </c>
    </row>
    <row r="162" spans="3:3" x14ac:dyDescent="0.2">
      <c r="C162" t="s">
        <v>211</v>
      </c>
    </row>
    <row r="163" spans="3:3" x14ac:dyDescent="0.2">
      <c r="C163" t="s">
        <v>212</v>
      </c>
    </row>
    <row r="164" spans="3:3" x14ac:dyDescent="0.2">
      <c r="C164" t="s">
        <v>213</v>
      </c>
    </row>
    <row r="165" spans="3:3" x14ac:dyDescent="0.2">
      <c r="C165" t="s">
        <v>214</v>
      </c>
    </row>
    <row r="166" spans="3:3" x14ac:dyDescent="0.2">
      <c r="C166" t="s">
        <v>215</v>
      </c>
    </row>
    <row r="167" spans="3:3" x14ac:dyDescent="0.2">
      <c r="C167" t="s">
        <v>216</v>
      </c>
    </row>
    <row r="168" spans="3:3" x14ac:dyDescent="0.2">
      <c r="C168" t="s">
        <v>217</v>
      </c>
    </row>
    <row r="169" spans="3:3" x14ac:dyDescent="0.2">
      <c r="C169" t="s">
        <v>218</v>
      </c>
    </row>
    <row r="170" spans="3:3" x14ac:dyDescent="0.2">
      <c r="C170" t="s">
        <v>219</v>
      </c>
    </row>
    <row r="171" spans="3:3" x14ac:dyDescent="0.2">
      <c r="C171" t="s">
        <v>220</v>
      </c>
    </row>
    <row r="172" spans="3:3" x14ac:dyDescent="0.2">
      <c r="C172" t="s">
        <v>221</v>
      </c>
    </row>
    <row r="173" spans="3:3" x14ac:dyDescent="0.2">
      <c r="C173" t="s">
        <v>222</v>
      </c>
    </row>
    <row r="174" spans="3:3" x14ac:dyDescent="0.2">
      <c r="C174" t="s">
        <v>223</v>
      </c>
    </row>
    <row r="175" spans="3:3" x14ac:dyDescent="0.2">
      <c r="C175" t="s">
        <v>224</v>
      </c>
    </row>
    <row r="176" spans="3:3" x14ac:dyDescent="0.2">
      <c r="C176" t="s">
        <v>225</v>
      </c>
    </row>
    <row r="177" spans="3:3" x14ac:dyDescent="0.2">
      <c r="C177" t="s">
        <v>226</v>
      </c>
    </row>
    <row r="178" spans="3:3" x14ac:dyDescent="0.2">
      <c r="C178" t="s">
        <v>227</v>
      </c>
    </row>
    <row r="179" spans="3:3" x14ac:dyDescent="0.2">
      <c r="C179" t="s">
        <v>228</v>
      </c>
    </row>
    <row r="180" spans="3:3" x14ac:dyDescent="0.2">
      <c r="C180" t="s">
        <v>76</v>
      </c>
    </row>
    <row r="181" spans="3:3" x14ac:dyDescent="0.2">
      <c r="C181" t="s">
        <v>229</v>
      </c>
    </row>
    <row r="182" spans="3:3" x14ac:dyDescent="0.2">
      <c r="C182" t="s">
        <v>2</v>
      </c>
    </row>
    <row r="183" spans="3:3" x14ac:dyDescent="0.2">
      <c r="C183" t="s">
        <v>98</v>
      </c>
    </row>
    <row r="184" spans="3:3" x14ac:dyDescent="0.2">
      <c r="C184" t="s">
        <v>230</v>
      </c>
    </row>
    <row r="185" spans="3:3" x14ac:dyDescent="0.2">
      <c r="C185" t="s">
        <v>231</v>
      </c>
    </row>
    <row r="186" spans="3:3" x14ac:dyDescent="0.2">
      <c r="C186" t="s">
        <v>232</v>
      </c>
    </row>
    <row r="187" spans="3:3" x14ac:dyDescent="0.2">
      <c r="C187" t="s">
        <v>233</v>
      </c>
    </row>
    <row r="188" spans="3:3" x14ac:dyDescent="0.2">
      <c r="C188" t="s">
        <v>234</v>
      </c>
    </row>
    <row r="189" spans="3:3" x14ac:dyDescent="0.2">
      <c r="C189" t="s">
        <v>76</v>
      </c>
    </row>
    <row r="190" spans="3:3" x14ac:dyDescent="0.2">
      <c r="C190" t="s">
        <v>235</v>
      </c>
    </row>
    <row r="191" spans="3:3" x14ac:dyDescent="0.2">
      <c r="C191" t="s">
        <v>2</v>
      </c>
    </row>
    <row r="192" spans="3:3" x14ac:dyDescent="0.2">
      <c r="C192" t="s">
        <v>132</v>
      </c>
    </row>
    <row r="193" spans="3:3" x14ac:dyDescent="0.2">
      <c r="C193" t="s">
        <v>236</v>
      </c>
    </row>
    <row r="194" spans="3:3" x14ac:dyDescent="0.2">
      <c r="C194" t="s">
        <v>237</v>
      </c>
    </row>
    <row r="195" spans="3:3" x14ac:dyDescent="0.2">
      <c r="C195" t="s">
        <v>238</v>
      </c>
    </row>
    <row r="196" spans="3:3" x14ac:dyDescent="0.2">
      <c r="C196" t="s">
        <v>239</v>
      </c>
    </row>
    <row r="197" spans="3:3" x14ac:dyDescent="0.2">
      <c r="C197" t="s">
        <v>240</v>
      </c>
    </row>
    <row r="198" spans="3:3" x14ac:dyDescent="0.2">
      <c r="C198" t="s">
        <v>178</v>
      </c>
    </row>
    <row r="199" spans="3:3" x14ac:dyDescent="0.2">
      <c r="C199" t="s">
        <v>241</v>
      </c>
    </row>
    <row r="200" spans="3:3" x14ac:dyDescent="0.2">
      <c r="C200" t="s">
        <v>242</v>
      </c>
    </row>
    <row r="201" spans="3:3" x14ac:dyDescent="0.2">
      <c r="C201" t="s">
        <v>206</v>
      </c>
    </row>
    <row r="202" spans="3:3" x14ac:dyDescent="0.2">
      <c r="C202" t="s">
        <v>243</v>
      </c>
    </row>
    <row r="203" spans="3:3" x14ac:dyDescent="0.2">
      <c r="C203" t="s">
        <v>244</v>
      </c>
    </row>
    <row r="204" spans="3:3" x14ac:dyDescent="0.2">
      <c r="C204" t="s">
        <v>245</v>
      </c>
    </row>
    <row r="205" spans="3:3" x14ac:dyDescent="0.2">
      <c r="C205" t="s">
        <v>246</v>
      </c>
    </row>
    <row r="206" spans="3:3" x14ac:dyDescent="0.2">
      <c r="C206" t="s">
        <v>3</v>
      </c>
    </row>
    <row r="207" spans="3:3" x14ac:dyDescent="0.2">
      <c r="C207" t="s">
        <v>66</v>
      </c>
    </row>
    <row r="208" spans="3:3" x14ac:dyDescent="0.2">
      <c r="C208" t="s">
        <v>247</v>
      </c>
    </row>
    <row r="209" spans="3:3" x14ac:dyDescent="0.2">
      <c r="C209" t="s">
        <v>2</v>
      </c>
    </row>
    <row r="210" spans="3:3" x14ac:dyDescent="0.2">
      <c r="C210" t="s">
        <v>248</v>
      </c>
    </row>
    <row r="211" spans="3:3" x14ac:dyDescent="0.2">
      <c r="C211" t="s">
        <v>249</v>
      </c>
    </row>
    <row r="212" spans="3:3" x14ac:dyDescent="0.2">
      <c r="C212" t="s">
        <v>250</v>
      </c>
    </row>
    <row r="213" spans="3:3" x14ac:dyDescent="0.2">
      <c r="C213" t="s">
        <v>251</v>
      </c>
    </row>
    <row r="214" spans="3:3" x14ac:dyDescent="0.2">
      <c r="C214" t="s">
        <v>252</v>
      </c>
    </row>
    <row r="215" spans="3:3" x14ac:dyDescent="0.2">
      <c r="C215" t="s">
        <v>253</v>
      </c>
    </row>
    <row r="216" spans="3:3" x14ac:dyDescent="0.2">
      <c r="C216" t="s">
        <v>76</v>
      </c>
    </row>
    <row r="217" spans="3:3" x14ac:dyDescent="0.2">
      <c r="C217" t="s">
        <v>254</v>
      </c>
    </row>
    <row r="218" spans="3:3" x14ac:dyDescent="0.2">
      <c r="C218" t="s">
        <v>2</v>
      </c>
    </row>
    <row r="219" spans="3:3" x14ac:dyDescent="0.2">
      <c r="C219" t="s">
        <v>255</v>
      </c>
    </row>
    <row r="220" spans="3:3" x14ac:dyDescent="0.2">
      <c r="C220" t="s">
        <v>256</v>
      </c>
    </row>
    <row r="221" spans="3:3" x14ac:dyDescent="0.2">
      <c r="C221" t="s">
        <v>257</v>
      </c>
    </row>
    <row r="222" spans="3:3" x14ac:dyDescent="0.2">
      <c r="C222" t="s">
        <v>258</v>
      </c>
    </row>
    <row r="223" spans="3:3" x14ac:dyDescent="0.2">
      <c r="C223" t="s">
        <v>259</v>
      </c>
    </row>
    <row r="224" spans="3:3" x14ac:dyDescent="0.2">
      <c r="C224" t="s">
        <v>260</v>
      </c>
    </row>
    <row r="225" spans="3:3" x14ac:dyDescent="0.2">
      <c r="C225" t="s">
        <v>261</v>
      </c>
    </row>
    <row r="226" spans="3:3" x14ac:dyDescent="0.2">
      <c r="C226" t="s">
        <v>262</v>
      </c>
    </row>
    <row r="227" spans="3:3" x14ac:dyDescent="0.2">
      <c r="C227" t="s">
        <v>263</v>
      </c>
    </row>
    <row r="228" spans="3:3" x14ac:dyDescent="0.2">
      <c r="C228" t="s">
        <v>264</v>
      </c>
    </row>
    <row r="229" spans="3:3" x14ac:dyDescent="0.2">
      <c r="C229" t="s">
        <v>265</v>
      </c>
    </row>
    <row r="230" spans="3:3" x14ac:dyDescent="0.2">
      <c r="C230" t="s">
        <v>266</v>
      </c>
    </row>
    <row r="231" spans="3:3" x14ac:dyDescent="0.2">
      <c r="C231" t="s">
        <v>267</v>
      </c>
    </row>
    <row r="232" spans="3:3" x14ac:dyDescent="0.2">
      <c r="C232" t="s">
        <v>268</v>
      </c>
    </row>
    <row r="233" spans="3:3" x14ac:dyDescent="0.2">
      <c r="C233" t="s">
        <v>269</v>
      </c>
    </row>
    <row r="234" spans="3:3" x14ac:dyDescent="0.2">
      <c r="C234" t="s">
        <v>270</v>
      </c>
    </row>
    <row r="235" spans="3:3" x14ac:dyDescent="0.2">
      <c r="C235" t="s">
        <v>271</v>
      </c>
    </row>
    <row r="236" spans="3:3" x14ac:dyDescent="0.2">
      <c r="C236" t="s">
        <v>272</v>
      </c>
    </row>
    <row r="237" spans="3:3" x14ac:dyDescent="0.2">
      <c r="C237" t="s">
        <v>273</v>
      </c>
    </row>
    <row r="238" spans="3:3" x14ac:dyDescent="0.2">
      <c r="C238" t="s">
        <v>274</v>
      </c>
    </row>
    <row r="239" spans="3:3" x14ac:dyDescent="0.2">
      <c r="C239" t="s">
        <v>275</v>
      </c>
    </row>
    <row r="240" spans="3:3" x14ac:dyDescent="0.2">
      <c r="C240" t="s">
        <v>76</v>
      </c>
    </row>
    <row r="241" spans="3:3" x14ac:dyDescent="0.2">
      <c r="C241" t="s">
        <v>276</v>
      </c>
    </row>
    <row r="242" spans="3:3" x14ac:dyDescent="0.2">
      <c r="C242" t="s">
        <v>2</v>
      </c>
    </row>
    <row r="243" spans="3:3" x14ac:dyDescent="0.2">
      <c r="C243" t="s">
        <v>132</v>
      </c>
    </row>
    <row r="244" spans="3:3" x14ac:dyDescent="0.2">
      <c r="C244" t="s">
        <v>277</v>
      </c>
    </row>
    <row r="245" spans="3:3" x14ac:dyDescent="0.2">
      <c r="C245" t="s">
        <v>278</v>
      </c>
    </row>
    <row r="246" spans="3:3" x14ac:dyDescent="0.2">
      <c r="C246" t="s">
        <v>263</v>
      </c>
    </row>
    <row r="247" spans="3:3" x14ac:dyDescent="0.2">
      <c r="C247" t="s">
        <v>264</v>
      </c>
    </row>
    <row r="248" spans="3:3" x14ac:dyDescent="0.2">
      <c r="C248" t="s">
        <v>279</v>
      </c>
    </row>
    <row r="249" spans="3:3" x14ac:dyDescent="0.2">
      <c r="C249" t="s">
        <v>280</v>
      </c>
    </row>
    <row r="250" spans="3:3" x14ac:dyDescent="0.2">
      <c r="C250" t="s">
        <v>281</v>
      </c>
    </row>
    <row r="251" spans="3:3" x14ac:dyDescent="0.2">
      <c r="C251" t="s">
        <v>282</v>
      </c>
    </row>
    <row r="252" spans="3:3" x14ac:dyDescent="0.2">
      <c r="C252" t="s">
        <v>283</v>
      </c>
    </row>
    <row r="253" spans="3:3" x14ac:dyDescent="0.2">
      <c r="C253" t="s">
        <v>284</v>
      </c>
    </row>
    <row r="254" spans="3:3" x14ac:dyDescent="0.2">
      <c r="C254" t="s">
        <v>273</v>
      </c>
    </row>
    <row r="255" spans="3:3" x14ac:dyDescent="0.2">
      <c r="C255" t="s">
        <v>285</v>
      </c>
    </row>
    <row r="256" spans="3:3" x14ac:dyDescent="0.2">
      <c r="C256" t="s">
        <v>275</v>
      </c>
    </row>
    <row r="257" spans="3:3" x14ac:dyDescent="0.2">
      <c r="C257" t="s">
        <v>3</v>
      </c>
    </row>
    <row r="258" spans="3:3" x14ac:dyDescent="0.2">
      <c r="C258" t="s">
        <v>255</v>
      </c>
    </row>
    <row r="259" spans="3:3" x14ac:dyDescent="0.2">
      <c r="C259" t="s">
        <v>286</v>
      </c>
    </row>
    <row r="260" spans="3:3" x14ac:dyDescent="0.2">
      <c r="C260" t="s">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Recovery code</vt:lpstr>
      <vt:lpstr>Cured logic</vt:lpstr>
      <vt:lpstr>Dialer performance logic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Kumar</dc:creator>
  <cp:lastModifiedBy>Manish Kumar</cp:lastModifiedBy>
  <dcterms:created xsi:type="dcterms:W3CDTF">2026-01-13T16:02:27Z</dcterms:created>
  <dcterms:modified xsi:type="dcterms:W3CDTF">2026-01-13T16:07:02Z</dcterms:modified>
</cp:coreProperties>
</file>