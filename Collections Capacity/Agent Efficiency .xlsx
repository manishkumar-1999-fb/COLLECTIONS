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manish.kumar/Desktop/Agent performance tracker/"/>
    </mc:Choice>
  </mc:AlternateContent>
  <xr:revisionPtr revIDLastSave="0" documentId="13_ncr:1_{3C8FAAB1-6F71-6944-A2AE-35C1AD206B89}" xr6:coauthVersionLast="47" xr6:coauthVersionMax="47" xr10:uidLastSave="{00000000-0000-0000-0000-000000000000}"/>
  <bookViews>
    <workbookView xWindow="0" yWindow="0" windowWidth="28800" windowHeight="18000" activeTab="3" xr2:uid="{8D342E51-20EC-FF46-A3A9-F46C4B6D75A2}"/>
  </bookViews>
  <sheets>
    <sheet name="Code" sheetId="5" r:id="rId1"/>
    <sheet name="Data" sheetId="1" r:id="rId2"/>
    <sheet name="Pivots" sheetId="2" r:id="rId3"/>
    <sheet name="Summary" sheetId="3" r:id="rId4"/>
    <sheet name="State and reason " sheetId="4" r:id="rId5"/>
  </sheets>
  <definedNames>
    <definedName name="_xlnm._FilterDatabase" localSheetId="1" hidden="1">Data!$A$1:$AO$1627</definedName>
    <definedName name="Slicer_AGENT_NAME">#N/A</definedName>
  </definedNames>
  <calcPr calcId="191029"/>
  <pivotCaches>
    <pivotCache cacheId="47" r:id="rId6"/>
    <pivotCache cacheId="48"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52" i="5" l="1"/>
  <c r="C154" i="5" a="1"/>
  <c r="C154" i="5" s="1"/>
  <c r="G6" i="3" l="1"/>
  <c r="H6" i="3"/>
  <c r="I6" i="3"/>
  <c r="J6" i="3"/>
  <c r="K6" i="3"/>
  <c r="L6" i="3"/>
  <c r="G7" i="3"/>
  <c r="H7" i="3"/>
  <c r="I7" i="3"/>
  <c r="J7" i="3"/>
  <c r="K7" i="3"/>
  <c r="L7" i="3"/>
  <c r="G8" i="3"/>
  <c r="H8" i="3"/>
  <c r="I8" i="3"/>
  <c r="J8" i="3"/>
  <c r="K8" i="3"/>
  <c r="L8" i="3"/>
  <c r="G9" i="3"/>
  <c r="H9" i="3"/>
  <c r="I9" i="3"/>
  <c r="J9" i="3"/>
  <c r="K9" i="3"/>
  <c r="L9" i="3"/>
  <c r="G10" i="3"/>
  <c r="H10" i="3"/>
  <c r="I10" i="3"/>
  <c r="J10" i="3"/>
  <c r="K10" i="3"/>
  <c r="L10" i="3"/>
  <c r="G11" i="3"/>
  <c r="H11" i="3"/>
  <c r="I11" i="3"/>
  <c r="J11" i="3"/>
  <c r="K11" i="3"/>
  <c r="L11" i="3"/>
  <c r="G12" i="3"/>
  <c r="H12" i="3"/>
  <c r="I12" i="3"/>
  <c r="J12" i="3"/>
  <c r="K12" i="3"/>
  <c r="L12" i="3"/>
  <c r="G13" i="3"/>
  <c r="H13" i="3"/>
  <c r="I13" i="3"/>
  <c r="J13" i="3"/>
  <c r="K13" i="3"/>
  <c r="L13" i="3"/>
  <c r="G14" i="3"/>
  <c r="H14" i="3"/>
  <c r="I14" i="3"/>
  <c r="J14" i="3"/>
  <c r="K14" i="3"/>
  <c r="L14" i="3"/>
  <c r="G15" i="3"/>
  <c r="H15" i="3"/>
  <c r="I15" i="3"/>
  <c r="J15" i="3"/>
  <c r="K15" i="3"/>
  <c r="L15" i="3"/>
  <c r="G16" i="3"/>
  <c r="H16" i="3"/>
  <c r="I16" i="3"/>
  <c r="J16" i="3"/>
  <c r="K16" i="3"/>
  <c r="L16" i="3"/>
  <c r="G17" i="3"/>
  <c r="H17" i="3"/>
  <c r="I17" i="3"/>
  <c r="J17" i="3"/>
  <c r="K17" i="3"/>
  <c r="L17" i="3"/>
  <c r="G18" i="3"/>
  <c r="H18" i="3"/>
  <c r="I18" i="3"/>
  <c r="J18" i="3"/>
  <c r="K18" i="3"/>
  <c r="L18" i="3"/>
  <c r="G19" i="3"/>
  <c r="H19" i="3"/>
  <c r="I19" i="3"/>
  <c r="J19" i="3"/>
  <c r="K19" i="3"/>
  <c r="L19" i="3"/>
  <c r="F7" i="3"/>
  <c r="F8" i="3"/>
  <c r="F9" i="3"/>
  <c r="F10" i="3"/>
  <c r="F11" i="3"/>
  <c r="F12" i="3"/>
  <c r="F13" i="3"/>
  <c r="F14" i="3"/>
  <c r="F15" i="3"/>
  <c r="F16" i="3"/>
  <c r="F17" i="3"/>
  <c r="F18" i="3"/>
  <c r="F19" i="3"/>
  <c r="F6" i="3"/>
  <c r="E7" i="3"/>
  <c r="E8" i="3"/>
  <c r="E9" i="3"/>
  <c r="E10" i="3"/>
  <c r="E11" i="3"/>
  <c r="E12" i="3"/>
  <c r="E13" i="3"/>
  <c r="E14" i="3"/>
  <c r="E15" i="3"/>
  <c r="E16" i="3"/>
  <c r="E17" i="3"/>
  <c r="E18" i="3"/>
  <c r="E19" i="3"/>
  <c r="E6" i="3"/>
  <c r="D7" i="3"/>
  <c r="D8" i="3"/>
  <c r="D9" i="3"/>
  <c r="D10" i="3"/>
  <c r="D11" i="3"/>
  <c r="D12" i="3"/>
  <c r="D13" i="3"/>
  <c r="D14" i="3"/>
  <c r="D15" i="3"/>
  <c r="D16" i="3"/>
  <c r="D17" i="3"/>
  <c r="D18" i="3"/>
  <c r="D19" i="3"/>
  <c r="D6" i="3"/>
  <c r="C6" i="3"/>
  <c r="C7" i="3"/>
  <c r="C8" i="3"/>
  <c r="C9" i="3"/>
  <c r="C10" i="3"/>
  <c r="C11" i="3"/>
  <c r="C12" i="3"/>
  <c r="C13" i="3"/>
  <c r="C14" i="3"/>
  <c r="C15" i="3"/>
  <c r="C16" i="3"/>
  <c r="C17" i="3"/>
  <c r="C18" i="3"/>
  <c r="C19" i="3"/>
  <c r="C5" i="3"/>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2" i="1"/>
  <c r="AN3" i="1"/>
  <c r="AO3" i="1" s="1"/>
  <c r="AN4" i="1"/>
  <c r="AO4" i="1" s="1"/>
  <c r="AN5" i="1"/>
  <c r="AO5" i="1" s="1"/>
  <c r="AN6" i="1"/>
  <c r="AO6" i="1" s="1"/>
  <c r="AN7" i="1"/>
  <c r="AO7" i="1" s="1"/>
  <c r="AN8" i="1"/>
  <c r="AO8" i="1" s="1"/>
  <c r="AN9" i="1"/>
  <c r="AO9" i="1" s="1"/>
  <c r="AN10" i="1"/>
  <c r="AO10" i="1" s="1"/>
  <c r="AN11" i="1"/>
  <c r="AO11" i="1" s="1"/>
  <c r="AN12" i="1"/>
  <c r="AO12" i="1" s="1"/>
  <c r="AN13" i="1"/>
  <c r="AO13" i="1" s="1"/>
  <c r="AN14" i="1"/>
  <c r="AO14" i="1" s="1"/>
  <c r="AN15" i="1"/>
  <c r="AO15" i="1" s="1"/>
  <c r="AN16" i="1"/>
  <c r="AO16" i="1" s="1"/>
  <c r="AN17" i="1"/>
  <c r="AO17" i="1" s="1"/>
  <c r="AN18" i="1"/>
  <c r="AO18" i="1" s="1"/>
  <c r="AN19" i="1"/>
  <c r="AO19" i="1" s="1"/>
  <c r="AN20" i="1"/>
  <c r="AO20" i="1" s="1"/>
  <c r="AN21" i="1"/>
  <c r="AO21" i="1" s="1"/>
  <c r="AN22" i="1"/>
  <c r="AO22" i="1" s="1"/>
  <c r="AN23" i="1"/>
  <c r="AO23" i="1" s="1"/>
  <c r="AN24" i="1"/>
  <c r="AO24" i="1" s="1"/>
  <c r="AN25" i="1"/>
  <c r="AO25" i="1" s="1"/>
  <c r="AN26" i="1"/>
  <c r="AO26" i="1" s="1"/>
  <c r="AN27" i="1"/>
  <c r="AO27" i="1" s="1"/>
  <c r="AN28" i="1"/>
  <c r="AO28" i="1" s="1"/>
  <c r="AN29" i="1"/>
  <c r="AO29" i="1" s="1"/>
  <c r="AN30" i="1"/>
  <c r="AO30" i="1" s="1"/>
  <c r="AN31" i="1"/>
  <c r="AO31" i="1" s="1"/>
  <c r="AN32" i="1"/>
  <c r="AO32" i="1" s="1"/>
  <c r="AN33" i="1"/>
  <c r="AO33" i="1" s="1"/>
  <c r="AN34" i="1"/>
  <c r="AO34" i="1" s="1"/>
  <c r="AN35" i="1"/>
  <c r="AO35" i="1" s="1"/>
  <c r="AN36" i="1"/>
  <c r="AO36" i="1" s="1"/>
  <c r="AN37" i="1"/>
  <c r="AO37" i="1" s="1"/>
  <c r="AN38" i="1"/>
  <c r="AO38" i="1" s="1"/>
  <c r="AN39" i="1"/>
  <c r="AO39" i="1" s="1"/>
  <c r="AN40" i="1"/>
  <c r="AO40" i="1" s="1"/>
  <c r="AN41" i="1"/>
  <c r="AO41" i="1" s="1"/>
  <c r="AN42" i="1"/>
  <c r="AO42" i="1" s="1"/>
  <c r="AN43" i="1"/>
  <c r="AO43" i="1" s="1"/>
  <c r="AN44" i="1"/>
  <c r="AO44" i="1" s="1"/>
  <c r="AN45" i="1"/>
  <c r="AO45" i="1" s="1"/>
  <c r="AN46" i="1"/>
  <c r="AO46" i="1" s="1"/>
  <c r="AN47" i="1"/>
  <c r="AO47" i="1" s="1"/>
  <c r="AN48" i="1"/>
  <c r="AO48" i="1" s="1"/>
  <c r="AN49" i="1"/>
  <c r="AO49" i="1" s="1"/>
  <c r="AN50" i="1"/>
  <c r="AO50" i="1" s="1"/>
  <c r="AN51" i="1"/>
  <c r="AO51" i="1" s="1"/>
  <c r="AN52" i="1"/>
  <c r="AO52" i="1" s="1"/>
  <c r="AN53" i="1"/>
  <c r="AO53" i="1" s="1"/>
  <c r="AN54" i="1"/>
  <c r="AO54" i="1" s="1"/>
  <c r="AN55" i="1"/>
  <c r="AO55" i="1" s="1"/>
  <c r="AN56" i="1"/>
  <c r="AO56" i="1" s="1"/>
  <c r="AN57" i="1"/>
  <c r="AO57" i="1" s="1"/>
  <c r="AN58" i="1"/>
  <c r="AO58" i="1" s="1"/>
  <c r="AN59" i="1"/>
  <c r="AO59" i="1" s="1"/>
  <c r="AN60" i="1"/>
  <c r="AO60" i="1" s="1"/>
  <c r="AN61" i="1"/>
  <c r="AO61" i="1" s="1"/>
  <c r="AN62" i="1"/>
  <c r="AO62" i="1" s="1"/>
  <c r="AN63" i="1"/>
  <c r="AO63" i="1" s="1"/>
  <c r="AN64" i="1"/>
  <c r="AO64" i="1" s="1"/>
  <c r="AN65" i="1"/>
  <c r="AO65" i="1" s="1"/>
  <c r="AN66" i="1"/>
  <c r="AO66" i="1" s="1"/>
  <c r="AN67" i="1"/>
  <c r="AO67" i="1" s="1"/>
  <c r="AN68" i="1"/>
  <c r="AO68" i="1" s="1"/>
  <c r="AN69" i="1"/>
  <c r="AO69" i="1" s="1"/>
  <c r="AN70" i="1"/>
  <c r="AO70" i="1" s="1"/>
  <c r="AN71" i="1"/>
  <c r="AO71" i="1" s="1"/>
  <c r="AN72" i="1"/>
  <c r="AO72" i="1" s="1"/>
  <c r="AN73" i="1"/>
  <c r="AO73" i="1" s="1"/>
  <c r="AN74" i="1"/>
  <c r="AO74" i="1" s="1"/>
  <c r="AN75" i="1"/>
  <c r="AO75" i="1" s="1"/>
  <c r="AN76" i="1"/>
  <c r="AO76" i="1" s="1"/>
  <c r="AN77" i="1"/>
  <c r="AO77" i="1" s="1"/>
  <c r="AN78" i="1"/>
  <c r="AO78" i="1" s="1"/>
  <c r="AN79" i="1"/>
  <c r="AO79" i="1" s="1"/>
  <c r="AN80" i="1"/>
  <c r="AO80" i="1" s="1"/>
  <c r="AN81" i="1"/>
  <c r="AO81" i="1" s="1"/>
  <c r="AN82" i="1"/>
  <c r="AO82" i="1" s="1"/>
  <c r="AN83" i="1"/>
  <c r="AO83" i="1" s="1"/>
  <c r="AN84" i="1"/>
  <c r="AO84" i="1" s="1"/>
  <c r="AN85" i="1"/>
  <c r="AO85" i="1" s="1"/>
  <c r="AN86" i="1"/>
  <c r="AO86" i="1" s="1"/>
  <c r="AN87" i="1"/>
  <c r="AO87" i="1" s="1"/>
  <c r="AN88" i="1"/>
  <c r="AO88" i="1" s="1"/>
  <c r="AN89" i="1"/>
  <c r="AO89" i="1" s="1"/>
  <c r="AN90" i="1"/>
  <c r="AO90" i="1" s="1"/>
  <c r="AN91" i="1"/>
  <c r="AO91" i="1" s="1"/>
  <c r="AN92" i="1"/>
  <c r="AO92" i="1" s="1"/>
  <c r="AN93" i="1"/>
  <c r="AO93" i="1" s="1"/>
  <c r="AN94" i="1"/>
  <c r="AO94" i="1" s="1"/>
  <c r="AN95" i="1"/>
  <c r="AO95" i="1" s="1"/>
  <c r="AN96" i="1"/>
  <c r="AO96" i="1" s="1"/>
  <c r="AN97" i="1"/>
  <c r="AO97" i="1" s="1"/>
  <c r="AN98" i="1"/>
  <c r="AO98" i="1" s="1"/>
  <c r="AN99" i="1"/>
  <c r="AO99" i="1" s="1"/>
  <c r="AN100" i="1"/>
  <c r="AO100" i="1" s="1"/>
  <c r="AN101" i="1"/>
  <c r="AO101" i="1" s="1"/>
  <c r="AN102" i="1"/>
  <c r="AO102" i="1" s="1"/>
  <c r="AN103" i="1"/>
  <c r="AO103" i="1" s="1"/>
  <c r="AN104" i="1"/>
  <c r="AO104" i="1" s="1"/>
  <c r="AN105" i="1"/>
  <c r="AO105" i="1" s="1"/>
  <c r="AN106" i="1"/>
  <c r="AO106" i="1" s="1"/>
  <c r="AN107" i="1"/>
  <c r="AO107" i="1" s="1"/>
  <c r="AN108" i="1"/>
  <c r="AO108" i="1" s="1"/>
  <c r="AN109" i="1"/>
  <c r="AO109" i="1" s="1"/>
  <c r="AN110" i="1"/>
  <c r="AO110" i="1" s="1"/>
  <c r="AN111" i="1"/>
  <c r="AO111" i="1" s="1"/>
  <c r="AN112" i="1"/>
  <c r="AO112" i="1" s="1"/>
  <c r="AN113" i="1"/>
  <c r="AO113" i="1" s="1"/>
  <c r="AN114" i="1"/>
  <c r="AO114" i="1" s="1"/>
  <c r="AN115" i="1"/>
  <c r="AO115" i="1" s="1"/>
  <c r="AN116" i="1"/>
  <c r="AO116" i="1" s="1"/>
  <c r="AN117" i="1"/>
  <c r="AO117" i="1" s="1"/>
  <c r="AN118" i="1"/>
  <c r="AO118" i="1" s="1"/>
  <c r="AN119" i="1"/>
  <c r="AO119" i="1" s="1"/>
  <c r="AN120" i="1"/>
  <c r="AO120" i="1" s="1"/>
  <c r="AN121" i="1"/>
  <c r="AO121" i="1" s="1"/>
  <c r="AN122" i="1"/>
  <c r="AO122" i="1" s="1"/>
  <c r="AN123" i="1"/>
  <c r="AO123" i="1" s="1"/>
  <c r="AN124" i="1"/>
  <c r="AO124" i="1" s="1"/>
  <c r="AN125" i="1"/>
  <c r="AO125" i="1" s="1"/>
  <c r="AN126" i="1"/>
  <c r="AO126" i="1" s="1"/>
  <c r="AN127" i="1"/>
  <c r="AO127" i="1" s="1"/>
  <c r="AN128" i="1"/>
  <c r="AO128" i="1" s="1"/>
  <c r="AN129" i="1"/>
  <c r="AO129" i="1" s="1"/>
  <c r="AN130" i="1"/>
  <c r="AO130" i="1" s="1"/>
  <c r="AN131" i="1"/>
  <c r="AO131" i="1" s="1"/>
  <c r="AN132" i="1"/>
  <c r="AO132" i="1" s="1"/>
  <c r="AN133" i="1"/>
  <c r="AO133" i="1" s="1"/>
  <c r="AN134" i="1"/>
  <c r="AO134" i="1" s="1"/>
  <c r="AN135" i="1"/>
  <c r="AO135" i="1" s="1"/>
  <c r="AN136" i="1"/>
  <c r="AO136" i="1" s="1"/>
  <c r="AN137" i="1"/>
  <c r="AO137" i="1" s="1"/>
  <c r="AN138" i="1"/>
  <c r="AO138" i="1" s="1"/>
  <c r="AN139" i="1"/>
  <c r="AO139" i="1" s="1"/>
  <c r="AN140" i="1"/>
  <c r="AO140" i="1" s="1"/>
  <c r="AN141" i="1"/>
  <c r="AO141" i="1" s="1"/>
  <c r="AN142" i="1"/>
  <c r="AO142" i="1" s="1"/>
  <c r="AN143" i="1"/>
  <c r="AO143" i="1" s="1"/>
  <c r="AN144" i="1"/>
  <c r="AO144" i="1" s="1"/>
  <c r="AN145" i="1"/>
  <c r="AO145" i="1" s="1"/>
  <c r="AN146" i="1"/>
  <c r="AO146" i="1" s="1"/>
  <c r="AN147" i="1"/>
  <c r="AO147" i="1" s="1"/>
  <c r="AN148" i="1"/>
  <c r="AO148" i="1" s="1"/>
  <c r="AN149" i="1"/>
  <c r="AO149" i="1" s="1"/>
  <c r="AN150" i="1"/>
  <c r="AO150" i="1" s="1"/>
  <c r="AN151" i="1"/>
  <c r="AO151" i="1" s="1"/>
  <c r="AN152" i="1"/>
  <c r="AO152" i="1" s="1"/>
  <c r="AN153" i="1"/>
  <c r="AO153" i="1" s="1"/>
  <c r="AN154" i="1"/>
  <c r="AO154" i="1" s="1"/>
  <c r="AN155" i="1"/>
  <c r="AO155" i="1" s="1"/>
  <c r="AN156" i="1"/>
  <c r="AO156" i="1" s="1"/>
  <c r="AN157" i="1"/>
  <c r="AO157" i="1" s="1"/>
  <c r="AN158" i="1"/>
  <c r="AO158" i="1" s="1"/>
  <c r="AN159" i="1"/>
  <c r="AO159" i="1" s="1"/>
  <c r="AN160" i="1"/>
  <c r="AO160" i="1" s="1"/>
  <c r="AN161" i="1"/>
  <c r="AO161" i="1" s="1"/>
  <c r="AN162" i="1"/>
  <c r="AO162" i="1" s="1"/>
  <c r="AN163" i="1"/>
  <c r="AO163" i="1" s="1"/>
  <c r="AN164" i="1"/>
  <c r="AO164" i="1" s="1"/>
  <c r="AN165" i="1"/>
  <c r="AO165" i="1" s="1"/>
  <c r="AN166" i="1"/>
  <c r="AO166" i="1" s="1"/>
  <c r="AN167" i="1"/>
  <c r="AO167" i="1" s="1"/>
  <c r="AN168" i="1"/>
  <c r="AO168" i="1" s="1"/>
  <c r="AN169" i="1"/>
  <c r="AO169" i="1" s="1"/>
  <c r="AN170" i="1"/>
  <c r="AO170" i="1" s="1"/>
  <c r="AN171" i="1"/>
  <c r="AO171" i="1" s="1"/>
  <c r="AN172" i="1"/>
  <c r="AO172" i="1" s="1"/>
  <c r="AN173" i="1"/>
  <c r="AO173" i="1" s="1"/>
  <c r="AN174" i="1"/>
  <c r="AO174" i="1" s="1"/>
  <c r="AN175" i="1"/>
  <c r="AO175" i="1" s="1"/>
  <c r="AN176" i="1"/>
  <c r="AO176" i="1" s="1"/>
  <c r="AN177" i="1"/>
  <c r="AO177" i="1" s="1"/>
  <c r="AN178" i="1"/>
  <c r="AO178" i="1" s="1"/>
  <c r="AN179" i="1"/>
  <c r="AO179" i="1" s="1"/>
  <c r="AN180" i="1"/>
  <c r="AO180" i="1" s="1"/>
  <c r="AN181" i="1"/>
  <c r="AO181" i="1" s="1"/>
  <c r="AN182" i="1"/>
  <c r="AO182" i="1" s="1"/>
  <c r="AN183" i="1"/>
  <c r="AO183" i="1" s="1"/>
  <c r="AN184" i="1"/>
  <c r="AO184" i="1" s="1"/>
  <c r="AN185" i="1"/>
  <c r="AO185" i="1" s="1"/>
  <c r="AN186" i="1"/>
  <c r="AO186" i="1" s="1"/>
  <c r="AN187" i="1"/>
  <c r="AO187" i="1" s="1"/>
  <c r="AN188" i="1"/>
  <c r="AO188" i="1" s="1"/>
  <c r="AN189" i="1"/>
  <c r="AO189" i="1" s="1"/>
  <c r="AN190" i="1"/>
  <c r="AO190" i="1" s="1"/>
  <c r="AN191" i="1"/>
  <c r="AO191" i="1" s="1"/>
  <c r="AN192" i="1"/>
  <c r="AO192" i="1" s="1"/>
  <c r="AN193" i="1"/>
  <c r="AO193" i="1" s="1"/>
  <c r="AN194" i="1"/>
  <c r="AO194" i="1" s="1"/>
  <c r="AN195" i="1"/>
  <c r="AO195" i="1" s="1"/>
  <c r="AN196" i="1"/>
  <c r="AO196" i="1" s="1"/>
  <c r="AN197" i="1"/>
  <c r="AO197" i="1" s="1"/>
  <c r="AN198" i="1"/>
  <c r="AO198" i="1" s="1"/>
  <c r="AN199" i="1"/>
  <c r="AO199" i="1" s="1"/>
  <c r="AN200" i="1"/>
  <c r="AO200" i="1" s="1"/>
  <c r="AN201" i="1"/>
  <c r="AO201" i="1" s="1"/>
  <c r="AN202" i="1"/>
  <c r="AO202" i="1" s="1"/>
  <c r="AN203" i="1"/>
  <c r="AO203" i="1" s="1"/>
  <c r="AN204" i="1"/>
  <c r="AO204" i="1" s="1"/>
  <c r="AN205" i="1"/>
  <c r="AO205" i="1" s="1"/>
  <c r="AN206" i="1"/>
  <c r="AO206" i="1" s="1"/>
  <c r="AN207" i="1"/>
  <c r="AO207" i="1" s="1"/>
  <c r="AN208" i="1"/>
  <c r="AO208" i="1" s="1"/>
  <c r="AN209" i="1"/>
  <c r="AO209" i="1" s="1"/>
  <c r="AN210" i="1"/>
  <c r="AO210" i="1" s="1"/>
  <c r="AN211" i="1"/>
  <c r="AO211" i="1" s="1"/>
  <c r="AN212" i="1"/>
  <c r="AO212" i="1" s="1"/>
  <c r="AN213" i="1"/>
  <c r="AO213" i="1" s="1"/>
  <c r="AN214" i="1"/>
  <c r="AO214" i="1" s="1"/>
  <c r="AN215" i="1"/>
  <c r="AO215" i="1" s="1"/>
  <c r="AN216" i="1"/>
  <c r="AO216" i="1" s="1"/>
  <c r="AN217" i="1"/>
  <c r="AO217" i="1" s="1"/>
  <c r="AN218" i="1"/>
  <c r="AO218" i="1" s="1"/>
  <c r="AN219" i="1"/>
  <c r="AO219" i="1" s="1"/>
  <c r="AN220" i="1"/>
  <c r="AO220" i="1" s="1"/>
  <c r="AN221" i="1"/>
  <c r="AO221" i="1" s="1"/>
  <c r="AN222" i="1"/>
  <c r="AO222" i="1" s="1"/>
  <c r="AN223" i="1"/>
  <c r="AO223" i="1" s="1"/>
  <c r="AN224" i="1"/>
  <c r="AO224" i="1" s="1"/>
  <c r="AN225" i="1"/>
  <c r="AO225" i="1" s="1"/>
  <c r="AN226" i="1"/>
  <c r="AO226" i="1" s="1"/>
  <c r="AN227" i="1"/>
  <c r="AO227" i="1" s="1"/>
  <c r="AN228" i="1"/>
  <c r="AO228" i="1" s="1"/>
  <c r="AN229" i="1"/>
  <c r="AO229" i="1" s="1"/>
  <c r="AN230" i="1"/>
  <c r="AO230" i="1" s="1"/>
  <c r="AN231" i="1"/>
  <c r="AO231" i="1" s="1"/>
  <c r="AN232" i="1"/>
  <c r="AO232" i="1" s="1"/>
  <c r="AN233" i="1"/>
  <c r="AO233" i="1" s="1"/>
  <c r="AN234" i="1"/>
  <c r="AO234" i="1" s="1"/>
  <c r="AN235" i="1"/>
  <c r="AO235" i="1" s="1"/>
  <c r="AN236" i="1"/>
  <c r="AO236" i="1" s="1"/>
  <c r="AN237" i="1"/>
  <c r="AO237" i="1" s="1"/>
  <c r="AN238" i="1"/>
  <c r="AO238" i="1" s="1"/>
  <c r="AN239" i="1"/>
  <c r="AO239" i="1" s="1"/>
  <c r="AN240" i="1"/>
  <c r="AO240" i="1" s="1"/>
  <c r="AN241" i="1"/>
  <c r="AO241" i="1" s="1"/>
  <c r="AN242" i="1"/>
  <c r="AO242" i="1" s="1"/>
  <c r="AN243" i="1"/>
  <c r="AO243" i="1" s="1"/>
  <c r="AN244" i="1"/>
  <c r="AO244" i="1" s="1"/>
  <c r="AN245" i="1"/>
  <c r="AO245" i="1" s="1"/>
  <c r="AN246" i="1"/>
  <c r="AO246" i="1" s="1"/>
  <c r="AN247" i="1"/>
  <c r="AO247" i="1" s="1"/>
  <c r="AN248" i="1"/>
  <c r="AO248" i="1" s="1"/>
  <c r="AN249" i="1"/>
  <c r="AO249" i="1" s="1"/>
  <c r="AN250" i="1"/>
  <c r="AO250" i="1" s="1"/>
  <c r="AN251" i="1"/>
  <c r="AO251" i="1" s="1"/>
  <c r="AN252" i="1"/>
  <c r="AO252" i="1" s="1"/>
  <c r="AN253" i="1"/>
  <c r="AO253" i="1" s="1"/>
  <c r="AN254" i="1"/>
  <c r="AO254" i="1" s="1"/>
  <c r="AN255" i="1"/>
  <c r="AO255" i="1" s="1"/>
  <c r="AN256" i="1"/>
  <c r="AO256" i="1" s="1"/>
  <c r="AN257" i="1"/>
  <c r="AO257" i="1" s="1"/>
  <c r="AN258" i="1"/>
  <c r="AO258" i="1" s="1"/>
  <c r="AN259" i="1"/>
  <c r="AO259" i="1" s="1"/>
  <c r="AN260" i="1"/>
  <c r="AO260" i="1" s="1"/>
  <c r="AN261" i="1"/>
  <c r="AO261" i="1" s="1"/>
  <c r="AN262" i="1"/>
  <c r="AO262" i="1" s="1"/>
  <c r="AN263" i="1"/>
  <c r="AO263" i="1" s="1"/>
  <c r="AN264" i="1"/>
  <c r="AO264" i="1" s="1"/>
  <c r="AN265" i="1"/>
  <c r="AO265" i="1" s="1"/>
  <c r="AN266" i="1"/>
  <c r="AO266" i="1" s="1"/>
  <c r="AN267" i="1"/>
  <c r="AO267" i="1" s="1"/>
  <c r="AN268" i="1"/>
  <c r="AO268" i="1" s="1"/>
  <c r="AN269" i="1"/>
  <c r="AO269" i="1" s="1"/>
  <c r="AN270" i="1"/>
  <c r="AO270" i="1" s="1"/>
  <c r="AN271" i="1"/>
  <c r="AO271" i="1" s="1"/>
  <c r="AN272" i="1"/>
  <c r="AO272" i="1" s="1"/>
  <c r="AN273" i="1"/>
  <c r="AO273" i="1" s="1"/>
  <c r="AN274" i="1"/>
  <c r="AO274" i="1" s="1"/>
  <c r="AN275" i="1"/>
  <c r="AO275" i="1" s="1"/>
  <c r="AN276" i="1"/>
  <c r="AO276" i="1" s="1"/>
  <c r="AN277" i="1"/>
  <c r="AO277" i="1" s="1"/>
  <c r="AN278" i="1"/>
  <c r="AO278" i="1" s="1"/>
  <c r="AN279" i="1"/>
  <c r="AO279" i="1" s="1"/>
  <c r="AN280" i="1"/>
  <c r="AO280" i="1" s="1"/>
  <c r="AN281" i="1"/>
  <c r="AO281" i="1" s="1"/>
  <c r="AN282" i="1"/>
  <c r="AO282" i="1" s="1"/>
  <c r="AN283" i="1"/>
  <c r="AO283" i="1" s="1"/>
  <c r="AN284" i="1"/>
  <c r="AO284" i="1" s="1"/>
  <c r="AN285" i="1"/>
  <c r="AO285" i="1" s="1"/>
  <c r="AN286" i="1"/>
  <c r="AO286" i="1" s="1"/>
  <c r="AN287" i="1"/>
  <c r="AO287" i="1" s="1"/>
  <c r="AN288" i="1"/>
  <c r="AO288" i="1" s="1"/>
  <c r="AN289" i="1"/>
  <c r="AO289" i="1" s="1"/>
  <c r="AN290" i="1"/>
  <c r="AO290" i="1" s="1"/>
  <c r="AN291" i="1"/>
  <c r="AO291" i="1" s="1"/>
  <c r="AN292" i="1"/>
  <c r="AO292" i="1" s="1"/>
  <c r="AN293" i="1"/>
  <c r="AO293" i="1" s="1"/>
  <c r="AN294" i="1"/>
  <c r="AO294" i="1" s="1"/>
  <c r="AN295" i="1"/>
  <c r="AO295" i="1" s="1"/>
  <c r="AN296" i="1"/>
  <c r="AO296" i="1" s="1"/>
  <c r="AN297" i="1"/>
  <c r="AO297" i="1" s="1"/>
  <c r="AN298" i="1"/>
  <c r="AO298" i="1" s="1"/>
  <c r="AN299" i="1"/>
  <c r="AO299" i="1" s="1"/>
  <c r="AN300" i="1"/>
  <c r="AO300" i="1" s="1"/>
  <c r="AN301" i="1"/>
  <c r="AO301" i="1" s="1"/>
  <c r="AN302" i="1"/>
  <c r="AO302" i="1" s="1"/>
  <c r="AN303" i="1"/>
  <c r="AO303" i="1" s="1"/>
  <c r="AN304" i="1"/>
  <c r="AO304" i="1" s="1"/>
  <c r="AN305" i="1"/>
  <c r="AO305" i="1" s="1"/>
  <c r="AN306" i="1"/>
  <c r="AO306" i="1" s="1"/>
  <c r="AN307" i="1"/>
  <c r="AO307" i="1" s="1"/>
  <c r="AN308" i="1"/>
  <c r="AO308" i="1" s="1"/>
  <c r="AN309" i="1"/>
  <c r="AO309" i="1" s="1"/>
  <c r="AN310" i="1"/>
  <c r="AO310" i="1" s="1"/>
  <c r="AN311" i="1"/>
  <c r="AO311" i="1" s="1"/>
  <c r="AN312" i="1"/>
  <c r="AO312" i="1" s="1"/>
  <c r="AN313" i="1"/>
  <c r="AO313" i="1" s="1"/>
  <c r="AN314" i="1"/>
  <c r="AO314" i="1" s="1"/>
  <c r="AN315" i="1"/>
  <c r="AO315" i="1" s="1"/>
  <c r="AN316" i="1"/>
  <c r="AO316" i="1" s="1"/>
  <c r="AN317" i="1"/>
  <c r="AO317" i="1" s="1"/>
  <c r="AN318" i="1"/>
  <c r="AO318" i="1" s="1"/>
  <c r="AN319" i="1"/>
  <c r="AO319" i="1" s="1"/>
  <c r="AN320" i="1"/>
  <c r="AO320" i="1" s="1"/>
  <c r="AN321" i="1"/>
  <c r="AO321" i="1" s="1"/>
  <c r="AN322" i="1"/>
  <c r="AO322" i="1" s="1"/>
  <c r="AN323" i="1"/>
  <c r="AO323" i="1" s="1"/>
  <c r="AN324" i="1"/>
  <c r="AO324" i="1" s="1"/>
  <c r="AN325" i="1"/>
  <c r="AO325" i="1" s="1"/>
  <c r="AN326" i="1"/>
  <c r="AO326" i="1" s="1"/>
  <c r="AN327" i="1"/>
  <c r="AO327" i="1" s="1"/>
  <c r="AN328" i="1"/>
  <c r="AO328" i="1" s="1"/>
  <c r="AN329" i="1"/>
  <c r="AO329" i="1" s="1"/>
  <c r="AN330" i="1"/>
  <c r="AO330" i="1" s="1"/>
  <c r="AN331" i="1"/>
  <c r="AO331" i="1" s="1"/>
  <c r="AN332" i="1"/>
  <c r="AO332" i="1" s="1"/>
  <c r="AN333" i="1"/>
  <c r="AO333" i="1" s="1"/>
  <c r="AN334" i="1"/>
  <c r="AO334" i="1" s="1"/>
  <c r="AN335" i="1"/>
  <c r="AO335" i="1" s="1"/>
  <c r="AN336" i="1"/>
  <c r="AO336" i="1" s="1"/>
  <c r="AN337" i="1"/>
  <c r="AO337" i="1" s="1"/>
  <c r="AN338" i="1"/>
  <c r="AO338" i="1" s="1"/>
  <c r="AN339" i="1"/>
  <c r="AO339" i="1" s="1"/>
  <c r="AN340" i="1"/>
  <c r="AO340" i="1" s="1"/>
  <c r="AN341" i="1"/>
  <c r="AO341" i="1" s="1"/>
  <c r="AN342" i="1"/>
  <c r="AO342" i="1" s="1"/>
  <c r="AN343" i="1"/>
  <c r="AO343" i="1" s="1"/>
  <c r="AN344" i="1"/>
  <c r="AO344" i="1" s="1"/>
  <c r="AN345" i="1"/>
  <c r="AO345" i="1" s="1"/>
  <c r="AN346" i="1"/>
  <c r="AO346" i="1" s="1"/>
  <c r="AN347" i="1"/>
  <c r="AO347" i="1" s="1"/>
  <c r="AN348" i="1"/>
  <c r="AO348" i="1" s="1"/>
  <c r="AN349" i="1"/>
  <c r="AO349" i="1" s="1"/>
  <c r="AN350" i="1"/>
  <c r="AO350" i="1" s="1"/>
  <c r="AN351" i="1"/>
  <c r="AO351" i="1" s="1"/>
  <c r="AN352" i="1"/>
  <c r="AO352" i="1" s="1"/>
  <c r="AN353" i="1"/>
  <c r="AO353" i="1" s="1"/>
  <c r="AN354" i="1"/>
  <c r="AO354" i="1" s="1"/>
  <c r="AN355" i="1"/>
  <c r="AO355" i="1" s="1"/>
  <c r="AN356" i="1"/>
  <c r="AO356" i="1" s="1"/>
  <c r="AN357" i="1"/>
  <c r="AO357" i="1" s="1"/>
  <c r="AN358" i="1"/>
  <c r="AO358" i="1" s="1"/>
  <c r="AN359" i="1"/>
  <c r="AO359" i="1" s="1"/>
  <c r="AN360" i="1"/>
  <c r="AO360" i="1" s="1"/>
  <c r="AN361" i="1"/>
  <c r="AO361" i="1" s="1"/>
  <c r="AN362" i="1"/>
  <c r="AO362" i="1" s="1"/>
  <c r="AN363" i="1"/>
  <c r="AO363" i="1" s="1"/>
  <c r="AN364" i="1"/>
  <c r="AO364" i="1" s="1"/>
  <c r="AN365" i="1"/>
  <c r="AO365" i="1" s="1"/>
  <c r="AN366" i="1"/>
  <c r="AO366" i="1" s="1"/>
  <c r="AN367" i="1"/>
  <c r="AO367" i="1" s="1"/>
  <c r="AN368" i="1"/>
  <c r="AO368" i="1" s="1"/>
  <c r="AN369" i="1"/>
  <c r="AO369" i="1" s="1"/>
  <c r="AN370" i="1"/>
  <c r="AO370" i="1" s="1"/>
  <c r="AN371" i="1"/>
  <c r="AO371" i="1" s="1"/>
  <c r="AN372" i="1"/>
  <c r="AO372" i="1" s="1"/>
  <c r="AN373" i="1"/>
  <c r="AO373" i="1" s="1"/>
  <c r="AN374" i="1"/>
  <c r="AO374" i="1" s="1"/>
  <c r="AN375" i="1"/>
  <c r="AO375" i="1" s="1"/>
  <c r="AN376" i="1"/>
  <c r="AO376" i="1" s="1"/>
  <c r="AN377" i="1"/>
  <c r="AO377" i="1" s="1"/>
  <c r="AN378" i="1"/>
  <c r="AO378" i="1" s="1"/>
  <c r="AN379" i="1"/>
  <c r="AO379" i="1" s="1"/>
  <c r="AN380" i="1"/>
  <c r="AO380" i="1" s="1"/>
  <c r="AN381" i="1"/>
  <c r="AO381" i="1" s="1"/>
  <c r="AN382" i="1"/>
  <c r="AO382" i="1" s="1"/>
  <c r="AN383" i="1"/>
  <c r="AO383" i="1" s="1"/>
  <c r="AN384" i="1"/>
  <c r="AO384" i="1" s="1"/>
  <c r="AN385" i="1"/>
  <c r="AO385" i="1" s="1"/>
  <c r="AN386" i="1"/>
  <c r="AO386" i="1" s="1"/>
  <c r="AN387" i="1"/>
  <c r="AO387" i="1" s="1"/>
  <c r="AN388" i="1"/>
  <c r="AO388" i="1" s="1"/>
  <c r="AN389" i="1"/>
  <c r="AO389" i="1" s="1"/>
  <c r="AN390" i="1"/>
  <c r="AO390" i="1" s="1"/>
  <c r="AN391" i="1"/>
  <c r="AO391" i="1" s="1"/>
  <c r="AN392" i="1"/>
  <c r="AO392" i="1" s="1"/>
  <c r="AN393" i="1"/>
  <c r="AO393" i="1" s="1"/>
  <c r="AN394" i="1"/>
  <c r="AO394" i="1" s="1"/>
  <c r="AN395" i="1"/>
  <c r="AO395" i="1" s="1"/>
  <c r="AN396" i="1"/>
  <c r="AO396" i="1" s="1"/>
  <c r="AN397" i="1"/>
  <c r="AO397" i="1" s="1"/>
  <c r="AN398" i="1"/>
  <c r="AO398" i="1" s="1"/>
  <c r="AN399" i="1"/>
  <c r="AO399" i="1" s="1"/>
  <c r="AN400" i="1"/>
  <c r="AO400" i="1" s="1"/>
  <c r="AN401" i="1"/>
  <c r="AO401" i="1" s="1"/>
  <c r="AN402" i="1"/>
  <c r="AO402" i="1" s="1"/>
  <c r="AN403" i="1"/>
  <c r="AO403" i="1" s="1"/>
  <c r="AN404" i="1"/>
  <c r="AO404" i="1" s="1"/>
  <c r="AN405" i="1"/>
  <c r="AO405" i="1" s="1"/>
  <c r="AN406" i="1"/>
  <c r="AO406" i="1" s="1"/>
  <c r="AN407" i="1"/>
  <c r="AO407" i="1" s="1"/>
  <c r="AN408" i="1"/>
  <c r="AO408" i="1" s="1"/>
  <c r="AN409" i="1"/>
  <c r="AO409" i="1" s="1"/>
  <c r="AN410" i="1"/>
  <c r="AO410" i="1" s="1"/>
  <c r="AN411" i="1"/>
  <c r="AO411" i="1" s="1"/>
  <c r="AN412" i="1"/>
  <c r="AO412" i="1" s="1"/>
  <c r="AN413" i="1"/>
  <c r="AO413" i="1" s="1"/>
  <c r="AN414" i="1"/>
  <c r="AO414" i="1" s="1"/>
  <c r="AN415" i="1"/>
  <c r="AO415" i="1" s="1"/>
  <c r="AN416" i="1"/>
  <c r="AO416" i="1" s="1"/>
  <c r="AN417" i="1"/>
  <c r="AO417" i="1" s="1"/>
  <c r="AN418" i="1"/>
  <c r="AO418" i="1" s="1"/>
  <c r="AN419" i="1"/>
  <c r="AO419" i="1" s="1"/>
  <c r="AN420" i="1"/>
  <c r="AO420" i="1" s="1"/>
  <c r="AN421" i="1"/>
  <c r="AO421" i="1" s="1"/>
  <c r="AN422" i="1"/>
  <c r="AO422" i="1" s="1"/>
  <c r="AN423" i="1"/>
  <c r="AO423" i="1" s="1"/>
  <c r="AN424" i="1"/>
  <c r="AO424" i="1" s="1"/>
  <c r="AN425" i="1"/>
  <c r="AO425" i="1" s="1"/>
  <c r="AN426" i="1"/>
  <c r="AO426" i="1" s="1"/>
  <c r="AN427" i="1"/>
  <c r="AO427" i="1" s="1"/>
  <c r="AN428" i="1"/>
  <c r="AO428" i="1" s="1"/>
  <c r="AN429" i="1"/>
  <c r="AO429" i="1" s="1"/>
  <c r="AN430" i="1"/>
  <c r="AO430" i="1" s="1"/>
  <c r="AN431" i="1"/>
  <c r="AO431" i="1" s="1"/>
  <c r="AN432" i="1"/>
  <c r="AO432" i="1" s="1"/>
  <c r="AN433" i="1"/>
  <c r="AO433" i="1" s="1"/>
  <c r="AN434" i="1"/>
  <c r="AO434" i="1" s="1"/>
  <c r="AN435" i="1"/>
  <c r="AO435" i="1" s="1"/>
  <c r="AN436" i="1"/>
  <c r="AO436" i="1" s="1"/>
  <c r="AN437" i="1"/>
  <c r="AO437" i="1" s="1"/>
  <c r="AN438" i="1"/>
  <c r="AO438" i="1" s="1"/>
  <c r="AN439" i="1"/>
  <c r="AO439" i="1" s="1"/>
  <c r="AN440" i="1"/>
  <c r="AO440" i="1" s="1"/>
  <c r="AN441" i="1"/>
  <c r="AO441" i="1" s="1"/>
  <c r="AN442" i="1"/>
  <c r="AO442" i="1" s="1"/>
  <c r="AN443" i="1"/>
  <c r="AO443" i="1" s="1"/>
  <c r="AN444" i="1"/>
  <c r="AO444" i="1" s="1"/>
  <c r="AN445" i="1"/>
  <c r="AO445" i="1" s="1"/>
  <c r="AN446" i="1"/>
  <c r="AO446" i="1" s="1"/>
  <c r="AN447" i="1"/>
  <c r="AO447" i="1" s="1"/>
  <c r="AN448" i="1"/>
  <c r="AO448" i="1" s="1"/>
  <c r="AN449" i="1"/>
  <c r="AO449" i="1" s="1"/>
  <c r="AN450" i="1"/>
  <c r="AO450" i="1" s="1"/>
  <c r="AN451" i="1"/>
  <c r="AO451" i="1" s="1"/>
  <c r="AN452" i="1"/>
  <c r="AO452" i="1" s="1"/>
  <c r="AN453" i="1"/>
  <c r="AO453" i="1" s="1"/>
  <c r="AN454" i="1"/>
  <c r="AO454" i="1" s="1"/>
  <c r="AN455" i="1"/>
  <c r="AO455" i="1" s="1"/>
  <c r="AN456" i="1"/>
  <c r="AO456" i="1" s="1"/>
  <c r="AN457" i="1"/>
  <c r="AO457" i="1" s="1"/>
  <c r="AN458" i="1"/>
  <c r="AO458" i="1" s="1"/>
  <c r="AN459" i="1"/>
  <c r="AO459" i="1" s="1"/>
  <c r="AN460" i="1"/>
  <c r="AO460" i="1" s="1"/>
  <c r="AN461" i="1"/>
  <c r="AO461" i="1" s="1"/>
  <c r="AN462" i="1"/>
  <c r="AO462" i="1" s="1"/>
  <c r="AN463" i="1"/>
  <c r="AO463" i="1" s="1"/>
  <c r="AN464" i="1"/>
  <c r="AO464" i="1" s="1"/>
  <c r="AN465" i="1"/>
  <c r="AO465" i="1" s="1"/>
  <c r="AN466" i="1"/>
  <c r="AO466" i="1" s="1"/>
  <c r="AN467" i="1"/>
  <c r="AO467" i="1" s="1"/>
  <c r="AN468" i="1"/>
  <c r="AO468" i="1" s="1"/>
  <c r="AN469" i="1"/>
  <c r="AO469" i="1" s="1"/>
  <c r="AN470" i="1"/>
  <c r="AO470" i="1" s="1"/>
  <c r="AN471" i="1"/>
  <c r="AO471" i="1" s="1"/>
  <c r="AN472" i="1"/>
  <c r="AO472" i="1" s="1"/>
  <c r="AN473" i="1"/>
  <c r="AO473" i="1" s="1"/>
  <c r="AN474" i="1"/>
  <c r="AO474" i="1" s="1"/>
  <c r="AN475" i="1"/>
  <c r="AO475" i="1" s="1"/>
  <c r="AN476" i="1"/>
  <c r="AO476" i="1" s="1"/>
  <c r="AN477" i="1"/>
  <c r="AO477" i="1" s="1"/>
  <c r="AN478" i="1"/>
  <c r="AO478" i="1" s="1"/>
  <c r="AN479" i="1"/>
  <c r="AO479" i="1" s="1"/>
  <c r="AN480" i="1"/>
  <c r="AO480" i="1" s="1"/>
  <c r="AN481" i="1"/>
  <c r="AO481" i="1" s="1"/>
  <c r="AN482" i="1"/>
  <c r="AO482" i="1" s="1"/>
  <c r="AN483" i="1"/>
  <c r="AO483" i="1" s="1"/>
  <c r="AN484" i="1"/>
  <c r="AO484" i="1" s="1"/>
  <c r="AN485" i="1"/>
  <c r="AO485" i="1" s="1"/>
  <c r="AN486" i="1"/>
  <c r="AO486" i="1" s="1"/>
  <c r="AN487" i="1"/>
  <c r="AO487" i="1" s="1"/>
  <c r="AN488" i="1"/>
  <c r="AO488" i="1" s="1"/>
  <c r="AN489" i="1"/>
  <c r="AO489" i="1" s="1"/>
  <c r="AN490" i="1"/>
  <c r="AO490" i="1" s="1"/>
  <c r="AN491" i="1"/>
  <c r="AO491" i="1" s="1"/>
  <c r="AN492" i="1"/>
  <c r="AO492" i="1" s="1"/>
  <c r="AN493" i="1"/>
  <c r="AO493" i="1" s="1"/>
  <c r="AN494" i="1"/>
  <c r="AO494" i="1" s="1"/>
  <c r="AN495" i="1"/>
  <c r="AO495" i="1" s="1"/>
  <c r="AN496" i="1"/>
  <c r="AO496" i="1" s="1"/>
  <c r="AN497" i="1"/>
  <c r="AO497" i="1" s="1"/>
  <c r="AN498" i="1"/>
  <c r="AO498" i="1" s="1"/>
  <c r="AN499" i="1"/>
  <c r="AO499" i="1" s="1"/>
  <c r="AN500" i="1"/>
  <c r="AO500" i="1" s="1"/>
  <c r="AN501" i="1"/>
  <c r="AO501" i="1" s="1"/>
  <c r="AN502" i="1"/>
  <c r="AO502" i="1" s="1"/>
  <c r="AN503" i="1"/>
  <c r="AO503" i="1" s="1"/>
  <c r="AN504" i="1"/>
  <c r="AO504" i="1" s="1"/>
  <c r="AN505" i="1"/>
  <c r="AO505" i="1" s="1"/>
  <c r="AN506" i="1"/>
  <c r="AO506" i="1" s="1"/>
  <c r="AN507" i="1"/>
  <c r="AO507" i="1" s="1"/>
  <c r="AN508" i="1"/>
  <c r="AO508" i="1" s="1"/>
  <c r="AN509" i="1"/>
  <c r="AO509" i="1" s="1"/>
  <c r="AN510" i="1"/>
  <c r="AO510" i="1" s="1"/>
  <c r="AN511" i="1"/>
  <c r="AO511" i="1" s="1"/>
  <c r="AN512" i="1"/>
  <c r="AO512" i="1" s="1"/>
  <c r="AN513" i="1"/>
  <c r="AO513" i="1" s="1"/>
  <c r="AN514" i="1"/>
  <c r="AO514" i="1" s="1"/>
  <c r="AN515" i="1"/>
  <c r="AO515" i="1" s="1"/>
  <c r="AN516" i="1"/>
  <c r="AO516" i="1" s="1"/>
  <c r="AN517" i="1"/>
  <c r="AO517" i="1" s="1"/>
  <c r="AN518" i="1"/>
  <c r="AO518" i="1" s="1"/>
  <c r="AN519" i="1"/>
  <c r="AO519" i="1" s="1"/>
  <c r="AN520" i="1"/>
  <c r="AO520" i="1" s="1"/>
  <c r="AN521" i="1"/>
  <c r="AO521" i="1" s="1"/>
  <c r="AN522" i="1"/>
  <c r="AO522" i="1" s="1"/>
  <c r="AN523" i="1"/>
  <c r="AO523" i="1" s="1"/>
  <c r="AN524" i="1"/>
  <c r="AO524" i="1" s="1"/>
  <c r="AN525" i="1"/>
  <c r="AO525" i="1" s="1"/>
  <c r="AN526" i="1"/>
  <c r="AO526" i="1" s="1"/>
  <c r="AN527" i="1"/>
  <c r="AO527" i="1" s="1"/>
  <c r="AN528" i="1"/>
  <c r="AO528" i="1" s="1"/>
  <c r="AN529" i="1"/>
  <c r="AO529" i="1" s="1"/>
  <c r="AN530" i="1"/>
  <c r="AO530" i="1" s="1"/>
  <c r="AN531" i="1"/>
  <c r="AO531" i="1" s="1"/>
  <c r="AN532" i="1"/>
  <c r="AO532" i="1" s="1"/>
  <c r="AN533" i="1"/>
  <c r="AO533" i="1" s="1"/>
  <c r="AN534" i="1"/>
  <c r="AO534" i="1" s="1"/>
  <c r="AN535" i="1"/>
  <c r="AO535" i="1" s="1"/>
  <c r="AN536" i="1"/>
  <c r="AO536" i="1" s="1"/>
  <c r="AN537" i="1"/>
  <c r="AO537" i="1" s="1"/>
  <c r="AN538" i="1"/>
  <c r="AO538" i="1" s="1"/>
  <c r="AN539" i="1"/>
  <c r="AO539" i="1" s="1"/>
  <c r="AN540" i="1"/>
  <c r="AO540" i="1" s="1"/>
  <c r="AN541" i="1"/>
  <c r="AO541" i="1" s="1"/>
  <c r="AN542" i="1"/>
  <c r="AO542" i="1" s="1"/>
  <c r="AN543" i="1"/>
  <c r="AO543" i="1" s="1"/>
  <c r="AN544" i="1"/>
  <c r="AO544" i="1" s="1"/>
  <c r="AN545" i="1"/>
  <c r="AO545" i="1" s="1"/>
  <c r="AN546" i="1"/>
  <c r="AO546" i="1" s="1"/>
  <c r="AN547" i="1"/>
  <c r="AO547" i="1" s="1"/>
  <c r="AN548" i="1"/>
  <c r="AO548" i="1" s="1"/>
  <c r="AN549" i="1"/>
  <c r="AO549" i="1" s="1"/>
  <c r="AN550" i="1"/>
  <c r="AO550" i="1" s="1"/>
  <c r="AN551" i="1"/>
  <c r="AO551" i="1" s="1"/>
  <c r="AN552" i="1"/>
  <c r="AO552" i="1" s="1"/>
  <c r="AN553" i="1"/>
  <c r="AO553" i="1" s="1"/>
  <c r="AN554" i="1"/>
  <c r="AO554" i="1" s="1"/>
  <c r="AN555" i="1"/>
  <c r="AO555" i="1" s="1"/>
  <c r="AN556" i="1"/>
  <c r="AO556" i="1" s="1"/>
  <c r="AN557" i="1"/>
  <c r="AO557" i="1" s="1"/>
  <c r="AN558" i="1"/>
  <c r="AO558" i="1" s="1"/>
  <c r="AN559" i="1"/>
  <c r="AO559" i="1" s="1"/>
  <c r="AN560" i="1"/>
  <c r="AO560" i="1" s="1"/>
  <c r="AN561" i="1"/>
  <c r="AO561" i="1" s="1"/>
  <c r="AN562" i="1"/>
  <c r="AO562" i="1" s="1"/>
  <c r="AN563" i="1"/>
  <c r="AO563" i="1" s="1"/>
  <c r="AN564" i="1"/>
  <c r="AO564" i="1" s="1"/>
  <c r="AN565" i="1"/>
  <c r="AO565" i="1" s="1"/>
  <c r="AN566" i="1"/>
  <c r="AO566" i="1" s="1"/>
  <c r="AN567" i="1"/>
  <c r="AO567" i="1" s="1"/>
  <c r="AN568" i="1"/>
  <c r="AO568" i="1" s="1"/>
  <c r="AN569" i="1"/>
  <c r="AO569" i="1" s="1"/>
  <c r="AN570" i="1"/>
  <c r="AO570" i="1" s="1"/>
  <c r="AN571" i="1"/>
  <c r="AO571" i="1" s="1"/>
  <c r="AN572" i="1"/>
  <c r="AO572" i="1" s="1"/>
  <c r="AN573" i="1"/>
  <c r="AO573" i="1" s="1"/>
  <c r="AN574" i="1"/>
  <c r="AO574" i="1" s="1"/>
  <c r="AN575" i="1"/>
  <c r="AO575" i="1" s="1"/>
  <c r="AN576" i="1"/>
  <c r="AO576" i="1" s="1"/>
  <c r="AN577" i="1"/>
  <c r="AO577" i="1" s="1"/>
  <c r="AN578" i="1"/>
  <c r="AO578" i="1" s="1"/>
  <c r="AN579" i="1"/>
  <c r="AO579" i="1" s="1"/>
  <c r="AN580" i="1"/>
  <c r="AO580" i="1" s="1"/>
  <c r="AN581" i="1"/>
  <c r="AO581" i="1" s="1"/>
  <c r="AN582" i="1"/>
  <c r="AO582" i="1" s="1"/>
  <c r="AN583" i="1"/>
  <c r="AO583" i="1" s="1"/>
  <c r="AN584" i="1"/>
  <c r="AO584" i="1" s="1"/>
  <c r="AN585" i="1"/>
  <c r="AO585" i="1" s="1"/>
  <c r="AN586" i="1"/>
  <c r="AO586" i="1" s="1"/>
  <c r="AN587" i="1"/>
  <c r="AO587" i="1" s="1"/>
  <c r="AN588" i="1"/>
  <c r="AO588" i="1" s="1"/>
  <c r="AN589" i="1"/>
  <c r="AO589" i="1" s="1"/>
  <c r="AN590" i="1"/>
  <c r="AO590" i="1" s="1"/>
  <c r="AN591" i="1"/>
  <c r="AO591" i="1" s="1"/>
  <c r="AN592" i="1"/>
  <c r="AO592" i="1" s="1"/>
  <c r="AN593" i="1"/>
  <c r="AO593" i="1" s="1"/>
  <c r="AN594" i="1"/>
  <c r="AO594" i="1" s="1"/>
  <c r="AN595" i="1"/>
  <c r="AO595" i="1" s="1"/>
  <c r="AN596" i="1"/>
  <c r="AO596" i="1" s="1"/>
  <c r="AN597" i="1"/>
  <c r="AO597" i="1" s="1"/>
  <c r="AN598" i="1"/>
  <c r="AO598" i="1" s="1"/>
  <c r="AN599" i="1"/>
  <c r="AO599" i="1" s="1"/>
  <c r="AN600" i="1"/>
  <c r="AO600" i="1" s="1"/>
  <c r="AN601" i="1"/>
  <c r="AO601" i="1" s="1"/>
  <c r="AN602" i="1"/>
  <c r="AO602" i="1" s="1"/>
  <c r="AN603" i="1"/>
  <c r="AO603" i="1" s="1"/>
  <c r="AN604" i="1"/>
  <c r="AO604" i="1" s="1"/>
  <c r="AN605" i="1"/>
  <c r="AO605" i="1" s="1"/>
  <c r="AN606" i="1"/>
  <c r="AO606" i="1" s="1"/>
  <c r="AN607" i="1"/>
  <c r="AO607" i="1" s="1"/>
  <c r="AN608" i="1"/>
  <c r="AO608" i="1" s="1"/>
  <c r="AN609" i="1"/>
  <c r="AO609" i="1" s="1"/>
  <c r="AN610" i="1"/>
  <c r="AO610" i="1" s="1"/>
  <c r="AN611" i="1"/>
  <c r="AO611" i="1" s="1"/>
  <c r="AN612" i="1"/>
  <c r="AO612" i="1" s="1"/>
  <c r="AN613" i="1"/>
  <c r="AO613" i="1" s="1"/>
  <c r="AN614" i="1"/>
  <c r="AO614" i="1" s="1"/>
  <c r="AN615" i="1"/>
  <c r="AO615" i="1" s="1"/>
  <c r="AN616" i="1"/>
  <c r="AO616" i="1" s="1"/>
  <c r="AN617" i="1"/>
  <c r="AO617" i="1" s="1"/>
  <c r="AN618" i="1"/>
  <c r="AO618" i="1" s="1"/>
  <c r="AN619" i="1"/>
  <c r="AO619" i="1" s="1"/>
  <c r="AN620" i="1"/>
  <c r="AO620" i="1" s="1"/>
  <c r="AN621" i="1"/>
  <c r="AO621" i="1" s="1"/>
  <c r="AN622" i="1"/>
  <c r="AO622" i="1" s="1"/>
  <c r="AN623" i="1"/>
  <c r="AO623" i="1" s="1"/>
  <c r="AN624" i="1"/>
  <c r="AO624" i="1" s="1"/>
  <c r="AN625" i="1"/>
  <c r="AO625" i="1" s="1"/>
  <c r="AN626" i="1"/>
  <c r="AO626" i="1" s="1"/>
  <c r="AN627" i="1"/>
  <c r="AO627" i="1" s="1"/>
  <c r="AN628" i="1"/>
  <c r="AO628" i="1" s="1"/>
  <c r="AN629" i="1"/>
  <c r="AO629" i="1" s="1"/>
  <c r="AN630" i="1"/>
  <c r="AO630" i="1" s="1"/>
  <c r="AN631" i="1"/>
  <c r="AO631" i="1" s="1"/>
  <c r="AN632" i="1"/>
  <c r="AO632" i="1" s="1"/>
  <c r="AN633" i="1"/>
  <c r="AO633" i="1" s="1"/>
  <c r="AN634" i="1"/>
  <c r="AO634" i="1" s="1"/>
  <c r="AN635" i="1"/>
  <c r="AO635" i="1" s="1"/>
  <c r="AN636" i="1"/>
  <c r="AO636" i="1" s="1"/>
  <c r="AN637" i="1"/>
  <c r="AO637" i="1" s="1"/>
  <c r="AN638" i="1"/>
  <c r="AO638" i="1" s="1"/>
  <c r="AN639" i="1"/>
  <c r="AO639" i="1" s="1"/>
  <c r="AN640" i="1"/>
  <c r="AO640" i="1" s="1"/>
  <c r="AN641" i="1"/>
  <c r="AO641" i="1" s="1"/>
  <c r="AN642" i="1"/>
  <c r="AO642" i="1" s="1"/>
  <c r="AN643" i="1"/>
  <c r="AO643" i="1" s="1"/>
  <c r="AN644" i="1"/>
  <c r="AO644" i="1" s="1"/>
  <c r="AN645" i="1"/>
  <c r="AO645" i="1" s="1"/>
  <c r="AN646" i="1"/>
  <c r="AO646" i="1" s="1"/>
  <c r="AN647" i="1"/>
  <c r="AO647" i="1" s="1"/>
  <c r="AN648" i="1"/>
  <c r="AO648" i="1" s="1"/>
  <c r="AN649" i="1"/>
  <c r="AO649" i="1" s="1"/>
  <c r="AN650" i="1"/>
  <c r="AO650" i="1" s="1"/>
  <c r="AN651" i="1"/>
  <c r="AO651" i="1" s="1"/>
  <c r="AN652" i="1"/>
  <c r="AO652" i="1" s="1"/>
  <c r="AN653" i="1"/>
  <c r="AO653" i="1" s="1"/>
  <c r="AN654" i="1"/>
  <c r="AO654" i="1" s="1"/>
  <c r="AN655" i="1"/>
  <c r="AO655" i="1" s="1"/>
  <c r="AN656" i="1"/>
  <c r="AO656" i="1" s="1"/>
  <c r="AN657" i="1"/>
  <c r="AO657" i="1" s="1"/>
  <c r="AN658" i="1"/>
  <c r="AO658" i="1" s="1"/>
  <c r="AN659" i="1"/>
  <c r="AO659" i="1" s="1"/>
  <c r="AN660" i="1"/>
  <c r="AO660" i="1" s="1"/>
  <c r="AN661" i="1"/>
  <c r="AO661" i="1" s="1"/>
  <c r="AN662" i="1"/>
  <c r="AO662" i="1" s="1"/>
  <c r="AN663" i="1"/>
  <c r="AO663" i="1" s="1"/>
  <c r="AN664" i="1"/>
  <c r="AO664" i="1" s="1"/>
  <c r="AN665" i="1"/>
  <c r="AO665" i="1" s="1"/>
  <c r="AN666" i="1"/>
  <c r="AO666" i="1" s="1"/>
  <c r="AN667" i="1"/>
  <c r="AO667" i="1" s="1"/>
  <c r="AN668" i="1"/>
  <c r="AO668" i="1" s="1"/>
  <c r="AN669" i="1"/>
  <c r="AO669" i="1" s="1"/>
  <c r="AN670" i="1"/>
  <c r="AO670" i="1" s="1"/>
  <c r="AN671" i="1"/>
  <c r="AO671" i="1" s="1"/>
  <c r="AN672" i="1"/>
  <c r="AO672" i="1" s="1"/>
  <c r="AN673" i="1"/>
  <c r="AO673" i="1" s="1"/>
  <c r="AN674" i="1"/>
  <c r="AO674" i="1" s="1"/>
  <c r="AN675" i="1"/>
  <c r="AO675" i="1" s="1"/>
  <c r="AN676" i="1"/>
  <c r="AO676" i="1" s="1"/>
  <c r="AN677" i="1"/>
  <c r="AO677" i="1" s="1"/>
  <c r="AN678" i="1"/>
  <c r="AO678" i="1" s="1"/>
  <c r="AN679" i="1"/>
  <c r="AO679" i="1" s="1"/>
  <c r="AN680" i="1"/>
  <c r="AO680" i="1" s="1"/>
  <c r="AN681" i="1"/>
  <c r="AO681" i="1" s="1"/>
  <c r="AN682" i="1"/>
  <c r="AO682" i="1" s="1"/>
  <c r="AN683" i="1"/>
  <c r="AO683" i="1" s="1"/>
  <c r="AN684" i="1"/>
  <c r="AO684" i="1" s="1"/>
  <c r="AN685" i="1"/>
  <c r="AO685" i="1" s="1"/>
  <c r="AN686" i="1"/>
  <c r="AO686" i="1" s="1"/>
  <c r="AN687" i="1"/>
  <c r="AO687" i="1" s="1"/>
  <c r="AN688" i="1"/>
  <c r="AO688" i="1" s="1"/>
  <c r="AN689" i="1"/>
  <c r="AO689" i="1" s="1"/>
  <c r="AN690" i="1"/>
  <c r="AO690" i="1" s="1"/>
  <c r="AN691" i="1"/>
  <c r="AO691" i="1" s="1"/>
  <c r="AN692" i="1"/>
  <c r="AO692" i="1" s="1"/>
  <c r="AN693" i="1"/>
  <c r="AO693" i="1" s="1"/>
  <c r="AN694" i="1"/>
  <c r="AO694" i="1" s="1"/>
  <c r="AN695" i="1"/>
  <c r="AO695" i="1" s="1"/>
  <c r="AN696" i="1"/>
  <c r="AO696" i="1" s="1"/>
  <c r="AN697" i="1"/>
  <c r="AO697" i="1" s="1"/>
  <c r="AN698" i="1"/>
  <c r="AO698" i="1" s="1"/>
  <c r="AN699" i="1"/>
  <c r="AO699" i="1" s="1"/>
  <c r="AN700" i="1"/>
  <c r="AO700" i="1" s="1"/>
  <c r="AN701" i="1"/>
  <c r="AO701" i="1" s="1"/>
  <c r="AN702" i="1"/>
  <c r="AO702" i="1" s="1"/>
  <c r="AN703" i="1"/>
  <c r="AO703" i="1" s="1"/>
  <c r="AN704" i="1"/>
  <c r="AO704" i="1" s="1"/>
  <c r="AN705" i="1"/>
  <c r="AO705" i="1" s="1"/>
  <c r="AN706" i="1"/>
  <c r="AO706" i="1" s="1"/>
  <c r="AN707" i="1"/>
  <c r="AO707" i="1" s="1"/>
  <c r="AN708" i="1"/>
  <c r="AO708" i="1" s="1"/>
  <c r="AN709" i="1"/>
  <c r="AO709" i="1" s="1"/>
  <c r="AN710" i="1"/>
  <c r="AO710" i="1" s="1"/>
  <c r="AN711" i="1"/>
  <c r="AO711" i="1" s="1"/>
  <c r="AN712" i="1"/>
  <c r="AO712" i="1" s="1"/>
  <c r="AN713" i="1"/>
  <c r="AO713" i="1" s="1"/>
  <c r="AN714" i="1"/>
  <c r="AO714" i="1" s="1"/>
  <c r="AN715" i="1"/>
  <c r="AO715" i="1" s="1"/>
  <c r="AN716" i="1"/>
  <c r="AO716" i="1" s="1"/>
  <c r="AN717" i="1"/>
  <c r="AO717" i="1" s="1"/>
  <c r="AN718" i="1"/>
  <c r="AO718" i="1" s="1"/>
  <c r="AN719" i="1"/>
  <c r="AO719" i="1" s="1"/>
  <c r="AN720" i="1"/>
  <c r="AO720" i="1" s="1"/>
  <c r="AN721" i="1"/>
  <c r="AO721" i="1" s="1"/>
  <c r="AN722" i="1"/>
  <c r="AO722" i="1" s="1"/>
  <c r="AN723" i="1"/>
  <c r="AO723" i="1" s="1"/>
  <c r="AN724" i="1"/>
  <c r="AO724" i="1" s="1"/>
  <c r="AN725" i="1"/>
  <c r="AO725" i="1" s="1"/>
  <c r="AN726" i="1"/>
  <c r="AO726" i="1" s="1"/>
  <c r="AN727" i="1"/>
  <c r="AO727" i="1" s="1"/>
  <c r="AN728" i="1"/>
  <c r="AO728" i="1" s="1"/>
  <c r="AN729" i="1"/>
  <c r="AO729" i="1" s="1"/>
  <c r="AN730" i="1"/>
  <c r="AO730" i="1" s="1"/>
  <c r="AN731" i="1"/>
  <c r="AO731" i="1" s="1"/>
  <c r="AN732" i="1"/>
  <c r="AO732" i="1" s="1"/>
  <c r="AN733" i="1"/>
  <c r="AO733" i="1" s="1"/>
  <c r="AN734" i="1"/>
  <c r="AO734" i="1" s="1"/>
  <c r="AN735" i="1"/>
  <c r="AO735" i="1" s="1"/>
  <c r="AN736" i="1"/>
  <c r="AO736" i="1" s="1"/>
  <c r="AN737" i="1"/>
  <c r="AO737" i="1" s="1"/>
  <c r="AN738" i="1"/>
  <c r="AO738" i="1" s="1"/>
  <c r="AN739" i="1"/>
  <c r="AO739" i="1" s="1"/>
  <c r="AN740" i="1"/>
  <c r="AO740" i="1" s="1"/>
  <c r="AN741" i="1"/>
  <c r="AO741" i="1" s="1"/>
  <c r="AN742" i="1"/>
  <c r="AO742" i="1" s="1"/>
  <c r="AN743" i="1"/>
  <c r="AO743" i="1" s="1"/>
  <c r="AN744" i="1"/>
  <c r="AO744" i="1" s="1"/>
  <c r="AN745" i="1"/>
  <c r="AO745" i="1" s="1"/>
  <c r="AN746" i="1"/>
  <c r="AO746" i="1" s="1"/>
  <c r="AN747" i="1"/>
  <c r="AO747" i="1" s="1"/>
  <c r="AN748" i="1"/>
  <c r="AO748" i="1" s="1"/>
  <c r="AN749" i="1"/>
  <c r="AO749" i="1" s="1"/>
  <c r="AN750" i="1"/>
  <c r="AO750" i="1" s="1"/>
  <c r="AN751" i="1"/>
  <c r="AO751" i="1" s="1"/>
  <c r="AN752" i="1"/>
  <c r="AO752" i="1" s="1"/>
  <c r="AN753" i="1"/>
  <c r="AO753" i="1" s="1"/>
  <c r="AN754" i="1"/>
  <c r="AO754" i="1" s="1"/>
  <c r="AN755" i="1"/>
  <c r="AO755" i="1" s="1"/>
  <c r="AN756" i="1"/>
  <c r="AO756" i="1" s="1"/>
  <c r="AN757" i="1"/>
  <c r="AO757" i="1" s="1"/>
  <c r="AN758" i="1"/>
  <c r="AO758" i="1" s="1"/>
  <c r="AN759" i="1"/>
  <c r="AO759" i="1" s="1"/>
  <c r="AN760" i="1"/>
  <c r="AO760" i="1" s="1"/>
  <c r="AN761" i="1"/>
  <c r="AO761" i="1" s="1"/>
  <c r="AN762" i="1"/>
  <c r="AO762" i="1" s="1"/>
  <c r="AN763" i="1"/>
  <c r="AO763" i="1" s="1"/>
  <c r="AN764" i="1"/>
  <c r="AO764" i="1" s="1"/>
  <c r="AN765" i="1"/>
  <c r="AO765" i="1" s="1"/>
  <c r="AN766" i="1"/>
  <c r="AO766" i="1" s="1"/>
  <c r="AN767" i="1"/>
  <c r="AO767" i="1" s="1"/>
  <c r="AN768" i="1"/>
  <c r="AO768" i="1" s="1"/>
  <c r="AN769" i="1"/>
  <c r="AO769" i="1" s="1"/>
  <c r="AN770" i="1"/>
  <c r="AO770" i="1" s="1"/>
  <c r="AN771" i="1"/>
  <c r="AO771" i="1" s="1"/>
  <c r="AN772" i="1"/>
  <c r="AO772" i="1" s="1"/>
  <c r="AN773" i="1"/>
  <c r="AO773" i="1" s="1"/>
  <c r="AN774" i="1"/>
  <c r="AO774" i="1" s="1"/>
  <c r="AN775" i="1"/>
  <c r="AO775" i="1" s="1"/>
  <c r="AN776" i="1"/>
  <c r="AO776" i="1" s="1"/>
  <c r="AN777" i="1"/>
  <c r="AO777" i="1" s="1"/>
  <c r="AN778" i="1"/>
  <c r="AO778" i="1" s="1"/>
  <c r="AN779" i="1"/>
  <c r="AO779" i="1" s="1"/>
  <c r="AN780" i="1"/>
  <c r="AO780" i="1" s="1"/>
  <c r="AN781" i="1"/>
  <c r="AO781" i="1" s="1"/>
  <c r="AN782" i="1"/>
  <c r="AO782" i="1" s="1"/>
  <c r="AN783" i="1"/>
  <c r="AO783" i="1" s="1"/>
  <c r="AN784" i="1"/>
  <c r="AO784" i="1" s="1"/>
  <c r="AN785" i="1"/>
  <c r="AO785" i="1" s="1"/>
  <c r="AN786" i="1"/>
  <c r="AO786" i="1" s="1"/>
  <c r="AN787" i="1"/>
  <c r="AO787" i="1" s="1"/>
  <c r="AN788" i="1"/>
  <c r="AO788" i="1" s="1"/>
  <c r="AN789" i="1"/>
  <c r="AO789" i="1" s="1"/>
  <c r="AN790" i="1"/>
  <c r="AO790" i="1" s="1"/>
  <c r="AN791" i="1"/>
  <c r="AO791" i="1" s="1"/>
  <c r="AN792" i="1"/>
  <c r="AO792" i="1" s="1"/>
  <c r="AN793" i="1"/>
  <c r="AO793" i="1" s="1"/>
  <c r="AN794" i="1"/>
  <c r="AO794" i="1" s="1"/>
  <c r="AN795" i="1"/>
  <c r="AO795" i="1" s="1"/>
  <c r="AN796" i="1"/>
  <c r="AO796" i="1" s="1"/>
  <c r="AN797" i="1"/>
  <c r="AO797" i="1" s="1"/>
  <c r="AN798" i="1"/>
  <c r="AO798" i="1" s="1"/>
  <c r="AN799" i="1"/>
  <c r="AO799" i="1" s="1"/>
  <c r="AN800" i="1"/>
  <c r="AO800" i="1" s="1"/>
  <c r="AN801" i="1"/>
  <c r="AO801" i="1" s="1"/>
  <c r="AN802" i="1"/>
  <c r="AO802" i="1" s="1"/>
  <c r="AN803" i="1"/>
  <c r="AO803" i="1" s="1"/>
  <c r="AN804" i="1"/>
  <c r="AO804" i="1" s="1"/>
  <c r="AN805" i="1"/>
  <c r="AO805" i="1" s="1"/>
  <c r="AN806" i="1"/>
  <c r="AO806" i="1" s="1"/>
  <c r="AN807" i="1"/>
  <c r="AO807" i="1" s="1"/>
  <c r="AN808" i="1"/>
  <c r="AO808" i="1" s="1"/>
  <c r="AN809" i="1"/>
  <c r="AO809" i="1" s="1"/>
  <c r="AN810" i="1"/>
  <c r="AO810" i="1" s="1"/>
  <c r="AN811" i="1"/>
  <c r="AO811" i="1" s="1"/>
  <c r="AN812" i="1"/>
  <c r="AO812" i="1" s="1"/>
  <c r="AN813" i="1"/>
  <c r="AO813" i="1" s="1"/>
  <c r="AN814" i="1"/>
  <c r="AO814" i="1" s="1"/>
  <c r="AN815" i="1"/>
  <c r="AO815" i="1" s="1"/>
  <c r="AN816" i="1"/>
  <c r="AO816" i="1" s="1"/>
  <c r="AN817" i="1"/>
  <c r="AO817" i="1" s="1"/>
  <c r="AN818" i="1"/>
  <c r="AO818" i="1" s="1"/>
  <c r="AN819" i="1"/>
  <c r="AO819" i="1" s="1"/>
  <c r="AN820" i="1"/>
  <c r="AO820" i="1" s="1"/>
  <c r="AN821" i="1"/>
  <c r="AO821" i="1" s="1"/>
  <c r="AN822" i="1"/>
  <c r="AO822" i="1" s="1"/>
  <c r="AN823" i="1"/>
  <c r="AO823" i="1" s="1"/>
  <c r="AN824" i="1"/>
  <c r="AO824" i="1" s="1"/>
  <c r="AN825" i="1"/>
  <c r="AO825" i="1" s="1"/>
  <c r="AN826" i="1"/>
  <c r="AO826" i="1" s="1"/>
  <c r="AN827" i="1"/>
  <c r="AO827" i="1" s="1"/>
  <c r="AN828" i="1"/>
  <c r="AO828" i="1" s="1"/>
  <c r="AN829" i="1"/>
  <c r="AO829" i="1" s="1"/>
  <c r="AN830" i="1"/>
  <c r="AO830" i="1" s="1"/>
  <c r="AN831" i="1"/>
  <c r="AO831" i="1" s="1"/>
  <c r="AN832" i="1"/>
  <c r="AO832" i="1" s="1"/>
  <c r="AN833" i="1"/>
  <c r="AO833" i="1" s="1"/>
  <c r="AN834" i="1"/>
  <c r="AO834" i="1" s="1"/>
  <c r="AN835" i="1"/>
  <c r="AO835" i="1" s="1"/>
  <c r="AN836" i="1"/>
  <c r="AO836" i="1" s="1"/>
  <c r="AN837" i="1"/>
  <c r="AO837" i="1" s="1"/>
  <c r="AN838" i="1"/>
  <c r="AO838" i="1" s="1"/>
  <c r="AN839" i="1"/>
  <c r="AO839" i="1" s="1"/>
  <c r="AN840" i="1"/>
  <c r="AO840" i="1" s="1"/>
  <c r="AN841" i="1"/>
  <c r="AO841" i="1" s="1"/>
  <c r="AN842" i="1"/>
  <c r="AO842" i="1" s="1"/>
  <c r="AN843" i="1"/>
  <c r="AO843" i="1" s="1"/>
  <c r="AN844" i="1"/>
  <c r="AO844" i="1" s="1"/>
  <c r="AN845" i="1"/>
  <c r="AO845" i="1" s="1"/>
  <c r="AN846" i="1"/>
  <c r="AO846" i="1" s="1"/>
  <c r="AN847" i="1"/>
  <c r="AO847" i="1" s="1"/>
  <c r="AN848" i="1"/>
  <c r="AO848" i="1" s="1"/>
  <c r="AN849" i="1"/>
  <c r="AO849" i="1" s="1"/>
  <c r="AN850" i="1"/>
  <c r="AO850" i="1" s="1"/>
  <c r="AN851" i="1"/>
  <c r="AO851" i="1" s="1"/>
  <c r="AN852" i="1"/>
  <c r="AO852" i="1" s="1"/>
  <c r="AN853" i="1"/>
  <c r="AO853" i="1" s="1"/>
  <c r="AN854" i="1"/>
  <c r="AO854" i="1" s="1"/>
  <c r="AN855" i="1"/>
  <c r="AO855" i="1" s="1"/>
  <c r="AN856" i="1"/>
  <c r="AO856" i="1" s="1"/>
  <c r="AN857" i="1"/>
  <c r="AO857" i="1" s="1"/>
  <c r="AN858" i="1"/>
  <c r="AO858" i="1" s="1"/>
  <c r="AN859" i="1"/>
  <c r="AO859" i="1" s="1"/>
  <c r="AN860" i="1"/>
  <c r="AO860" i="1" s="1"/>
  <c r="AN861" i="1"/>
  <c r="AO861" i="1" s="1"/>
  <c r="AN862" i="1"/>
  <c r="AO862" i="1" s="1"/>
  <c r="AN863" i="1"/>
  <c r="AO863" i="1" s="1"/>
  <c r="AN864" i="1"/>
  <c r="AO864" i="1" s="1"/>
  <c r="AN865" i="1"/>
  <c r="AO865" i="1" s="1"/>
  <c r="AN866" i="1"/>
  <c r="AO866" i="1" s="1"/>
  <c r="AN867" i="1"/>
  <c r="AO867" i="1" s="1"/>
  <c r="AN868" i="1"/>
  <c r="AO868" i="1" s="1"/>
  <c r="AN869" i="1"/>
  <c r="AO869" i="1" s="1"/>
  <c r="AN870" i="1"/>
  <c r="AO870" i="1" s="1"/>
  <c r="AN871" i="1"/>
  <c r="AO871" i="1" s="1"/>
  <c r="AN872" i="1"/>
  <c r="AO872" i="1" s="1"/>
  <c r="AN873" i="1"/>
  <c r="AO873" i="1" s="1"/>
  <c r="AN874" i="1"/>
  <c r="AO874" i="1" s="1"/>
  <c r="AN875" i="1"/>
  <c r="AO875" i="1" s="1"/>
  <c r="AN876" i="1"/>
  <c r="AO876" i="1" s="1"/>
  <c r="AN877" i="1"/>
  <c r="AO877" i="1" s="1"/>
  <c r="AN878" i="1"/>
  <c r="AO878" i="1" s="1"/>
  <c r="AN879" i="1"/>
  <c r="AO879" i="1" s="1"/>
  <c r="AN880" i="1"/>
  <c r="AO880" i="1" s="1"/>
  <c r="AN881" i="1"/>
  <c r="AO881" i="1" s="1"/>
  <c r="AN882" i="1"/>
  <c r="AO882" i="1" s="1"/>
  <c r="AN883" i="1"/>
  <c r="AO883" i="1" s="1"/>
  <c r="AN884" i="1"/>
  <c r="AO884" i="1" s="1"/>
  <c r="AN885" i="1"/>
  <c r="AO885" i="1" s="1"/>
  <c r="AN886" i="1"/>
  <c r="AO886" i="1" s="1"/>
  <c r="AN887" i="1"/>
  <c r="AO887" i="1" s="1"/>
  <c r="AN888" i="1"/>
  <c r="AO888" i="1" s="1"/>
  <c r="AN889" i="1"/>
  <c r="AO889" i="1" s="1"/>
  <c r="AN890" i="1"/>
  <c r="AO890" i="1" s="1"/>
  <c r="AN891" i="1"/>
  <c r="AO891" i="1" s="1"/>
  <c r="AN892" i="1"/>
  <c r="AO892" i="1" s="1"/>
  <c r="AN893" i="1"/>
  <c r="AO893" i="1" s="1"/>
  <c r="AN894" i="1"/>
  <c r="AO894" i="1" s="1"/>
  <c r="AN895" i="1"/>
  <c r="AO895" i="1" s="1"/>
  <c r="AN896" i="1"/>
  <c r="AO896" i="1" s="1"/>
  <c r="AN897" i="1"/>
  <c r="AO897" i="1" s="1"/>
  <c r="AN898" i="1"/>
  <c r="AO898" i="1" s="1"/>
  <c r="AN899" i="1"/>
  <c r="AO899" i="1" s="1"/>
  <c r="AN900" i="1"/>
  <c r="AO900" i="1" s="1"/>
  <c r="AN901" i="1"/>
  <c r="AO901" i="1" s="1"/>
  <c r="AN902" i="1"/>
  <c r="AO902" i="1" s="1"/>
  <c r="AN903" i="1"/>
  <c r="AO903" i="1" s="1"/>
  <c r="AN904" i="1"/>
  <c r="AO904" i="1" s="1"/>
  <c r="AN905" i="1"/>
  <c r="AO905" i="1" s="1"/>
  <c r="AN906" i="1"/>
  <c r="AO906" i="1" s="1"/>
  <c r="AN907" i="1"/>
  <c r="AO907" i="1" s="1"/>
  <c r="AN908" i="1"/>
  <c r="AO908" i="1" s="1"/>
  <c r="AN909" i="1"/>
  <c r="AO909" i="1" s="1"/>
  <c r="AN910" i="1"/>
  <c r="AO910" i="1" s="1"/>
  <c r="AN911" i="1"/>
  <c r="AO911" i="1" s="1"/>
  <c r="AN912" i="1"/>
  <c r="AO912" i="1" s="1"/>
  <c r="AN913" i="1"/>
  <c r="AO913" i="1" s="1"/>
  <c r="AN914" i="1"/>
  <c r="AO914" i="1" s="1"/>
  <c r="AN915" i="1"/>
  <c r="AO915" i="1" s="1"/>
  <c r="AN916" i="1"/>
  <c r="AO916" i="1" s="1"/>
  <c r="AN917" i="1"/>
  <c r="AO917" i="1" s="1"/>
  <c r="AN918" i="1"/>
  <c r="AO918" i="1" s="1"/>
  <c r="AN919" i="1"/>
  <c r="AO919" i="1" s="1"/>
  <c r="AN920" i="1"/>
  <c r="AO920" i="1" s="1"/>
  <c r="AN921" i="1"/>
  <c r="AO921" i="1" s="1"/>
  <c r="AN922" i="1"/>
  <c r="AO922" i="1" s="1"/>
  <c r="AN923" i="1"/>
  <c r="AO923" i="1" s="1"/>
  <c r="AN924" i="1"/>
  <c r="AO924" i="1" s="1"/>
  <c r="AN925" i="1"/>
  <c r="AO925" i="1" s="1"/>
  <c r="AN926" i="1"/>
  <c r="AO926" i="1" s="1"/>
  <c r="AN927" i="1"/>
  <c r="AO927" i="1" s="1"/>
  <c r="AN928" i="1"/>
  <c r="AO928" i="1" s="1"/>
  <c r="AN929" i="1"/>
  <c r="AO929" i="1" s="1"/>
  <c r="AN930" i="1"/>
  <c r="AO930" i="1" s="1"/>
  <c r="AN931" i="1"/>
  <c r="AO931" i="1" s="1"/>
  <c r="AN932" i="1"/>
  <c r="AO932" i="1" s="1"/>
  <c r="AN933" i="1"/>
  <c r="AO933" i="1" s="1"/>
  <c r="AN934" i="1"/>
  <c r="AO934" i="1" s="1"/>
  <c r="AN935" i="1"/>
  <c r="AO935" i="1" s="1"/>
  <c r="AN936" i="1"/>
  <c r="AO936" i="1" s="1"/>
  <c r="AN937" i="1"/>
  <c r="AO937" i="1" s="1"/>
  <c r="AN938" i="1"/>
  <c r="AO938" i="1" s="1"/>
  <c r="AN939" i="1"/>
  <c r="AO939" i="1" s="1"/>
  <c r="AN940" i="1"/>
  <c r="AO940" i="1" s="1"/>
  <c r="AN941" i="1"/>
  <c r="AO941" i="1" s="1"/>
  <c r="AN942" i="1"/>
  <c r="AO942" i="1" s="1"/>
  <c r="AN943" i="1"/>
  <c r="AO943" i="1" s="1"/>
  <c r="AN944" i="1"/>
  <c r="AO944" i="1" s="1"/>
  <c r="AN945" i="1"/>
  <c r="AO945" i="1" s="1"/>
  <c r="AN946" i="1"/>
  <c r="AO946" i="1" s="1"/>
  <c r="AN947" i="1"/>
  <c r="AO947" i="1" s="1"/>
  <c r="AN948" i="1"/>
  <c r="AO948" i="1" s="1"/>
  <c r="AN949" i="1"/>
  <c r="AO949" i="1" s="1"/>
  <c r="AN950" i="1"/>
  <c r="AO950" i="1" s="1"/>
  <c r="AN951" i="1"/>
  <c r="AO951" i="1" s="1"/>
  <c r="AN952" i="1"/>
  <c r="AO952" i="1" s="1"/>
  <c r="AN953" i="1"/>
  <c r="AO953" i="1" s="1"/>
  <c r="AN954" i="1"/>
  <c r="AO954" i="1" s="1"/>
  <c r="AN955" i="1"/>
  <c r="AO955" i="1" s="1"/>
  <c r="AN956" i="1"/>
  <c r="AO956" i="1" s="1"/>
  <c r="AN957" i="1"/>
  <c r="AO957" i="1" s="1"/>
  <c r="AN958" i="1"/>
  <c r="AO958" i="1" s="1"/>
  <c r="AN959" i="1"/>
  <c r="AO959" i="1" s="1"/>
  <c r="AN960" i="1"/>
  <c r="AO960" i="1" s="1"/>
  <c r="AN961" i="1"/>
  <c r="AO961" i="1" s="1"/>
  <c r="AN962" i="1"/>
  <c r="AO962" i="1" s="1"/>
  <c r="AN963" i="1"/>
  <c r="AO963" i="1" s="1"/>
  <c r="AN964" i="1"/>
  <c r="AO964" i="1" s="1"/>
  <c r="AN965" i="1"/>
  <c r="AO965" i="1" s="1"/>
  <c r="AN966" i="1"/>
  <c r="AO966" i="1" s="1"/>
  <c r="AN967" i="1"/>
  <c r="AO967" i="1" s="1"/>
  <c r="AN968" i="1"/>
  <c r="AO968" i="1" s="1"/>
  <c r="AN969" i="1"/>
  <c r="AO969" i="1" s="1"/>
  <c r="AN970" i="1"/>
  <c r="AO970" i="1" s="1"/>
  <c r="AN971" i="1"/>
  <c r="AO971" i="1" s="1"/>
  <c r="AN972" i="1"/>
  <c r="AO972" i="1" s="1"/>
  <c r="AN973" i="1"/>
  <c r="AO973" i="1" s="1"/>
  <c r="AN974" i="1"/>
  <c r="AO974" i="1" s="1"/>
  <c r="AN975" i="1"/>
  <c r="AO975" i="1" s="1"/>
  <c r="AN976" i="1"/>
  <c r="AO976" i="1" s="1"/>
  <c r="AN977" i="1"/>
  <c r="AO977" i="1" s="1"/>
  <c r="AN978" i="1"/>
  <c r="AO978" i="1" s="1"/>
  <c r="AN979" i="1"/>
  <c r="AO979" i="1" s="1"/>
  <c r="AN980" i="1"/>
  <c r="AO980" i="1" s="1"/>
  <c r="AN981" i="1"/>
  <c r="AO981" i="1" s="1"/>
  <c r="AN982" i="1"/>
  <c r="AO982" i="1" s="1"/>
  <c r="AN983" i="1"/>
  <c r="AO983" i="1" s="1"/>
  <c r="AN984" i="1"/>
  <c r="AO984" i="1" s="1"/>
  <c r="AN985" i="1"/>
  <c r="AO985" i="1" s="1"/>
  <c r="AN986" i="1"/>
  <c r="AO986" i="1" s="1"/>
  <c r="AN987" i="1"/>
  <c r="AO987" i="1" s="1"/>
  <c r="AN988" i="1"/>
  <c r="AO988" i="1" s="1"/>
  <c r="AN989" i="1"/>
  <c r="AO989" i="1" s="1"/>
  <c r="AN990" i="1"/>
  <c r="AO990" i="1" s="1"/>
  <c r="AN991" i="1"/>
  <c r="AO991" i="1" s="1"/>
  <c r="AN992" i="1"/>
  <c r="AO992" i="1" s="1"/>
  <c r="AN993" i="1"/>
  <c r="AO993" i="1" s="1"/>
  <c r="AN994" i="1"/>
  <c r="AO994" i="1" s="1"/>
  <c r="AN995" i="1"/>
  <c r="AO995" i="1" s="1"/>
  <c r="AN996" i="1"/>
  <c r="AO996" i="1" s="1"/>
  <c r="AN997" i="1"/>
  <c r="AO997" i="1" s="1"/>
  <c r="AN998" i="1"/>
  <c r="AO998" i="1" s="1"/>
  <c r="AN999" i="1"/>
  <c r="AO999" i="1" s="1"/>
  <c r="AN1000" i="1"/>
  <c r="AO1000" i="1" s="1"/>
  <c r="AN1001" i="1"/>
  <c r="AO1001" i="1" s="1"/>
  <c r="AN1002" i="1"/>
  <c r="AO1002" i="1" s="1"/>
  <c r="AN1003" i="1"/>
  <c r="AO1003" i="1" s="1"/>
  <c r="AN1004" i="1"/>
  <c r="AO1004" i="1" s="1"/>
  <c r="AN1005" i="1"/>
  <c r="AO1005" i="1" s="1"/>
  <c r="AN1006" i="1"/>
  <c r="AO1006" i="1" s="1"/>
  <c r="AN1007" i="1"/>
  <c r="AO1007" i="1" s="1"/>
  <c r="AN1008" i="1"/>
  <c r="AO1008" i="1" s="1"/>
  <c r="AN1009" i="1"/>
  <c r="AO1009" i="1" s="1"/>
  <c r="AN1010" i="1"/>
  <c r="AO1010" i="1" s="1"/>
  <c r="AN1011" i="1"/>
  <c r="AO1011" i="1" s="1"/>
  <c r="AN1012" i="1"/>
  <c r="AO1012" i="1" s="1"/>
  <c r="AN1013" i="1"/>
  <c r="AO1013" i="1" s="1"/>
  <c r="AN1014" i="1"/>
  <c r="AO1014" i="1" s="1"/>
  <c r="AN1015" i="1"/>
  <c r="AO1015" i="1" s="1"/>
  <c r="AN1016" i="1"/>
  <c r="AO1016" i="1" s="1"/>
  <c r="AN1017" i="1"/>
  <c r="AO1017" i="1" s="1"/>
  <c r="AN1018" i="1"/>
  <c r="AO1018" i="1" s="1"/>
  <c r="AN1019" i="1"/>
  <c r="AO1019" i="1" s="1"/>
  <c r="AN1020" i="1"/>
  <c r="AO1020" i="1" s="1"/>
  <c r="AN1021" i="1"/>
  <c r="AO1021" i="1" s="1"/>
  <c r="AN1022" i="1"/>
  <c r="AO1022" i="1" s="1"/>
  <c r="AN1023" i="1"/>
  <c r="AO1023" i="1" s="1"/>
  <c r="AN1024" i="1"/>
  <c r="AO1024" i="1" s="1"/>
  <c r="AN1025" i="1"/>
  <c r="AO1025" i="1" s="1"/>
  <c r="AN1026" i="1"/>
  <c r="AO1026" i="1" s="1"/>
  <c r="AN1027" i="1"/>
  <c r="AO1027" i="1" s="1"/>
  <c r="AN1028" i="1"/>
  <c r="AO1028" i="1" s="1"/>
  <c r="AN1029" i="1"/>
  <c r="AO1029" i="1" s="1"/>
  <c r="AN1030" i="1"/>
  <c r="AO1030" i="1" s="1"/>
  <c r="AN1031" i="1"/>
  <c r="AO1031" i="1" s="1"/>
  <c r="AN1032" i="1"/>
  <c r="AO1032" i="1" s="1"/>
  <c r="AN1033" i="1"/>
  <c r="AO1033" i="1" s="1"/>
  <c r="AN1034" i="1"/>
  <c r="AO1034" i="1" s="1"/>
  <c r="AN1035" i="1"/>
  <c r="AO1035" i="1" s="1"/>
  <c r="AN1036" i="1"/>
  <c r="AO1036" i="1" s="1"/>
  <c r="AN1037" i="1"/>
  <c r="AO1037" i="1" s="1"/>
  <c r="AN1038" i="1"/>
  <c r="AO1038" i="1" s="1"/>
  <c r="AN1039" i="1"/>
  <c r="AO1039" i="1" s="1"/>
  <c r="AN1040" i="1"/>
  <c r="AO1040" i="1" s="1"/>
  <c r="AN1041" i="1"/>
  <c r="AO1041" i="1" s="1"/>
  <c r="AN1042" i="1"/>
  <c r="AO1042" i="1" s="1"/>
  <c r="AN1043" i="1"/>
  <c r="AO1043" i="1" s="1"/>
  <c r="AN1044" i="1"/>
  <c r="AO1044" i="1" s="1"/>
  <c r="AN1045" i="1"/>
  <c r="AO1045" i="1" s="1"/>
  <c r="AN1046" i="1"/>
  <c r="AO1046" i="1" s="1"/>
  <c r="AN1047" i="1"/>
  <c r="AO1047" i="1" s="1"/>
  <c r="AN1048" i="1"/>
  <c r="AO1048" i="1" s="1"/>
  <c r="AN1049" i="1"/>
  <c r="AO1049" i="1" s="1"/>
  <c r="AN1050" i="1"/>
  <c r="AO1050" i="1" s="1"/>
  <c r="AN1051" i="1"/>
  <c r="AO1051" i="1" s="1"/>
  <c r="AN1052" i="1"/>
  <c r="AO1052" i="1" s="1"/>
  <c r="AN1053" i="1"/>
  <c r="AO1053" i="1" s="1"/>
  <c r="AN1054" i="1"/>
  <c r="AO1054" i="1" s="1"/>
  <c r="AN1055" i="1"/>
  <c r="AO1055" i="1" s="1"/>
  <c r="AN1056" i="1"/>
  <c r="AO1056" i="1" s="1"/>
  <c r="AN1057" i="1"/>
  <c r="AO1057" i="1" s="1"/>
  <c r="AN1058" i="1"/>
  <c r="AO1058" i="1" s="1"/>
  <c r="AN1059" i="1"/>
  <c r="AO1059" i="1" s="1"/>
  <c r="AN1060" i="1"/>
  <c r="AO1060" i="1" s="1"/>
  <c r="AN1061" i="1"/>
  <c r="AO1061" i="1" s="1"/>
  <c r="AN1062" i="1"/>
  <c r="AO1062" i="1" s="1"/>
  <c r="AN1063" i="1"/>
  <c r="AO1063" i="1" s="1"/>
  <c r="AN1064" i="1"/>
  <c r="AO1064" i="1" s="1"/>
  <c r="AN1065" i="1"/>
  <c r="AO1065" i="1" s="1"/>
  <c r="AN1066" i="1"/>
  <c r="AO1066" i="1" s="1"/>
  <c r="AN1067" i="1"/>
  <c r="AO1067" i="1" s="1"/>
  <c r="AN1068" i="1"/>
  <c r="AO1068" i="1" s="1"/>
  <c r="AN1069" i="1"/>
  <c r="AO1069" i="1" s="1"/>
  <c r="AN1070" i="1"/>
  <c r="AO1070" i="1" s="1"/>
  <c r="AN1071" i="1"/>
  <c r="AO1071" i="1" s="1"/>
  <c r="AN1072" i="1"/>
  <c r="AO1072" i="1" s="1"/>
  <c r="AN1073" i="1"/>
  <c r="AO1073" i="1" s="1"/>
  <c r="AN1074" i="1"/>
  <c r="AO1074" i="1" s="1"/>
  <c r="AN1075" i="1"/>
  <c r="AO1075" i="1" s="1"/>
  <c r="AN1076" i="1"/>
  <c r="AO1076" i="1" s="1"/>
  <c r="AN1077" i="1"/>
  <c r="AO1077" i="1" s="1"/>
  <c r="AN1078" i="1"/>
  <c r="AO1078" i="1" s="1"/>
  <c r="AN1079" i="1"/>
  <c r="AO1079" i="1" s="1"/>
  <c r="AN1080" i="1"/>
  <c r="AO1080" i="1" s="1"/>
  <c r="AN1081" i="1"/>
  <c r="AO1081" i="1" s="1"/>
  <c r="AN1082" i="1"/>
  <c r="AO1082" i="1" s="1"/>
  <c r="AN1083" i="1"/>
  <c r="AO1083" i="1" s="1"/>
  <c r="AN1084" i="1"/>
  <c r="AO1084" i="1" s="1"/>
  <c r="AN1085" i="1"/>
  <c r="AO1085" i="1" s="1"/>
  <c r="AN1086" i="1"/>
  <c r="AO1086" i="1" s="1"/>
  <c r="AN1087" i="1"/>
  <c r="AO1087" i="1" s="1"/>
  <c r="AN1088" i="1"/>
  <c r="AO1088" i="1" s="1"/>
  <c r="AN1089" i="1"/>
  <c r="AO1089" i="1" s="1"/>
  <c r="AN1090" i="1"/>
  <c r="AO1090" i="1" s="1"/>
  <c r="AN1091" i="1"/>
  <c r="AO1091" i="1" s="1"/>
  <c r="AN1092" i="1"/>
  <c r="AO1092" i="1" s="1"/>
  <c r="AN1093" i="1"/>
  <c r="AO1093" i="1" s="1"/>
  <c r="AN1094" i="1"/>
  <c r="AO1094" i="1" s="1"/>
  <c r="AN1095" i="1"/>
  <c r="AO1095" i="1" s="1"/>
  <c r="AN1096" i="1"/>
  <c r="AO1096" i="1" s="1"/>
  <c r="AN1097" i="1"/>
  <c r="AO1097" i="1" s="1"/>
  <c r="AN1098" i="1"/>
  <c r="AO1098" i="1" s="1"/>
  <c r="AN1099" i="1"/>
  <c r="AO1099" i="1" s="1"/>
  <c r="AN1100" i="1"/>
  <c r="AO1100" i="1" s="1"/>
  <c r="AN1101" i="1"/>
  <c r="AO1101" i="1" s="1"/>
  <c r="AN1102" i="1"/>
  <c r="AO1102" i="1" s="1"/>
  <c r="AN1103" i="1"/>
  <c r="AO1103" i="1" s="1"/>
  <c r="AN1104" i="1"/>
  <c r="AO1104" i="1" s="1"/>
  <c r="AN1105" i="1"/>
  <c r="AO1105" i="1" s="1"/>
  <c r="AN1106" i="1"/>
  <c r="AO1106" i="1" s="1"/>
  <c r="AN1107" i="1"/>
  <c r="AO1107" i="1" s="1"/>
  <c r="AN1108" i="1"/>
  <c r="AO1108" i="1" s="1"/>
  <c r="AN1109" i="1"/>
  <c r="AO1109" i="1" s="1"/>
  <c r="AN1110" i="1"/>
  <c r="AO1110" i="1" s="1"/>
  <c r="AN1111" i="1"/>
  <c r="AO1111" i="1" s="1"/>
  <c r="AN1112" i="1"/>
  <c r="AO1112" i="1" s="1"/>
  <c r="AN1113" i="1"/>
  <c r="AO1113" i="1" s="1"/>
  <c r="AN1114" i="1"/>
  <c r="AO1114" i="1" s="1"/>
  <c r="AN1115" i="1"/>
  <c r="AO1115" i="1" s="1"/>
  <c r="AN1116" i="1"/>
  <c r="AO1116" i="1" s="1"/>
  <c r="AN1117" i="1"/>
  <c r="AO1117" i="1" s="1"/>
  <c r="AN1118" i="1"/>
  <c r="AO1118" i="1" s="1"/>
  <c r="AN1119" i="1"/>
  <c r="AO1119" i="1" s="1"/>
  <c r="AN1120" i="1"/>
  <c r="AO1120" i="1" s="1"/>
  <c r="AN1121" i="1"/>
  <c r="AO1121" i="1" s="1"/>
  <c r="AN1122" i="1"/>
  <c r="AO1122" i="1" s="1"/>
  <c r="AN1123" i="1"/>
  <c r="AO1123" i="1" s="1"/>
  <c r="AN1124" i="1"/>
  <c r="AO1124" i="1" s="1"/>
  <c r="AN1125" i="1"/>
  <c r="AO1125" i="1" s="1"/>
  <c r="AN1126" i="1"/>
  <c r="AO1126" i="1" s="1"/>
  <c r="AN1127" i="1"/>
  <c r="AO1127" i="1" s="1"/>
  <c r="AN1128" i="1"/>
  <c r="AO1128" i="1" s="1"/>
  <c r="AN1129" i="1"/>
  <c r="AO1129" i="1" s="1"/>
  <c r="AN1130" i="1"/>
  <c r="AO1130" i="1" s="1"/>
  <c r="AN1131" i="1"/>
  <c r="AO1131" i="1" s="1"/>
  <c r="AN1132" i="1"/>
  <c r="AO1132" i="1" s="1"/>
  <c r="AN1133" i="1"/>
  <c r="AO1133" i="1" s="1"/>
  <c r="AN1134" i="1"/>
  <c r="AO1134" i="1" s="1"/>
  <c r="AN1135" i="1"/>
  <c r="AO1135" i="1" s="1"/>
  <c r="AN1136" i="1"/>
  <c r="AO1136" i="1" s="1"/>
  <c r="AN1137" i="1"/>
  <c r="AO1137" i="1" s="1"/>
  <c r="AN1138" i="1"/>
  <c r="AO1138" i="1" s="1"/>
  <c r="AN1139" i="1"/>
  <c r="AO1139" i="1" s="1"/>
  <c r="AN1140" i="1"/>
  <c r="AO1140" i="1" s="1"/>
  <c r="AN1141" i="1"/>
  <c r="AO1141" i="1" s="1"/>
  <c r="AN1142" i="1"/>
  <c r="AO1142" i="1" s="1"/>
  <c r="AN1143" i="1"/>
  <c r="AO1143" i="1" s="1"/>
  <c r="AN1144" i="1"/>
  <c r="AO1144" i="1" s="1"/>
  <c r="AN1145" i="1"/>
  <c r="AO1145" i="1" s="1"/>
  <c r="AN1146" i="1"/>
  <c r="AO1146" i="1" s="1"/>
  <c r="AN1147" i="1"/>
  <c r="AO1147" i="1" s="1"/>
  <c r="AN1148" i="1"/>
  <c r="AO1148" i="1" s="1"/>
  <c r="AN1149" i="1"/>
  <c r="AO1149" i="1" s="1"/>
  <c r="AN1150" i="1"/>
  <c r="AO1150" i="1" s="1"/>
  <c r="AN1151" i="1"/>
  <c r="AO1151" i="1" s="1"/>
  <c r="AN1152" i="1"/>
  <c r="AO1152" i="1" s="1"/>
  <c r="AN1153" i="1"/>
  <c r="AO1153" i="1" s="1"/>
  <c r="AN1154" i="1"/>
  <c r="AO1154" i="1" s="1"/>
  <c r="AN1155" i="1"/>
  <c r="AO1155" i="1" s="1"/>
  <c r="AN1156" i="1"/>
  <c r="AO1156" i="1" s="1"/>
  <c r="AN1157" i="1"/>
  <c r="AO1157" i="1" s="1"/>
  <c r="AN1158" i="1"/>
  <c r="AO1158" i="1" s="1"/>
  <c r="AN1159" i="1"/>
  <c r="AO1159" i="1" s="1"/>
  <c r="AN1160" i="1"/>
  <c r="AO1160" i="1" s="1"/>
  <c r="AN1161" i="1"/>
  <c r="AO1161" i="1" s="1"/>
  <c r="AN1162" i="1"/>
  <c r="AO1162" i="1" s="1"/>
  <c r="AN1163" i="1"/>
  <c r="AO1163" i="1" s="1"/>
  <c r="AN1164" i="1"/>
  <c r="AO1164" i="1" s="1"/>
  <c r="AN1165" i="1"/>
  <c r="AO1165" i="1" s="1"/>
  <c r="AN1166" i="1"/>
  <c r="AO1166" i="1" s="1"/>
  <c r="AN1167" i="1"/>
  <c r="AO1167" i="1" s="1"/>
  <c r="AN1168" i="1"/>
  <c r="AO1168" i="1" s="1"/>
  <c r="AN1169" i="1"/>
  <c r="AO1169" i="1" s="1"/>
  <c r="AN1170" i="1"/>
  <c r="AO1170" i="1" s="1"/>
  <c r="AN1171" i="1"/>
  <c r="AO1171" i="1" s="1"/>
  <c r="AN1172" i="1"/>
  <c r="AO1172" i="1" s="1"/>
  <c r="AN1173" i="1"/>
  <c r="AO1173" i="1" s="1"/>
  <c r="AN1174" i="1"/>
  <c r="AO1174" i="1" s="1"/>
  <c r="AN1175" i="1"/>
  <c r="AO1175" i="1" s="1"/>
  <c r="AN1176" i="1"/>
  <c r="AO1176" i="1" s="1"/>
  <c r="AN1177" i="1"/>
  <c r="AO1177" i="1" s="1"/>
  <c r="AN1178" i="1"/>
  <c r="AO1178" i="1" s="1"/>
  <c r="AN1179" i="1"/>
  <c r="AO1179" i="1" s="1"/>
  <c r="AN1180" i="1"/>
  <c r="AO1180" i="1" s="1"/>
  <c r="AN1181" i="1"/>
  <c r="AO1181" i="1" s="1"/>
  <c r="AN1182" i="1"/>
  <c r="AO1182" i="1" s="1"/>
  <c r="AN1183" i="1"/>
  <c r="AO1183" i="1" s="1"/>
  <c r="AN1184" i="1"/>
  <c r="AO1184" i="1" s="1"/>
  <c r="AN1185" i="1"/>
  <c r="AO1185" i="1" s="1"/>
  <c r="AN1186" i="1"/>
  <c r="AO1186" i="1" s="1"/>
  <c r="AN1187" i="1"/>
  <c r="AO1187" i="1" s="1"/>
  <c r="AN1188" i="1"/>
  <c r="AO1188" i="1" s="1"/>
  <c r="AN1189" i="1"/>
  <c r="AO1189" i="1" s="1"/>
  <c r="AN1190" i="1"/>
  <c r="AO1190" i="1" s="1"/>
  <c r="AN1191" i="1"/>
  <c r="AO1191" i="1" s="1"/>
  <c r="AN1192" i="1"/>
  <c r="AO1192" i="1" s="1"/>
  <c r="AN1193" i="1"/>
  <c r="AO1193" i="1" s="1"/>
  <c r="AN1194" i="1"/>
  <c r="AO1194" i="1" s="1"/>
  <c r="AN1195" i="1"/>
  <c r="AO1195" i="1" s="1"/>
  <c r="AN1196" i="1"/>
  <c r="AO1196" i="1" s="1"/>
  <c r="AN1197" i="1"/>
  <c r="AO1197" i="1" s="1"/>
  <c r="AN1198" i="1"/>
  <c r="AO1198" i="1" s="1"/>
  <c r="AN1199" i="1"/>
  <c r="AO1199" i="1" s="1"/>
  <c r="AN1200" i="1"/>
  <c r="AO1200" i="1" s="1"/>
  <c r="AN1201" i="1"/>
  <c r="AO1201" i="1" s="1"/>
  <c r="AN1202" i="1"/>
  <c r="AO1202" i="1" s="1"/>
  <c r="AN1203" i="1"/>
  <c r="AO1203" i="1" s="1"/>
  <c r="AN1204" i="1"/>
  <c r="AO1204" i="1" s="1"/>
  <c r="AN1205" i="1"/>
  <c r="AO1205" i="1" s="1"/>
  <c r="AN1206" i="1"/>
  <c r="AO1206" i="1" s="1"/>
  <c r="AN1207" i="1"/>
  <c r="AO1207" i="1" s="1"/>
  <c r="AN1208" i="1"/>
  <c r="AO1208" i="1" s="1"/>
  <c r="AN1209" i="1"/>
  <c r="AO1209" i="1" s="1"/>
  <c r="AN1210" i="1"/>
  <c r="AO1210" i="1" s="1"/>
  <c r="AN1211" i="1"/>
  <c r="AO1211" i="1" s="1"/>
  <c r="AN1212" i="1"/>
  <c r="AO1212" i="1" s="1"/>
  <c r="AN1213" i="1"/>
  <c r="AO1213" i="1" s="1"/>
  <c r="AN1214" i="1"/>
  <c r="AO1214" i="1" s="1"/>
  <c r="AN1215" i="1"/>
  <c r="AO1215" i="1" s="1"/>
  <c r="AN1216" i="1"/>
  <c r="AO1216" i="1" s="1"/>
  <c r="AN1217" i="1"/>
  <c r="AO1217" i="1" s="1"/>
  <c r="AN1218" i="1"/>
  <c r="AO1218" i="1" s="1"/>
  <c r="AN1219" i="1"/>
  <c r="AO1219" i="1" s="1"/>
  <c r="AN1220" i="1"/>
  <c r="AO1220" i="1" s="1"/>
  <c r="AN1221" i="1"/>
  <c r="AO1221" i="1" s="1"/>
  <c r="AN1222" i="1"/>
  <c r="AO1222" i="1" s="1"/>
  <c r="AN1223" i="1"/>
  <c r="AO1223" i="1" s="1"/>
  <c r="AN1224" i="1"/>
  <c r="AO1224" i="1" s="1"/>
  <c r="AN1225" i="1"/>
  <c r="AO1225" i="1" s="1"/>
  <c r="AN1226" i="1"/>
  <c r="AO1226" i="1" s="1"/>
  <c r="AN1227" i="1"/>
  <c r="AO1227" i="1" s="1"/>
  <c r="AN1228" i="1"/>
  <c r="AO1228" i="1" s="1"/>
  <c r="AN1229" i="1"/>
  <c r="AO1229" i="1" s="1"/>
  <c r="AN1230" i="1"/>
  <c r="AO1230" i="1" s="1"/>
  <c r="AN1231" i="1"/>
  <c r="AO1231" i="1" s="1"/>
  <c r="AN1232" i="1"/>
  <c r="AO1232" i="1" s="1"/>
  <c r="AN1233" i="1"/>
  <c r="AO1233" i="1" s="1"/>
  <c r="AN1234" i="1"/>
  <c r="AO1234" i="1" s="1"/>
  <c r="AN1235" i="1"/>
  <c r="AO1235" i="1" s="1"/>
  <c r="AN1236" i="1"/>
  <c r="AO1236" i="1" s="1"/>
  <c r="AN1237" i="1"/>
  <c r="AO1237" i="1" s="1"/>
  <c r="AN1238" i="1"/>
  <c r="AO1238" i="1" s="1"/>
  <c r="AN1239" i="1"/>
  <c r="AO1239" i="1" s="1"/>
  <c r="AN1240" i="1"/>
  <c r="AO1240" i="1" s="1"/>
  <c r="AN1241" i="1"/>
  <c r="AO1241" i="1" s="1"/>
  <c r="AN1242" i="1"/>
  <c r="AO1242" i="1" s="1"/>
  <c r="AN1243" i="1"/>
  <c r="AO1243" i="1" s="1"/>
  <c r="AN1244" i="1"/>
  <c r="AO1244" i="1" s="1"/>
  <c r="AN1245" i="1"/>
  <c r="AO1245" i="1" s="1"/>
  <c r="AN1246" i="1"/>
  <c r="AO1246" i="1" s="1"/>
  <c r="AN1247" i="1"/>
  <c r="AO1247" i="1" s="1"/>
  <c r="AN1248" i="1"/>
  <c r="AO1248" i="1" s="1"/>
  <c r="AN1249" i="1"/>
  <c r="AO1249" i="1" s="1"/>
  <c r="AN1250" i="1"/>
  <c r="AO1250" i="1" s="1"/>
  <c r="AN1251" i="1"/>
  <c r="AO1251" i="1" s="1"/>
  <c r="AN1252" i="1"/>
  <c r="AO1252" i="1" s="1"/>
  <c r="AN1253" i="1"/>
  <c r="AO1253" i="1" s="1"/>
  <c r="AN1254" i="1"/>
  <c r="AO1254" i="1" s="1"/>
  <c r="AN1255" i="1"/>
  <c r="AO1255" i="1" s="1"/>
  <c r="AN1256" i="1"/>
  <c r="AO1256" i="1" s="1"/>
  <c r="AN1257" i="1"/>
  <c r="AO1257" i="1" s="1"/>
  <c r="AN1258" i="1"/>
  <c r="AO1258" i="1" s="1"/>
  <c r="AN1259" i="1"/>
  <c r="AO1259" i="1" s="1"/>
  <c r="AN1260" i="1"/>
  <c r="AO1260" i="1" s="1"/>
  <c r="AN1261" i="1"/>
  <c r="AO1261" i="1" s="1"/>
  <c r="AN1262" i="1"/>
  <c r="AO1262" i="1" s="1"/>
  <c r="AN1263" i="1"/>
  <c r="AO1263" i="1" s="1"/>
  <c r="AN1264" i="1"/>
  <c r="AO1264" i="1" s="1"/>
  <c r="AN1265" i="1"/>
  <c r="AO1265" i="1" s="1"/>
  <c r="AN1266" i="1"/>
  <c r="AO1266" i="1" s="1"/>
  <c r="AN1267" i="1"/>
  <c r="AO1267" i="1" s="1"/>
  <c r="AN1268" i="1"/>
  <c r="AO1268" i="1" s="1"/>
  <c r="AN1269" i="1"/>
  <c r="AO1269" i="1" s="1"/>
  <c r="AN1270" i="1"/>
  <c r="AO1270" i="1" s="1"/>
  <c r="AN1271" i="1"/>
  <c r="AO1271" i="1" s="1"/>
  <c r="AN1272" i="1"/>
  <c r="AO1272" i="1" s="1"/>
  <c r="AN1273" i="1"/>
  <c r="AO1273" i="1" s="1"/>
  <c r="AN1274" i="1"/>
  <c r="AO1274" i="1" s="1"/>
  <c r="AN1275" i="1"/>
  <c r="AO1275" i="1" s="1"/>
  <c r="AN1276" i="1"/>
  <c r="AO1276" i="1" s="1"/>
  <c r="AN1277" i="1"/>
  <c r="AO1277" i="1" s="1"/>
  <c r="AN1278" i="1"/>
  <c r="AO1278" i="1" s="1"/>
  <c r="AN1279" i="1"/>
  <c r="AO1279" i="1" s="1"/>
  <c r="AN1280" i="1"/>
  <c r="AO1280" i="1" s="1"/>
  <c r="AN1281" i="1"/>
  <c r="AO1281" i="1" s="1"/>
  <c r="AN1282" i="1"/>
  <c r="AO1282" i="1" s="1"/>
  <c r="AN1283" i="1"/>
  <c r="AO1283" i="1" s="1"/>
  <c r="AN1284" i="1"/>
  <c r="AO1284" i="1" s="1"/>
  <c r="AN1285" i="1"/>
  <c r="AO1285" i="1" s="1"/>
  <c r="AN1286" i="1"/>
  <c r="AO1286" i="1" s="1"/>
  <c r="AN1287" i="1"/>
  <c r="AO1287" i="1" s="1"/>
  <c r="AN1288" i="1"/>
  <c r="AO1288" i="1" s="1"/>
  <c r="AN1289" i="1"/>
  <c r="AO1289" i="1" s="1"/>
  <c r="AN1290" i="1"/>
  <c r="AO1290" i="1" s="1"/>
  <c r="AN1291" i="1"/>
  <c r="AO1291" i="1" s="1"/>
  <c r="AN1292" i="1"/>
  <c r="AO1292" i="1" s="1"/>
  <c r="AN1293" i="1"/>
  <c r="AO1293" i="1" s="1"/>
  <c r="AN1294" i="1"/>
  <c r="AO1294" i="1" s="1"/>
  <c r="AN1295" i="1"/>
  <c r="AO1295" i="1" s="1"/>
  <c r="AN1296" i="1"/>
  <c r="AO1296" i="1" s="1"/>
  <c r="AN1297" i="1"/>
  <c r="AO1297" i="1" s="1"/>
  <c r="AN1298" i="1"/>
  <c r="AO1298" i="1" s="1"/>
  <c r="AN1299" i="1"/>
  <c r="AO1299" i="1" s="1"/>
  <c r="AN1300" i="1"/>
  <c r="AO1300" i="1" s="1"/>
  <c r="AN1301" i="1"/>
  <c r="AO1301" i="1" s="1"/>
  <c r="AN1302" i="1"/>
  <c r="AO1302" i="1" s="1"/>
  <c r="AN1303" i="1"/>
  <c r="AO1303" i="1" s="1"/>
  <c r="AN1304" i="1"/>
  <c r="AO1304" i="1" s="1"/>
  <c r="AN1305" i="1"/>
  <c r="AO1305" i="1" s="1"/>
  <c r="AN1306" i="1"/>
  <c r="AO1306" i="1" s="1"/>
  <c r="AN1307" i="1"/>
  <c r="AO1307" i="1" s="1"/>
  <c r="AN1308" i="1"/>
  <c r="AO1308" i="1" s="1"/>
  <c r="AN1309" i="1"/>
  <c r="AO1309" i="1" s="1"/>
  <c r="AN1310" i="1"/>
  <c r="AO1310" i="1" s="1"/>
  <c r="AN1311" i="1"/>
  <c r="AO1311" i="1" s="1"/>
  <c r="AN1312" i="1"/>
  <c r="AO1312" i="1" s="1"/>
  <c r="AN1313" i="1"/>
  <c r="AO1313" i="1" s="1"/>
  <c r="AN1314" i="1"/>
  <c r="AO1314" i="1" s="1"/>
  <c r="AN1315" i="1"/>
  <c r="AO1315" i="1" s="1"/>
  <c r="AN1316" i="1"/>
  <c r="AO1316" i="1" s="1"/>
  <c r="AN1317" i="1"/>
  <c r="AO1317" i="1" s="1"/>
  <c r="AN1318" i="1"/>
  <c r="AO1318" i="1" s="1"/>
  <c r="AN1319" i="1"/>
  <c r="AO1319" i="1" s="1"/>
  <c r="AN1320" i="1"/>
  <c r="AO1320" i="1" s="1"/>
  <c r="AN1321" i="1"/>
  <c r="AO1321" i="1" s="1"/>
  <c r="AN1322" i="1"/>
  <c r="AO1322" i="1" s="1"/>
  <c r="AN1323" i="1"/>
  <c r="AO1323" i="1" s="1"/>
  <c r="AN1324" i="1"/>
  <c r="AO1324" i="1" s="1"/>
  <c r="AN1325" i="1"/>
  <c r="AO1325" i="1" s="1"/>
  <c r="AN1326" i="1"/>
  <c r="AO1326" i="1" s="1"/>
  <c r="AN1327" i="1"/>
  <c r="AO1327" i="1" s="1"/>
  <c r="AN1328" i="1"/>
  <c r="AO1328" i="1" s="1"/>
  <c r="AN1329" i="1"/>
  <c r="AO1329" i="1" s="1"/>
  <c r="AN1330" i="1"/>
  <c r="AO1330" i="1" s="1"/>
  <c r="AN1331" i="1"/>
  <c r="AO1331" i="1" s="1"/>
  <c r="AN1332" i="1"/>
  <c r="AO1332" i="1" s="1"/>
  <c r="AN1333" i="1"/>
  <c r="AO1333" i="1" s="1"/>
  <c r="AN1334" i="1"/>
  <c r="AO1334" i="1" s="1"/>
  <c r="AN1335" i="1"/>
  <c r="AO1335" i="1" s="1"/>
  <c r="AN1336" i="1"/>
  <c r="AO1336" i="1" s="1"/>
  <c r="AN1337" i="1"/>
  <c r="AO1337" i="1" s="1"/>
  <c r="AN1338" i="1"/>
  <c r="AO1338" i="1" s="1"/>
  <c r="AN1339" i="1"/>
  <c r="AO1339" i="1" s="1"/>
  <c r="AN1340" i="1"/>
  <c r="AO1340" i="1" s="1"/>
  <c r="AN1341" i="1"/>
  <c r="AO1341" i="1" s="1"/>
  <c r="AN1342" i="1"/>
  <c r="AO1342" i="1" s="1"/>
  <c r="AN1343" i="1"/>
  <c r="AO1343" i="1" s="1"/>
  <c r="AN1344" i="1"/>
  <c r="AO1344" i="1" s="1"/>
  <c r="AN1345" i="1"/>
  <c r="AO1345" i="1" s="1"/>
  <c r="AN1346" i="1"/>
  <c r="AO1346" i="1" s="1"/>
  <c r="AN1347" i="1"/>
  <c r="AO1347" i="1" s="1"/>
  <c r="AN1348" i="1"/>
  <c r="AO1348" i="1" s="1"/>
  <c r="AN1349" i="1"/>
  <c r="AO1349" i="1" s="1"/>
  <c r="AN1350" i="1"/>
  <c r="AO1350" i="1" s="1"/>
  <c r="AN1351" i="1"/>
  <c r="AO1351" i="1" s="1"/>
  <c r="AN1352" i="1"/>
  <c r="AO1352" i="1" s="1"/>
  <c r="AN1353" i="1"/>
  <c r="AO1353" i="1" s="1"/>
  <c r="AN1354" i="1"/>
  <c r="AO1354" i="1" s="1"/>
  <c r="AN1355" i="1"/>
  <c r="AO1355" i="1" s="1"/>
  <c r="AN1356" i="1"/>
  <c r="AO1356" i="1" s="1"/>
  <c r="AN1357" i="1"/>
  <c r="AO1357" i="1" s="1"/>
  <c r="AN1358" i="1"/>
  <c r="AO1358" i="1" s="1"/>
  <c r="AN1359" i="1"/>
  <c r="AO1359" i="1" s="1"/>
  <c r="AN1360" i="1"/>
  <c r="AO1360" i="1" s="1"/>
  <c r="AN1361" i="1"/>
  <c r="AO1361" i="1" s="1"/>
  <c r="AN1362" i="1"/>
  <c r="AO1362" i="1" s="1"/>
  <c r="AN1363" i="1"/>
  <c r="AO1363" i="1" s="1"/>
  <c r="AN1364" i="1"/>
  <c r="AO1364" i="1" s="1"/>
  <c r="AN1365" i="1"/>
  <c r="AO1365" i="1" s="1"/>
  <c r="AN1366" i="1"/>
  <c r="AO1366" i="1" s="1"/>
  <c r="AN1367" i="1"/>
  <c r="AO1367" i="1" s="1"/>
  <c r="AN1368" i="1"/>
  <c r="AO1368" i="1" s="1"/>
  <c r="AN1369" i="1"/>
  <c r="AO1369" i="1" s="1"/>
  <c r="AN1370" i="1"/>
  <c r="AO1370" i="1" s="1"/>
  <c r="AN1371" i="1"/>
  <c r="AO1371" i="1" s="1"/>
  <c r="AN1372" i="1"/>
  <c r="AO1372" i="1" s="1"/>
  <c r="AN1373" i="1"/>
  <c r="AO1373" i="1" s="1"/>
  <c r="AN1374" i="1"/>
  <c r="AO1374" i="1" s="1"/>
  <c r="AN1375" i="1"/>
  <c r="AO1375" i="1" s="1"/>
  <c r="AN1376" i="1"/>
  <c r="AO1376" i="1" s="1"/>
  <c r="AN1377" i="1"/>
  <c r="AO1377" i="1" s="1"/>
  <c r="AN1378" i="1"/>
  <c r="AO1378" i="1" s="1"/>
  <c r="AN1379" i="1"/>
  <c r="AO1379" i="1" s="1"/>
  <c r="AN1380" i="1"/>
  <c r="AO1380" i="1" s="1"/>
  <c r="AN1381" i="1"/>
  <c r="AO1381" i="1" s="1"/>
  <c r="AN1382" i="1"/>
  <c r="AO1382" i="1" s="1"/>
  <c r="AN1383" i="1"/>
  <c r="AO1383" i="1" s="1"/>
  <c r="AN1384" i="1"/>
  <c r="AO1384" i="1" s="1"/>
  <c r="AN1385" i="1"/>
  <c r="AO1385" i="1" s="1"/>
  <c r="AN1386" i="1"/>
  <c r="AO1386" i="1" s="1"/>
  <c r="AN1387" i="1"/>
  <c r="AO1387" i="1" s="1"/>
  <c r="AN1388" i="1"/>
  <c r="AO1388" i="1" s="1"/>
  <c r="AN1389" i="1"/>
  <c r="AO1389" i="1" s="1"/>
  <c r="AN1390" i="1"/>
  <c r="AO1390" i="1" s="1"/>
  <c r="AN1391" i="1"/>
  <c r="AO1391" i="1" s="1"/>
  <c r="AN1392" i="1"/>
  <c r="AO1392" i="1" s="1"/>
  <c r="AN1393" i="1"/>
  <c r="AO1393" i="1" s="1"/>
  <c r="AN1394" i="1"/>
  <c r="AO1394" i="1" s="1"/>
  <c r="AN1395" i="1"/>
  <c r="AO1395" i="1" s="1"/>
  <c r="AN1396" i="1"/>
  <c r="AO1396" i="1" s="1"/>
  <c r="AN1397" i="1"/>
  <c r="AO1397" i="1" s="1"/>
  <c r="AN1398" i="1"/>
  <c r="AO1398" i="1" s="1"/>
  <c r="AN1399" i="1"/>
  <c r="AO1399" i="1" s="1"/>
  <c r="AN1400" i="1"/>
  <c r="AO1400" i="1" s="1"/>
  <c r="AN1401" i="1"/>
  <c r="AO1401" i="1" s="1"/>
  <c r="AN1402" i="1"/>
  <c r="AO1402" i="1" s="1"/>
  <c r="AN1403" i="1"/>
  <c r="AO1403" i="1" s="1"/>
  <c r="AN1404" i="1"/>
  <c r="AO1404" i="1" s="1"/>
  <c r="AN1405" i="1"/>
  <c r="AO1405" i="1" s="1"/>
  <c r="AN1406" i="1"/>
  <c r="AO1406" i="1" s="1"/>
  <c r="AN1407" i="1"/>
  <c r="AO1407" i="1" s="1"/>
  <c r="AN1408" i="1"/>
  <c r="AO1408" i="1" s="1"/>
  <c r="AN1409" i="1"/>
  <c r="AO1409" i="1" s="1"/>
  <c r="AN1410" i="1"/>
  <c r="AO1410" i="1" s="1"/>
  <c r="AN1411" i="1"/>
  <c r="AO1411" i="1" s="1"/>
  <c r="AN1412" i="1"/>
  <c r="AO1412" i="1" s="1"/>
  <c r="AN1413" i="1"/>
  <c r="AO1413" i="1" s="1"/>
  <c r="AN1414" i="1"/>
  <c r="AO1414" i="1" s="1"/>
  <c r="AN1415" i="1"/>
  <c r="AO1415" i="1" s="1"/>
  <c r="AN1416" i="1"/>
  <c r="AO1416" i="1" s="1"/>
  <c r="AN1417" i="1"/>
  <c r="AO1417" i="1" s="1"/>
  <c r="AN1418" i="1"/>
  <c r="AO1418" i="1" s="1"/>
  <c r="AN1419" i="1"/>
  <c r="AO1419" i="1" s="1"/>
  <c r="AN1420" i="1"/>
  <c r="AO1420" i="1" s="1"/>
  <c r="AN1421" i="1"/>
  <c r="AO1421" i="1" s="1"/>
  <c r="AN1422" i="1"/>
  <c r="AO1422" i="1" s="1"/>
  <c r="AN1423" i="1"/>
  <c r="AO1423" i="1" s="1"/>
  <c r="AN1424" i="1"/>
  <c r="AO1424" i="1" s="1"/>
  <c r="AN1425" i="1"/>
  <c r="AO1425" i="1" s="1"/>
  <c r="AN1426" i="1"/>
  <c r="AO1426" i="1" s="1"/>
  <c r="AN1427" i="1"/>
  <c r="AO1427" i="1" s="1"/>
  <c r="AN1428" i="1"/>
  <c r="AO1428" i="1" s="1"/>
  <c r="AN1429" i="1"/>
  <c r="AO1429" i="1" s="1"/>
  <c r="AN1430" i="1"/>
  <c r="AO1430" i="1" s="1"/>
  <c r="AN1431" i="1"/>
  <c r="AO1431" i="1" s="1"/>
  <c r="AN1432" i="1"/>
  <c r="AO1432" i="1" s="1"/>
  <c r="AN1433" i="1"/>
  <c r="AO1433" i="1" s="1"/>
  <c r="AN1434" i="1"/>
  <c r="AO1434" i="1" s="1"/>
  <c r="AN1435" i="1"/>
  <c r="AO1435" i="1" s="1"/>
  <c r="AN1436" i="1"/>
  <c r="AO1436" i="1" s="1"/>
  <c r="AN1437" i="1"/>
  <c r="AO1437" i="1" s="1"/>
  <c r="AN1438" i="1"/>
  <c r="AO1438" i="1" s="1"/>
  <c r="AN1439" i="1"/>
  <c r="AO1439" i="1" s="1"/>
  <c r="AN1440" i="1"/>
  <c r="AO1440" i="1" s="1"/>
  <c r="AN1441" i="1"/>
  <c r="AO1441" i="1" s="1"/>
  <c r="AN1442" i="1"/>
  <c r="AO1442" i="1" s="1"/>
  <c r="AN1443" i="1"/>
  <c r="AO1443" i="1" s="1"/>
  <c r="AN1444" i="1"/>
  <c r="AO1444" i="1" s="1"/>
  <c r="AN1445" i="1"/>
  <c r="AO1445" i="1" s="1"/>
  <c r="AN1446" i="1"/>
  <c r="AO1446" i="1" s="1"/>
  <c r="AN1447" i="1"/>
  <c r="AO1447" i="1" s="1"/>
  <c r="AN1448" i="1"/>
  <c r="AO1448" i="1" s="1"/>
  <c r="AN1449" i="1"/>
  <c r="AO1449" i="1" s="1"/>
  <c r="AN1450" i="1"/>
  <c r="AO1450" i="1" s="1"/>
  <c r="AN1451" i="1"/>
  <c r="AO1451" i="1" s="1"/>
  <c r="AN1452" i="1"/>
  <c r="AO1452" i="1" s="1"/>
  <c r="AN1453" i="1"/>
  <c r="AO1453" i="1" s="1"/>
  <c r="AN1454" i="1"/>
  <c r="AO1454" i="1" s="1"/>
  <c r="AN1455" i="1"/>
  <c r="AO1455" i="1" s="1"/>
  <c r="AN1456" i="1"/>
  <c r="AO1456" i="1" s="1"/>
  <c r="AN1457" i="1"/>
  <c r="AO1457" i="1" s="1"/>
  <c r="AN1458" i="1"/>
  <c r="AO1458" i="1" s="1"/>
  <c r="AN1459" i="1"/>
  <c r="AO1459" i="1" s="1"/>
  <c r="AN1460" i="1"/>
  <c r="AO1460" i="1" s="1"/>
  <c r="AN1461" i="1"/>
  <c r="AO1461" i="1" s="1"/>
  <c r="AN1462" i="1"/>
  <c r="AO1462" i="1" s="1"/>
  <c r="AN1463" i="1"/>
  <c r="AO1463" i="1" s="1"/>
  <c r="AN1464" i="1"/>
  <c r="AO1464" i="1" s="1"/>
  <c r="AN1465" i="1"/>
  <c r="AO1465" i="1" s="1"/>
  <c r="AN1466" i="1"/>
  <c r="AO1466" i="1" s="1"/>
  <c r="AN1467" i="1"/>
  <c r="AO1467" i="1" s="1"/>
  <c r="AN1468" i="1"/>
  <c r="AO1468" i="1" s="1"/>
  <c r="AN1469" i="1"/>
  <c r="AO1469" i="1" s="1"/>
  <c r="AN1470" i="1"/>
  <c r="AO1470" i="1" s="1"/>
  <c r="AN1471" i="1"/>
  <c r="AO1471" i="1" s="1"/>
  <c r="AN1472" i="1"/>
  <c r="AO1472" i="1" s="1"/>
  <c r="AN1473" i="1"/>
  <c r="AO1473" i="1" s="1"/>
  <c r="AN1474" i="1"/>
  <c r="AO1474" i="1" s="1"/>
  <c r="AN1475" i="1"/>
  <c r="AO1475" i="1" s="1"/>
  <c r="AN1476" i="1"/>
  <c r="AO1476" i="1" s="1"/>
  <c r="AN1477" i="1"/>
  <c r="AO1477" i="1" s="1"/>
  <c r="AN1478" i="1"/>
  <c r="AO1478" i="1" s="1"/>
  <c r="AN1479" i="1"/>
  <c r="AO1479" i="1" s="1"/>
  <c r="AN1480" i="1"/>
  <c r="AO1480" i="1" s="1"/>
  <c r="AN1481" i="1"/>
  <c r="AO1481" i="1" s="1"/>
  <c r="AN1482" i="1"/>
  <c r="AO1482" i="1" s="1"/>
  <c r="AN1483" i="1"/>
  <c r="AO1483" i="1" s="1"/>
  <c r="AN1484" i="1"/>
  <c r="AO1484" i="1" s="1"/>
  <c r="AN1485" i="1"/>
  <c r="AO1485" i="1" s="1"/>
  <c r="AN1486" i="1"/>
  <c r="AO1486" i="1" s="1"/>
  <c r="AN1487" i="1"/>
  <c r="AO1487" i="1" s="1"/>
  <c r="AN1488" i="1"/>
  <c r="AO1488" i="1" s="1"/>
  <c r="AN1489" i="1"/>
  <c r="AO1489" i="1" s="1"/>
  <c r="AN1490" i="1"/>
  <c r="AO1490" i="1" s="1"/>
  <c r="AN1491" i="1"/>
  <c r="AO1491" i="1" s="1"/>
  <c r="AN1492" i="1"/>
  <c r="AO1492" i="1" s="1"/>
  <c r="AN1493" i="1"/>
  <c r="AO1493" i="1" s="1"/>
  <c r="AN1494" i="1"/>
  <c r="AO1494" i="1" s="1"/>
  <c r="AN1495" i="1"/>
  <c r="AO1495" i="1" s="1"/>
  <c r="AN1496" i="1"/>
  <c r="AO1496" i="1" s="1"/>
  <c r="AN1497" i="1"/>
  <c r="AO1497" i="1" s="1"/>
  <c r="AN1498" i="1"/>
  <c r="AO1498" i="1" s="1"/>
  <c r="AN1499" i="1"/>
  <c r="AO1499" i="1" s="1"/>
  <c r="AN1500" i="1"/>
  <c r="AO1500" i="1" s="1"/>
  <c r="AN1501" i="1"/>
  <c r="AO1501" i="1" s="1"/>
  <c r="AN1502" i="1"/>
  <c r="AO1502" i="1" s="1"/>
  <c r="AN1503" i="1"/>
  <c r="AO1503" i="1" s="1"/>
  <c r="AN1504" i="1"/>
  <c r="AO1504" i="1" s="1"/>
  <c r="AN1505" i="1"/>
  <c r="AO1505" i="1" s="1"/>
  <c r="AN1506" i="1"/>
  <c r="AO1506" i="1" s="1"/>
  <c r="AN1507" i="1"/>
  <c r="AO1507" i="1" s="1"/>
  <c r="AN1508" i="1"/>
  <c r="AO1508" i="1" s="1"/>
  <c r="AN1509" i="1"/>
  <c r="AO1509" i="1" s="1"/>
  <c r="AN1510" i="1"/>
  <c r="AO1510" i="1" s="1"/>
  <c r="AN1511" i="1"/>
  <c r="AO1511" i="1" s="1"/>
  <c r="AN1512" i="1"/>
  <c r="AO1512" i="1" s="1"/>
  <c r="AN1513" i="1"/>
  <c r="AO1513" i="1" s="1"/>
  <c r="AN1514" i="1"/>
  <c r="AO1514" i="1" s="1"/>
  <c r="AN1515" i="1"/>
  <c r="AO1515" i="1" s="1"/>
  <c r="AN1516" i="1"/>
  <c r="AO1516" i="1" s="1"/>
  <c r="AN1517" i="1"/>
  <c r="AO1517" i="1" s="1"/>
  <c r="AN1518" i="1"/>
  <c r="AO1518" i="1" s="1"/>
  <c r="AN1519" i="1"/>
  <c r="AO1519" i="1" s="1"/>
  <c r="AN1520" i="1"/>
  <c r="AO1520" i="1" s="1"/>
  <c r="AN1521" i="1"/>
  <c r="AO1521" i="1" s="1"/>
  <c r="AN1522" i="1"/>
  <c r="AO1522" i="1" s="1"/>
  <c r="AN1523" i="1"/>
  <c r="AO1523" i="1" s="1"/>
  <c r="AN1524" i="1"/>
  <c r="AO1524" i="1" s="1"/>
  <c r="AN1525" i="1"/>
  <c r="AO1525" i="1" s="1"/>
  <c r="AN1526" i="1"/>
  <c r="AO1526" i="1" s="1"/>
  <c r="AN1527" i="1"/>
  <c r="AO1527" i="1" s="1"/>
  <c r="AN1528" i="1"/>
  <c r="AO1528" i="1" s="1"/>
  <c r="AN1529" i="1"/>
  <c r="AO1529" i="1" s="1"/>
  <c r="AN1530" i="1"/>
  <c r="AO1530" i="1" s="1"/>
  <c r="AN1531" i="1"/>
  <c r="AO1531" i="1" s="1"/>
  <c r="AN1532" i="1"/>
  <c r="AO1532" i="1" s="1"/>
  <c r="AN1533" i="1"/>
  <c r="AO1533" i="1" s="1"/>
  <c r="AN1534" i="1"/>
  <c r="AO1534" i="1" s="1"/>
  <c r="AN1535" i="1"/>
  <c r="AO1535" i="1" s="1"/>
  <c r="AN1536" i="1"/>
  <c r="AO1536" i="1" s="1"/>
  <c r="AN1537" i="1"/>
  <c r="AO1537" i="1" s="1"/>
  <c r="AN1538" i="1"/>
  <c r="AO1538" i="1" s="1"/>
  <c r="AN1539" i="1"/>
  <c r="AO1539" i="1" s="1"/>
  <c r="AN1540" i="1"/>
  <c r="AO1540" i="1" s="1"/>
  <c r="AN1541" i="1"/>
  <c r="AO1541" i="1" s="1"/>
  <c r="AN1542" i="1"/>
  <c r="AO1542" i="1" s="1"/>
  <c r="AN1543" i="1"/>
  <c r="AO1543" i="1" s="1"/>
  <c r="AN1544" i="1"/>
  <c r="AO1544" i="1" s="1"/>
  <c r="AN1545" i="1"/>
  <c r="AO1545" i="1" s="1"/>
  <c r="AN1546" i="1"/>
  <c r="AO1546" i="1" s="1"/>
  <c r="AN1547" i="1"/>
  <c r="AO1547" i="1" s="1"/>
  <c r="AN1548" i="1"/>
  <c r="AO1548" i="1" s="1"/>
  <c r="AN1549" i="1"/>
  <c r="AO1549" i="1" s="1"/>
  <c r="AN1550" i="1"/>
  <c r="AO1550" i="1" s="1"/>
  <c r="AN1551" i="1"/>
  <c r="AO1551" i="1" s="1"/>
  <c r="AN1552" i="1"/>
  <c r="AO1552" i="1" s="1"/>
  <c r="AN1553" i="1"/>
  <c r="AO1553" i="1" s="1"/>
  <c r="AN1554" i="1"/>
  <c r="AO1554" i="1" s="1"/>
  <c r="AN1555" i="1"/>
  <c r="AO1555" i="1" s="1"/>
  <c r="AN1556" i="1"/>
  <c r="AO1556" i="1" s="1"/>
  <c r="AN1557" i="1"/>
  <c r="AO1557" i="1" s="1"/>
  <c r="AN1558" i="1"/>
  <c r="AO1558" i="1" s="1"/>
  <c r="AN1559" i="1"/>
  <c r="AO1559" i="1" s="1"/>
  <c r="AN1560" i="1"/>
  <c r="AO1560" i="1" s="1"/>
  <c r="AN1561" i="1"/>
  <c r="AO1561" i="1" s="1"/>
  <c r="AN1562" i="1"/>
  <c r="AO1562" i="1" s="1"/>
  <c r="AN1563" i="1"/>
  <c r="AO1563" i="1" s="1"/>
  <c r="AN1564" i="1"/>
  <c r="AO1564" i="1" s="1"/>
  <c r="AN1565" i="1"/>
  <c r="AO1565" i="1" s="1"/>
  <c r="AN1566" i="1"/>
  <c r="AO1566" i="1" s="1"/>
  <c r="AN1567" i="1"/>
  <c r="AO1567" i="1" s="1"/>
  <c r="AN1568" i="1"/>
  <c r="AO1568" i="1" s="1"/>
  <c r="AN1569" i="1"/>
  <c r="AO1569" i="1" s="1"/>
  <c r="AN1570" i="1"/>
  <c r="AO1570" i="1" s="1"/>
  <c r="AN1571" i="1"/>
  <c r="AO1571" i="1" s="1"/>
  <c r="AN1572" i="1"/>
  <c r="AO1572" i="1" s="1"/>
  <c r="AN1573" i="1"/>
  <c r="AO1573" i="1" s="1"/>
  <c r="AN1574" i="1"/>
  <c r="AO1574" i="1" s="1"/>
  <c r="AN1575" i="1"/>
  <c r="AO1575" i="1" s="1"/>
  <c r="AN1576" i="1"/>
  <c r="AO1576" i="1" s="1"/>
  <c r="AN1577" i="1"/>
  <c r="AO1577" i="1" s="1"/>
  <c r="AN1578" i="1"/>
  <c r="AO1578" i="1" s="1"/>
  <c r="AN1579" i="1"/>
  <c r="AO1579" i="1" s="1"/>
  <c r="AN1580" i="1"/>
  <c r="AO1580" i="1" s="1"/>
  <c r="AN1581" i="1"/>
  <c r="AO1581" i="1" s="1"/>
  <c r="AN1582" i="1"/>
  <c r="AO1582" i="1" s="1"/>
  <c r="AN1583" i="1"/>
  <c r="AO1583" i="1" s="1"/>
  <c r="AN1584" i="1"/>
  <c r="AO1584" i="1" s="1"/>
  <c r="AN1585" i="1"/>
  <c r="AO1585" i="1" s="1"/>
  <c r="AN1586" i="1"/>
  <c r="AO1586" i="1" s="1"/>
  <c r="AN1587" i="1"/>
  <c r="AO1587" i="1" s="1"/>
  <c r="AN1588" i="1"/>
  <c r="AO1588" i="1" s="1"/>
  <c r="AN1589" i="1"/>
  <c r="AO1589" i="1" s="1"/>
  <c r="AN1590" i="1"/>
  <c r="AO1590" i="1" s="1"/>
  <c r="AN1591" i="1"/>
  <c r="AO1591" i="1" s="1"/>
  <c r="AN1592" i="1"/>
  <c r="AO1592" i="1" s="1"/>
  <c r="AN1593" i="1"/>
  <c r="AO1593" i="1" s="1"/>
  <c r="AN1594" i="1"/>
  <c r="AO1594" i="1" s="1"/>
  <c r="AN1595" i="1"/>
  <c r="AO1595" i="1" s="1"/>
  <c r="AN1596" i="1"/>
  <c r="AO1596" i="1" s="1"/>
  <c r="AN1597" i="1"/>
  <c r="AO1597" i="1" s="1"/>
  <c r="AN1598" i="1"/>
  <c r="AO1598" i="1" s="1"/>
  <c r="AN1599" i="1"/>
  <c r="AO1599" i="1" s="1"/>
  <c r="AN1600" i="1"/>
  <c r="AO1600" i="1" s="1"/>
  <c r="AN1601" i="1"/>
  <c r="AO1601" i="1" s="1"/>
  <c r="AN1602" i="1"/>
  <c r="AO1602" i="1" s="1"/>
  <c r="AN1603" i="1"/>
  <c r="AO1603" i="1" s="1"/>
  <c r="AN1604" i="1"/>
  <c r="AO1604" i="1" s="1"/>
  <c r="AN1605" i="1"/>
  <c r="AO1605" i="1" s="1"/>
  <c r="AN1606" i="1"/>
  <c r="AO1606" i="1" s="1"/>
  <c r="AN1607" i="1"/>
  <c r="AO1607" i="1" s="1"/>
  <c r="AN1608" i="1"/>
  <c r="AO1608" i="1" s="1"/>
  <c r="AN1609" i="1"/>
  <c r="AO1609" i="1" s="1"/>
  <c r="AN1610" i="1"/>
  <c r="AO1610" i="1" s="1"/>
  <c r="AN1611" i="1"/>
  <c r="AO1611" i="1" s="1"/>
  <c r="AN1612" i="1"/>
  <c r="AO1612" i="1" s="1"/>
  <c r="AN1613" i="1"/>
  <c r="AO1613" i="1" s="1"/>
  <c r="AN1614" i="1"/>
  <c r="AO1614" i="1" s="1"/>
  <c r="AN1615" i="1"/>
  <c r="AO1615" i="1" s="1"/>
  <c r="AN1616" i="1"/>
  <c r="AO1616" i="1" s="1"/>
  <c r="AN1617" i="1"/>
  <c r="AO1617" i="1" s="1"/>
  <c r="AN1618" i="1"/>
  <c r="AO1618" i="1" s="1"/>
  <c r="AN1619" i="1"/>
  <c r="AO1619" i="1" s="1"/>
  <c r="AN1620" i="1"/>
  <c r="AO1620" i="1" s="1"/>
  <c r="AN1621" i="1"/>
  <c r="AO1621" i="1" s="1"/>
  <c r="AN1622" i="1"/>
  <c r="AO1622" i="1" s="1"/>
  <c r="AN1623" i="1"/>
  <c r="AO1623" i="1" s="1"/>
  <c r="AN1624" i="1"/>
  <c r="AO1624" i="1" s="1"/>
  <c r="AN1625" i="1"/>
  <c r="AO1625" i="1" s="1"/>
  <c r="AN1626" i="1"/>
  <c r="AO1626" i="1" s="1"/>
  <c r="AN2" i="1"/>
  <c r="AO2" i="1" s="1"/>
  <c r="M6" i="3" l="1"/>
  <c r="O15" i="3"/>
  <c r="O7" i="3"/>
  <c r="O16" i="3"/>
  <c r="O8" i="3"/>
  <c r="O19" i="3"/>
  <c r="M17" i="3"/>
  <c r="O11" i="3"/>
  <c r="O18" i="3"/>
  <c r="O10" i="3"/>
  <c r="M13" i="3"/>
  <c r="M9" i="3"/>
  <c r="M18" i="3"/>
  <c r="M14" i="3"/>
  <c r="O12" i="3"/>
  <c r="M10" i="3"/>
  <c r="M19" i="3"/>
  <c r="O17" i="3"/>
  <c r="M15" i="3"/>
  <c r="O13" i="3"/>
  <c r="M11" i="3"/>
  <c r="O9" i="3"/>
  <c r="M7" i="3"/>
  <c r="M16" i="3"/>
  <c r="O14" i="3"/>
  <c r="M12" i="3"/>
  <c r="M8" i="3"/>
  <c r="O6" i="3"/>
  <c r="N13" i="3"/>
  <c r="N14" i="3"/>
  <c r="N15" i="3"/>
  <c r="N18" i="3"/>
  <c r="N10" i="3"/>
  <c r="N17" i="3"/>
  <c r="N9" i="3"/>
  <c r="N7" i="3"/>
  <c r="N6" i="3"/>
  <c r="N16" i="3"/>
  <c r="N12" i="3"/>
  <c r="N8" i="3"/>
  <c r="N19" i="3"/>
  <c r="N11"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<sst xmlns="http://schemas.openxmlformats.org/spreadsheetml/2006/main" count="4803" uniqueCount="362">
  <si>
    <t>AGENT_NAME</t>
  </si>
  <si>
    <t>CALL_DATE</t>
  </si>
  <si>
    <t>UNIQUE_ACCNTS</t>
  </si>
  <si>
    <t>TOTAL_DIALS</t>
  </si>
  <si>
    <t>PAYMENT_DISPO</t>
  </si>
  <si>
    <t>PTP_DISPO</t>
  </si>
  <si>
    <t>RPC_DISPO</t>
  </si>
  <si>
    <t>SETTLEMENT_DISPO</t>
  </si>
  <si>
    <t>THIRD_PARTY_DISPO</t>
  </si>
  <si>
    <t>NOT_ANSWERED_DISPO</t>
  </si>
  <si>
    <t>CLEAN_AGENT_NAME</t>
  </si>
  <si>
    <t>AGENT_GROUP</t>
  </si>
  <si>
    <t>FIRST_LOGIN_TIME</t>
  </si>
  <si>
    <t>LAST_LOGOUT_TIME</t>
  </si>
  <si>
    <t>LOGGED_IN_HOURS</t>
  </si>
  <si>
    <t>TOTAL_TRACKED_HOURS</t>
  </si>
  <si>
    <t>CALL_TIME_HOURS</t>
  </si>
  <si>
    <t>EMAIL_TIME_HOURS</t>
  </si>
  <si>
    <t>SMS_TIME_HOURS</t>
  </si>
  <si>
    <t>WRAP_TIME_HOURS</t>
  </si>
  <si>
    <t>IDLE_TIME_HOURS</t>
  </si>
  <si>
    <t>BREAK_LUNCH_HOURS</t>
  </si>
  <si>
    <t>MEETING_TRAINING_HOURS</t>
  </si>
  <si>
    <t>RESEARCH_TASK_HOURS</t>
  </si>
  <si>
    <t>TECH_SYSTEM_HOURS</t>
  </si>
  <si>
    <t>OTHER_TIME_HOURS</t>
  </si>
  <si>
    <t>SUM_ALL_ACTIVITIES_HOURS</t>
  </si>
  <si>
    <t>CALL_TIME_PCT</t>
  </si>
  <si>
    <t>EMAIL_TIME_PCT</t>
  </si>
  <si>
    <t>SMS_TIME_PCT</t>
  </si>
  <si>
    <t>WRAP_TIME_PCT</t>
  </si>
  <si>
    <t>IDLE_TIME_PCT</t>
  </si>
  <si>
    <t>BREAK_LUNCH_PCT</t>
  </si>
  <si>
    <t>MEETING_TRAINING_PCT</t>
  </si>
  <si>
    <t>RESEARCH_TASK_PCT</t>
  </si>
  <si>
    <t>TECH_SYSTEM_PCT</t>
  </si>
  <si>
    <t>OTHER_TIME_PCT</t>
  </si>
  <si>
    <t>Anais Orozco</t>
  </si>
  <si>
    <t>Collections Group</t>
  </si>
  <si>
    <t>Derice Warnsley</t>
  </si>
  <si>
    <t>Isiah Thomas</t>
  </si>
  <si>
    <t>Jerrod Coleman</t>
  </si>
  <si>
    <t>Rosette Rwabugahya</t>
  </si>
  <si>
    <t>Sabigh Masood</t>
  </si>
  <si>
    <t>Rakesh Rajendran</t>
  </si>
  <si>
    <t>Mohd Ashfaq</t>
  </si>
  <si>
    <t>Vamshi Kandukuri</t>
  </si>
  <si>
    <t>Taylor Singer</t>
  </si>
  <si>
    <t>Michelle Bynum</t>
  </si>
  <si>
    <t>Tiffany Lane-Allen</t>
  </si>
  <si>
    <t>Rahul Bodaballa</t>
  </si>
  <si>
    <t>Mudassir Ahmed</t>
  </si>
  <si>
    <t>Candace Smith</t>
  </si>
  <si>
    <t>Alisha McGee</t>
  </si>
  <si>
    <t>Mohsin bin Moosa</t>
  </si>
  <si>
    <t>Jam Henderson</t>
  </si>
  <si>
    <t>Fantina Mullet</t>
  </si>
  <si>
    <t>Grand Total</t>
  </si>
  <si>
    <t>Sum of UNIQUE_ACCNTS</t>
  </si>
  <si>
    <t>Call_day</t>
  </si>
  <si>
    <t>week_day</t>
  </si>
  <si>
    <t>Sunday</t>
  </si>
  <si>
    <t>Monday</t>
  </si>
  <si>
    <t>Tuesday</t>
  </si>
  <si>
    <t>Wednesday</t>
  </si>
  <si>
    <t>Thursday</t>
  </si>
  <si>
    <t>Friday</t>
  </si>
  <si>
    <t>Saturday</t>
  </si>
  <si>
    <t>(blank)</t>
  </si>
  <si>
    <t>Sum of Total Contacted</t>
  </si>
  <si>
    <t>Average of TOTAL_TRACKED_HOURS</t>
  </si>
  <si>
    <t>(Multiple Items)</t>
  </si>
  <si>
    <t>Average of CALL_TIME_HOURS</t>
  </si>
  <si>
    <t>Average of EMAIL_TIME_HOURS</t>
  </si>
  <si>
    <t>Average of WRAP_TIME_HOURS</t>
  </si>
  <si>
    <t>Average of MEETING_TRAINING_HOURS</t>
  </si>
  <si>
    <t>Average of BREAK_LUNCH_HOURS</t>
  </si>
  <si>
    <t>Average of IDLE_TIME_HOURS</t>
  </si>
  <si>
    <t>Call_month</t>
  </si>
  <si>
    <t>Total Dials</t>
  </si>
  <si>
    <t xml:space="preserve">Total Connected </t>
  </si>
  <si>
    <t>Avg Prod Hrs</t>
  </si>
  <si>
    <t>Call Hrs</t>
  </si>
  <si>
    <t>Email Hrs</t>
  </si>
  <si>
    <t>Wrap Hrs</t>
  </si>
  <si>
    <t>Meeting Hrs</t>
  </si>
  <si>
    <t>Break hrs</t>
  </si>
  <si>
    <t>Idle Hrs</t>
  </si>
  <si>
    <t>Occupancy %age</t>
  </si>
  <si>
    <t>Idle %age</t>
  </si>
  <si>
    <t>Monthly Agent Efficiency</t>
  </si>
  <si>
    <t>STATE</t>
  </si>
  <si>
    <t>REASON_CODE</t>
  </si>
  <si>
    <t>Logout</t>
  </si>
  <si>
    <t>Meal</t>
  </si>
  <si>
    <t>Not Ready</t>
  </si>
  <si>
    <t>Ready</t>
  </si>
  <si>
    <t>Break</t>
  </si>
  <si>
    <t>On Hold</t>
  </si>
  <si>
    <t>Forced</t>
  </si>
  <si>
    <t>Login</t>
  </si>
  <si>
    <t>On Voicemail</t>
  </si>
  <si>
    <t>Training</t>
  </si>
  <si>
    <t>Outbound Calls - Manual</t>
  </si>
  <si>
    <t>System</t>
  </si>
  <si>
    <t>Appointment</t>
  </si>
  <si>
    <t>Meeting</t>
  </si>
  <si>
    <t>Tech Issues</t>
  </si>
  <si>
    <t>Extended Research</t>
  </si>
  <si>
    <t>Wrap-Up</t>
  </si>
  <si>
    <t>SMS</t>
  </si>
  <si>
    <t>On Call</t>
  </si>
  <si>
    <t>After Call Work</t>
  </si>
  <si>
    <t>DID Ringing</t>
  </si>
  <si>
    <t>On Park</t>
  </si>
  <si>
    <t>Task Completion</t>
  </si>
  <si>
    <t>No Reason</t>
  </si>
  <si>
    <t>Team Meeting</t>
  </si>
  <si>
    <t>Email</t>
  </si>
  <si>
    <t>Ringing</t>
  </si>
  <si>
    <t>End Shift</t>
  </si>
  <si>
    <t>Lunch</t>
  </si>
  <si>
    <t>Break %age</t>
  </si>
  <si>
    <t xml:space="preserve">with </t>
  </si>
  <si>
    <t>call_data_five_nine as</t>
  </si>
  <si>
    <t>(</t>
  </si>
  <si>
    <t xml:space="preserve">Select </t>
  </si>
  <si>
    <t>FBBID,</t>
  </si>
  <si>
    <t>Date_time_call,</t>
  </si>
  <si>
    <t>DISPOSITION,</t>
  </si>
  <si>
    <t>AGENT_NAME,</t>
  </si>
  <si>
    <t>AGENT_GROUP,</t>
  </si>
  <si>
    <t>DPD_BUCKET</t>
  </si>
  <si>
    <t>from analytics.credit.v_five9_call_log</t>
  </si>
  <si>
    <t xml:space="preserve">where </t>
  </si>
  <si>
    <t>date(date_time_call) &gt;= '2025-01-01'</t>
  </si>
  <si>
    <t xml:space="preserve">and (agent_group = 'Collections Group' </t>
  </si>
  <si>
    <t>or (campaign in ('Collections - 1-2 OB',</t>
  </si>
  <si>
    <t>'Collections - 3-12 OB',</t>
  </si>
  <si>
    <t>'Collections - 14 plus OB',</t>
  </si>
  <si>
    <t>'Collections - Broken PTP OB',</t>
  </si>
  <si>
    <t>'Collections - Missed Payment Priority OB')))</t>
  </si>
  <si>
    <t>and fbbid is not null</t>
  </si>
  <si>
    <t>qualify row_number() over(partition by fbbid, date_time_call,agent_name,disposition,DPD_bucket order by date_time_call) = 1</t>
  </si>
  <si>
    <t>)</t>
  </si>
  <si>
    <t>-- order by Date_time_call desc;</t>
  </si>
  <si>
    <t>-- Select top 10* from call_data_five_nine;</t>
  </si>
  <si>
    <t>,</t>
  </si>
  <si>
    <t>call_data_salesforce</t>
  </si>
  <si>
    <t xml:space="preserve">as </t>
  </si>
  <si>
    <t>select</t>
  </si>
  <si>
    <t>case when fundbox_id__c = 'Not Linked' then 0 else TRY_TO_NUMBER(fundbox_id__c) end as Fbbid_2,</t>
  </si>
  <si>
    <t>lastmodifieddate,</t>
  </si>
  <si>
    <t>calltype,</t>
  </si>
  <si>
    <t>calldisposition,</t>
  </si>
  <si>
    <t>null as DPD_bucket2,</t>
  </si>
  <si>
    <t>ASSIGNEE_NAME__C as agent_name2,</t>
  </si>
  <si>
    <t>role_id_name__c as agent_group2</t>
  </si>
  <si>
    <t>from external_data_sources.salesforce_nova.task</t>
  </si>
  <si>
    <t>where date(lastmodifieddate) &gt;= '2025-01-01' and TRY_TO_NUMBER(fundbox_id__c) is not null</t>
  </si>
  <si>
    <t>and ROLE_ID_NAME__C in ('ER agent','Collections Manager')</t>
  </si>
  <si>
    <t>--Select * from call_data_salesforce where fbbid_2 = '2713809' order by lastmodifieddate desc;</t>
  </si>
  <si>
    <t>--Select * from call_data_salesforce where date(lastmodifieddate) = '2026-02-04';</t>
  </si>
  <si>
    <t>-- select top 10* from call_data_salesforce;</t>
  </si>
  <si>
    <t>--select * from external_data_sources.salesforce_nova.task where fundbox_id__c = '2713809'order by lastmodifieddate desc;</t>
  </si>
  <si>
    <t>,all_calls as</t>
  </si>
  <si>
    <t>select a.*,</t>
  </si>
  <si>
    <t xml:space="preserve">b.* </t>
  </si>
  <si>
    <t>from call_data_five_nine a</t>
  </si>
  <si>
    <t>full outer join call_data_salesforce b</t>
  </si>
  <si>
    <t xml:space="preserve">on a.fbbid = b.fbbid_2 </t>
  </si>
  <si>
    <t>and date(a.date_time_call) = date(b.lastmodifieddate)</t>
  </si>
  <si>
    <t>dialing_data as</t>
  </si>
  <si>
    <t>select coalesce(fbbid,fbbid_2) as fbbid,</t>
  </si>
  <si>
    <t>coalesce(date(date_time_call),date(lastmodifieddate)) as call_date,</t>
  </si>
  <si>
    <t>coalesce(dpd_bucket,dpd_bucket2) as dpd_bucket,</t>
  </si>
  <si>
    <t>case when (disposition ilike '%Payment%' or calldisposition ilike '%payment%') then 1 else 0 end as payment_flag,</t>
  </si>
  <si>
    <t>case when (disposition ilike '%Promise to Pay%' or calldisposition ilike '%Promise to Pay%') then 1 else 0 end as PTP_flag,</t>
  </si>
  <si>
    <t>case when (disposition ilike '%RPC%' or calldisposition ilike '%RPC%') then 1 else 0 end as RPC_flag,</t>
  </si>
  <si>
    <t>case when (disposition ilike '%Settlement Accepted%' or calldisposition ilike '%Settlement Accepted%') then 1 else 0 end as Settlement_flag,</t>
  </si>
  <si>
    <t>case when (disposition ilike '%Third Party%' or calldisposition ilike '%Third Party%') then 1 else 0 end as third_party_flag,</t>
  </si>
  <si>
    <t>case when (agent_name is not null and disposition ilike '%not answer%' and calldisposition not in ('Payment','Promise to Pay','RPC','Settlement Accepted','Third Party')) then 1 else 0 end as not_answer_contacted,</t>
  </si>
  <si>
    <t>disposition,</t>
  </si>
  <si>
    <t>coalesce(agent_name,agent_name2) as agent_name</t>
  </si>
  <si>
    <t>from all_calls</t>
  </si>
  <si>
    <t xml:space="preserve">-- select * from dialing_data where call_date ='2026-02-04' </t>
  </si>
  <si>
    <t>-- and agent_name is null and rpc_flag = 1;</t>
  </si>
  <si>
    <t>,agent_level as</t>
  </si>
  <si>
    <t xml:space="preserve">select </t>
  </si>
  <si>
    <t>agent_name,</t>
  </si>
  <si>
    <t>call_date,</t>
  </si>
  <si>
    <t>-- DPD_bucket,</t>
  </si>
  <si>
    <t>count(distinct FBBID) as unique_accnts,</t>
  </si>
  <si>
    <t>sum(case when agent_name is not null then 1 else 0 end) as total_dials,</t>
  </si>
  <si>
    <t>sum(payment_flag) as Payment_dispo,</t>
  </si>
  <si>
    <t>sum(PTP_flag) as PTP_dispo,</t>
  </si>
  <si>
    <t>sum(RPC_flag) as RPC_dispo,</t>
  </si>
  <si>
    <t>sum(Settlement_flag) as settlement_dispo,</t>
  </si>
  <si>
    <t>sum(Third_party_flag) as third_Party_dispo,</t>
  </si>
  <si>
    <t>sum(not_answer_contacted) as not_answered_dispo</t>
  </si>
  <si>
    <t>from dialing_data</t>
  </si>
  <si>
    <t>group by all</t>
  </si>
  <si>
    <t>-- select min(call_date) from agent_level;</t>
  </si>
  <si>
    <t>-- order by call_date desc,agent_name;</t>
  </si>
  <si>
    <t>,RawData AS (</t>
  </si>
  <si>
    <t xml:space="preserve">    SELECT </t>
  </si>
  <si>
    <t xml:space="preserve">        REPLACE(A._DATA:"AGENT", '"', '') AS AGENT_EMAIL,</t>
  </si>
  <si>
    <t xml:space="preserve">        REPLACE(A._DATA:"AGENT GROUP", '"', '') AS AGENT_GROUP,</t>
  </si>
  <si>
    <t xml:space="preserve">        REPLACE(A._DATA:"AGENT ID", '"', '') AS AGENT_ID,</t>
  </si>
  <si>
    <t xml:space="preserve">        REPLACE(A._DATA:"DATE", '"', '') AS CALL_DATE,</t>
  </si>
  <si>
    <t xml:space="preserve">        REPLACE(A._DATA:"TIME", '"', '') AS EVENT_TIME, </t>
  </si>
  <si>
    <t xml:space="preserve">        REPLACE(A._DATA:"STATE", '"', '') AS STATE,</t>
  </si>
  <si>
    <t xml:space="preserve">        REPLACE(A._DATA:"REASON CODE", '"', '') AS REASON_CODE,</t>
  </si>
  <si>
    <t xml:space="preserve">        REPLACE(A._DATA:"AGENT STATE TIME", '"', '') AS STATE_DURATION_RAW,</t>
  </si>
  <si>
    <t xml:space="preserve">        </t>
  </si>
  <si>
    <t xml:space="preserve">        -- Use SPLIT_PART to safely grab numbers between colons</t>
  </si>
  <si>
    <t xml:space="preserve">        -- Example: '01:30:45' -&gt; Part 1 is '01', Part 2 is '30', Part 3 is '45'</t>
  </si>
  <si>
    <t xml:space="preserve">        TRY_CAST(SPLIT_PART(REPLACE(A._DATA:"AGENT STATE TIME", '"', ''), ':', 1) AS INT) AS HOURS,</t>
  </si>
  <si>
    <t xml:space="preserve">        TRY_CAST(SPLIT_PART(REPLACE(A._DATA:"AGENT STATE TIME", '"', ''), ':', 2) AS INT) AS MINUTES,</t>
  </si>
  <si>
    <t xml:space="preserve">        TRY_CAST(SPLIT_PART(REPLACE(A._DATA:"AGENT STATE TIME", '"', ''), ':', 3) AS INT) AS SECONDS,</t>
  </si>
  <si>
    <t xml:space="preserve">        CASE </t>
  </si>
  <si>
    <t xml:space="preserve">            WHEN B.AGENT_NAME IN ('Mohsin Bin </t>
  </si>
  <si>
    <t xml:space="preserve">            ', 'Mohsin Bin Moosa') THEN 'Mohsin bin Moosa'</t>
  </si>
  <si>
    <t xml:space="preserve">            WHEN B.AGENT_NAME = 'Tiffany Lewis' THEN 'Bahari Lewis'</t>
  </si>
  <si>
    <t xml:space="preserve">            ELSE B.AGENT_NAME </t>
  </si>
  <si>
    <t xml:space="preserve">        END AS CLEAN_AGENT_NAME,</t>
  </si>
  <si>
    <t xml:space="preserve">        -- Safe Time Calculation to decimal minutes</t>
  </si>
  <si>
    <t xml:space="preserve">        (TRY_CAST(SPLIT_PART(REPLACE(A._DATA:"AGENT STATE TIME", '"', ''), ':', 1) AS INT) * 60) +</t>
  </si>
  <si>
    <t xml:space="preserve">        TRY_CAST(SPLIT_PART(REPLACE(A._DATA:"AGENT STATE TIME", '"', ''), ':', 2) AS INT) +</t>
  </si>
  <si>
    <t xml:space="preserve">        (TRY_CAST(SPLIT_PART(REPLACE(A._DATA:"AGENT STATE TIME", '"', ''), ':', 3) AS INT) / 60) AS DURATION_MINS</t>
  </si>
  <si>
    <t xml:space="preserve">    FROM ANALYTICS.CREDIT.FIVE9_AGENT_DETAILS_REPORT A</t>
  </si>
  <si>
    <t xml:space="preserve">    JOIN ANALYTICS.CREDIT.V_FIVE9_AGENT_INFO B</t>
  </si>
  <si>
    <t xml:space="preserve">        ON REPLACE(A._DATA:"AGENT ID", '"', '') = B.AGENT_ID</t>
  </si>
  <si>
    <t xml:space="preserve">    WHERE REPLACE(A._DATA:"TIME", '"', '') &lt;&gt; '00:00:00'</t>
  </si>
  <si>
    <t>),</t>
  </si>
  <si>
    <t>agent_data_time as</t>
  </si>
  <si>
    <t xml:space="preserve">SELECT </t>
  </si>
  <si>
    <t xml:space="preserve">    CLEAN_AGENT_NAME,</t>
  </si>
  <si>
    <t xml:space="preserve">    AGENT_EMAIL,</t>
  </si>
  <si>
    <t xml:space="preserve">    AGENT_GROUP,</t>
  </si>
  <si>
    <t xml:space="preserve">    to_date(CALL_DATE,'YYYY/MM/DD') as call_date,</t>
  </si>
  <si>
    <t xml:space="preserve">    EVENT_TIME,</t>
  </si>
  <si>
    <t xml:space="preserve">    STATE,</t>
  </si>
  <si>
    <t xml:space="preserve">    REASON_CODE,</t>
  </si>
  <si>
    <t xml:space="preserve">    STATE_DURATION_RAW,</t>
  </si>
  <si>
    <t xml:space="preserve">    DURATION_MINS,</t>
  </si>
  <si>
    <t xml:space="preserve">    -- IFNULL handles cases where a part might be missing (like '00:00')</t>
  </si>
  <si>
    <t xml:space="preserve">    (IFNULL(HOURS, 0) * 60) + IFNULL(MINUTES, 0) + (IFNULL(SECONDS, 0) / 60) AS TOTAL_MINUTES</t>
  </si>
  <si>
    <t>FROM RawData</t>
  </si>
  <si>
    <t>where agent_group = 'Collections Group'</t>
  </si>
  <si>
    <t>-- where clean_agent_name in ('Anais Orozco') and call_date = '2026/02/04'</t>
  </si>
  <si>
    <t>-- order by call_date desc,event_time,CLEAN_AGENT_NAME desc, state, reason_code;</t>
  </si>
  <si>
    <t>-- CTE 3: Calculate login duration (first login to last logout)</t>
  </si>
  <si>
    <t>login_hours AS (</t>
  </si>
  <si>
    <t xml:space="preserve">        CLEAN_AGENT_NAME,</t>
  </si>
  <si>
    <t xml:space="preserve">        AGENT_GROUP,</t>
  </si>
  <si>
    <t xml:space="preserve">        CALL_DATE,</t>
  </si>
  <si>
    <t xml:space="preserve">        MIN(EVENT_TIME) AS FIRST_LOGIN_TIME,</t>
  </si>
  <si>
    <t xml:space="preserve">        MAX(CASE WHEN STATE = 'Logout' THEN EVENT_TIME END) AS LAST_LOGOUT_TIME,</t>
  </si>
  <si>
    <t xml:space="preserve">        -- Calculate logged in hours (difference between first login and last logout)</t>
  </si>
  <si>
    <t xml:space="preserve">        TIMEDIFF(</t>
  </si>
  <si>
    <t xml:space="preserve">            'minute',</t>
  </si>
  <si>
    <t xml:space="preserve">            TRY_TO_TIME(MIN(EVENT_TIME)),</t>
  </si>
  <si>
    <t xml:space="preserve">            TRY_TO_TIME(MAX(CASE WHEN STATE = 'Logout' THEN EVENT_TIME END))</t>
  </si>
  <si>
    <t xml:space="preserve">        ) AS LOGGED_IN_MINS</t>
  </si>
  <si>
    <t xml:space="preserve">    FROM agent_data_time</t>
  </si>
  <si>
    <t xml:space="preserve">    GROUP BY CLEAN_AGENT_NAME, AGENT_GROUP, CALL_DATE</t>
  </si>
  <si>
    <t>-- CTE 4: Calculate activity durations (all categories to sum to total time)</t>
  </si>
  <si>
    <t>activity_metrics AS (</t>
  </si>
  <si>
    <t xml:space="preserve">        -- 1. Call Time: On Call, On Hold, On Park, On Voicemail, DID Ringing, Ringing, OR (Not Ready + Outbound Calls - Manual)</t>
  </si>
  <si>
    <t xml:space="preserve">        SUM(CASE </t>
  </si>
  <si>
    <t xml:space="preserve">            WHEN STATE IN ('On Call', /*'On Hold',*/ 'On Park', 'On Voicemail', 'DID Ringing', 'Ringing') </t>
  </si>
  <si>
    <t xml:space="preserve">                 OR (STATE = 'Not Ready' AND REASON_CODE = 'Outbound Calls - Manual')</t>
  </si>
  <si>
    <t xml:space="preserve">            THEN DURATION_MINS ELSE 0 </t>
  </si>
  <si>
    <t xml:space="preserve">        END) AS CALL_TIME_MINS,</t>
  </si>
  <si>
    <t xml:space="preserve">        -- 2. Email Time: Not Ready + Email</t>
  </si>
  <si>
    <t xml:space="preserve">            WHEN STATE = 'Not Ready' AND REASON_CODE = 'Email'</t>
  </si>
  <si>
    <t xml:space="preserve">        END) AS EMAIL_TIME_MINS,</t>
  </si>
  <si>
    <t xml:space="preserve">        -- 3. SMS Time: Not Ready + SMS</t>
  </si>
  <si>
    <t xml:space="preserve">            WHEN STATE = 'Not Ready' AND REASON_CODE = 'SMS'</t>
  </si>
  <si>
    <t xml:space="preserve">        END) AS SMS_TIME_MINS,</t>
  </si>
  <si>
    <t xml:space="preserve">        -- 4. Wrap Time: After Call Work OR (Not Ready + Wrap-Up)</t>
  </si>
  <si>
    <t xml:space="preserve">            WHEN STATE = 'After Call Work' </t>
  </si>
  <si>
    <t xml:space="preserve">                 OR (STATE = 'Not Ready' AND REASON_CODE = 'Wrap-Up')</t>
  </si>
  <si>
    <t xml:space="preserve">        END) AS WRAP_TIME_MINS,</t>
  </si>
  <si>
    <t xml:space="preserve">        -- 5. Idle Time: Ready state (available but not on call)</t>
  </si>
  <si>
    <t xml:space="preserve">            WHEN STATE = 'Ready'</t>
  </si>
  <si>
    <t xml:space="preserve">        END) AS IDLE_TIME_MINS,</t>
  </si>
  <si>
    <t xml:space="preserve">        -- 6. Break/Lunch Time: Not Ready + (Break, Lunch)</t>
  </si>
  <si>
    <t xml:space="preserve">            WHEN STATE = 'Not Ready' AND REASON_CODE IN ('Break', 'Lunch')</t>
  </si>
  <si>
    <t xml:space="preserve">        END) AS BREAK_LUNCH_MINS,</t>
  </si>
  <si>
    <t xml:space="preserve">        -- 7. Meeting/Training Time: Not Ready + (Meeting, Team Meeting, Training, Appointment)</t>
  </si>
  <si>
    <t xml:space="preserve">            WHEN STATE = 'Not Ready' AND REASON_CODE IN ('Meeting', 'Team Meeting', 'Training', 'Appointment')</t>
  </si>
  <si>
    <t xml:space="preserve">        END) AS MEETING_TRAINING_MINS,</t>
  </si>
  <si>
    <t xml:space="preserve">        -- 8. Research/Task Time: Not Ready + (Extended Research, Task Completion)</t>
  </si>
  <si>
    <t xml:space="preserve">            WHEN STATE = 'Not Ready' AND REASON_CODE IN ('Extended Research', 'Task Completion')</t>
  </si>
  <si>
    <t xml:space="preserve">        END) AS RESEARCH_TASK_MINS,</t>
  </si>
  <si>
    <t xml:space="preserve">        -- 9. Tech Issues/System Time: Not Ready + (Tech Issues, System, Forced)</t>
  </si>
  <si>
    <t xml:space="preserve">            WHEN STATE = 'Not Ready' AND REASON_CODE IN ('Tech Issues', 'System', 'Forced')</t>
  </si>
  <si>
    <t xml:space="preserve">        END) AS TECH_SYSTEM_MINS,</t>
  </si>
  <si>
    <t xml:space="preserve">        -- 10. Other Time: Login, Not Ready with (No Reason, Not Ready, blank)</t>
  </si>
  <si>
    <t xml:space="preserve">        SUM(CASE when</t>
  </si>
  <si>
    <t xml:space="preserve">                 (STATE = 'Not Ready' AND (REASON_CODE IN ('No Reason', 'Not Ready') OR REASON_CODE IS NULL OR REASON_CODE = ''))</t>
  </si>
  <si>
    <t xml:space="preserve">        END) AS OTHER_TIME_MINS,</t>
  </si>
  <si>
    <t xml:space="preserve">        -- Total tracked time (excluding Logout)</t>
  </si>
  <si>
    <t xml:space="preserve">            WHEN STATE not in ('Logout','Login','On Hold')</t>
  </si>
  <si>
    <t xml:space="preserve">        END) AS TOTAL_TRACKED_MINS</t>
  </si>
  <si>
    <t>,agent_data_time_2 as</t>
  </si>
  <si>
    <t xml:space="preserve">(SELECT </t>
  </si>
  <si>
    <t xml:space="preserve">    l.CLEAN_AGENT_NAME,</t>
  </si>
  <si>
    <t xml:space="preserve">    l.AGENT_GROUP,</t>
  </si>
  <si>
    <t xml:space="preserve">    l.CALL_DATE,</t>
  </si>
  <si>
    <t xml:space="preserve">    </t>
  </si>
  <si>
    <t xml:space="preserve">    -- Login Information</t>
  </si>
  <si>
    <t xml:space="preserve">    l.FIRST_LOGIN_TIME,</t>
  </si>
  <si>
    <t xml:space="preserve">    l.LAST_LOGOUT_TIME,</t>
  </si>
  <si>
    <t xml:space="preserve">    ROUND(l.LOGGED_IN_MINS / 60, 2) AS LOGGED_IN_HOURS,</t>
  </si>
  <si>
    <t xml:space="preserve">    ROUND(a.TOTAL_TRACKED_MINS / 60, 2) AS TOTAL_TRACKED_HOURS,</t>
  </si>
  <si>
    <t xml:space="preserve">    -- Activity Breakdown (in hours)</t>
  </si>
  <si>
    <t xml:space="preserve">    ROUND(a.CALL_TIME_MINS / 60, 2) AS CALL_TIME_HOURS,</t>
  </si>
  <si>
    <t xml:space="preserve">    ROUND(a.EMAIL_TIME_MINS / 60, 2) AS EMAIL_TIME_HOURS,</t>
  </si>
  <si>
    <t xml:space="preserve">    ROUND(a.SMS_TIME_MINS / 60, 2) AS SMS_TIME_HOURS,</t>
  </si>
  <si>
    <t xml:space="preserve">    ROUND(a.WRAP_TIME_MINS / 60, 2) AS WRAP_TIME_HOURS,</t>
  </si>
  <si>
    <t xml:space="preserve">    ROUND(a.IDLE_TIME_MINS / 60, 2) AS IDLE_TIME_HOURS,</t>
  </si>
  <si>
    <t xml:space="preserve">    ROUND(a.BREAK_LUNCH_MINS / 60, 2) AS BREAK_LUNCH_HOURS,</t>
  </si>
  <si>
    <t xml:space="preserve">    ROUND(a.MEETING_TRAINING_MINS / 60, 2) AS MEETING_TRAINING_HOURS,</t>
  </si>
  <si>
    <t xml:space="preserve">    ROUND(a.RESEARCH_TASK_MINS / 60, 2) AS RESEARCH_TASK_HOURS,</t>
  </si>
  <si>
    <t xml:space="preserve">    ROUND(a.TECH_SYSTEM_MINS / 60, 2) AS TECH_SYSTEM_HOURS,</t>
  </si>
  <si>
    <t xml:space="preserve">    ROUND(a.OTHER_TIME_MINS / 60, 2) AS OTHER_TIME_HOURS,</t>
  </si>
  <si>
    <t xml:space="preserve">    -- Verification: Sum of all activities should equal Total Tracked Time</t>
  </si>
  <si>
    <t xml:space="preserve">    ROUND((a.CALL_TIME_MINS + a.EMAIL_TIME_MINS + a.SMS_TIME_MINS + a.WRAP_TIME_MINS + </t>
  </si>
  <si>
    <t xml:space="preserve">           a.IDLE_TIME_MINS + a.BREAK_LUNCH_MINS + a.MEETING_TRAINING_MINS + </t>
  </si>
  <si>
    <t xml:space="preserve">           a.RESEARCH_TASK_MINS + a.TECH_SYSTEM_MINS + a.OTHER_TIME_MINS) / 60, 2) AS SUM_ALL_ACTIVITIES_HOURS,</t>
  </si>
  <si>
    <t xml:space="preserve">    -- Efficiency Percentages (based on total tracked time)</t>
  </si>
  <si>
    <t xml:space="preserve">    ROUND((a.CALL_TIME_MINS / NULLIF(a.TOTAL_TRACKED_MINS, 0)) * 100, 2) AS CALL_TIME_PCT,</t>
  </si>
  <si>
    <t xml:space="preserve">    ROUND((a.EMAIL_TIME_MINS / NULLIF(a.TOTAL_TRACKED_MINS, 0)) * 100, 2) AS EMAIL_TIME_PCT,</t>
  </si>
  <si>
    <t xml:space="preserve">    ROUND((a.SMS_TIME_MINS / NULLIF(a.TOTAL_TRACKED_MINS, 0)) * 100, 2) AS SMS_TIME_PCT,</t>
  </si>
  <si>
    <t xml:space="preserve">    ROUND((a.WRAP_TIME_MINS / NULLIF(a.TOTAL_TRACKED_MINS, 0)) * 100, 2) AS WRAP_TIME_PCT,</t>
  </si>
  <si>
    <t xml:space="preserve">    ROUND((a.IDLE_TIME_MINS / NULLIF(a.TOTAL_TRACKED_MINS, 0)) * 100, 2) AS IDLE_TIME_PCT,</t>
  </si>
  <si>
    <t xml:space="preserve">    ROUND((a.BREAK_LUNCH_MINS / NULLIF(a.TOTAL_TRACKED_MINS, 0)) * 100, 2) AS BREAK_LUNCH_PCT,</t>
  </si>
  <si>
    <t xml:space="preserve">    ROUND((a.MEETING_TRAINING_MINS / NULLIF(a.TOTAL_TRACKED_MINS, 0)) * 100, 2) AS MEETING_TRAINING_PCT,</t>
  </si>
  <si>
    <t xml:space="preserve">    ROUND((a.RESEARCH_TASK_MINS / NULLIF(a.TOTAL_TRACKED_MINS, 0)) * 100, 2) AS RESEARCH_TASK_PCT,</t>
  </si>
  <si>
    <t xml:space="preserve">    ROUND((a.TECH_SYSTEM_MINS / NULLIF(a.TOTAL_TRACKED_MINS, 0)) * 100, 2) AS TECH_SYSTEM_PCT,</t>
  </si>
  <si>
    <t xml:space="preserve">    ROUND((a.OTHER_TIME_MINS / NULLIF(a.TOTAL_TRACKED_MINS, 0)) * 100, 2) AS OTHER_TIME_PCT</t>
  </si>
  <si>
    <t>FROM login_hours l</t>
  </si>
  <si>
    <t>JOIN activity_metrics a</t>
  </si>
  <si>
    <t xml:space="preserve">    ON l.CLEAN_AGENT_NAME = a.CLEAN_AGENT_NAME</t>
  </si>
  <si>
    <t xml:space="preserve">    AND l.CALL_DATE = a.CALL_DATE</t>
  </si>
  <si>
    <t>ORDER BY l.CALL_DATE DESC, l.CLEAN_AGENT_NAME</t>
  </si>
  <si>
    <t>b.*</t>
  </si>
  <si>
    <t>from agent_level a</t>
  </si>
  <si>
    <t>left join agent_data_time_2 b</t>
  </si>
  <si>
    <t xml:space="preserve">on a.agent_name = b.CLEAN_AGENT_NAME </t>
  </si>
  <si>
    <t>and a.call_date = b.call_date</t>
  </si>
  <si>
    <t>order by a.call_date desc, agent_name</t>
  </si>
  <si>
    <t>Call hrs</t>
  </si>
  <si>
    <t>State</t>
  </si>
  <si>
    <t>Metrics</t>
  </si>
  <si>
    <t>Reason</t>
  </si>
  <si>
    <t>Tech Issue</t>
  </si>
  <si>
    <t>Wrap up</t>
  </si>
  <si>
    <t>Break Hrs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</si>
</sst>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5" x14ac:knownFonts="1">
    <font>
      <sz val="12"/>
      <color theme="1"/>
      <name val="Aptos Narrow"/>
      <family val="2"/>
      <scheme val="minor"/>
    </font>
    <font>
      <sz val="12"/>
      <color theme="1"/>
      <name val="Aptos Narrow"/>
      <family val="2"/>
      <scheme val="minor"/>
    </font>
    <font>
      <b/>
      <sz val="12"/>
      <color theme="1"/>
      <name val="Aptos Narrow"/>
      <scheme val="minor"/>
    </font>
    <font>
      <b/>
      <i/>
      <sz val="12"/>
      <color theme="1"/>
      <name val="Aptos Narrow"/>
      <scheme val="minor"/>
    </font>
    <font>
      <sz val="12"/>
      <color theme="1"/>
      <name val="Aptos Narrow"/>
      <scheme val="minor"/>
    </font>
  </fonts>
  <fills count="3">
    <fill>
      <patternFill patternType="none"/>
    </fill>
    <fill>
      <patternFill patternType="gray125"/>
    </fill>
    <fill>
      <patternFill patternType="solid">
        <fgColor rgb="FFFFC000"/>
        <bgColor indexed="64"/>
      </patternFill>
    </fill>
  </fills>
  <borders count="14">
    <border>
      <left/>
      <right/>
      <top/>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30">
    <xf numFmtId="0" fontId="0" fillId="0" borderId="0" xfId="0"/>
    <xf numFmtId="14" fontId="0" fillId="0" borderId="0" xfId="0" applyNumberFormat="1"/>
    <xf numFmtId="21" fontId="0" fillId="0" borderId="0" xfId="0" applyNumberFormat="1"/>
    <xf numFmtId="0" fontId="0" fillId="0" borderId="0" xfId="0" pivotButton="1"/>
    <xf numFmtId="43" fontId="0" fillId="0" borderId="0" xfId="0" applyNumberFormat="1"/>
    <xf numFmtId="0" fontId="2" fillId="0" borderId="1" xfId="0" applyFont="1" applyBorder="1" applyAlignment="1">
      <alignment horizontal="center" vertical="center"/>
    </xf>
    <xf numFmtId="0" fontId="2" fillId="0" borderId="2" xfId="0" applyFont="1" applyBorder="1" applyAlignment="1">
      <alignment horizontal="center" vertical="center"/>
    </xf>
    <xf numFmtId="14" fontId="0" fillId="0" borderId="4" xfId="0" applyNumberFormat="1" applyBorder="1" applyAlignment="1">
      <alignment horizontal="center" vertical="center"/>
    </xf>
    <xf numFmtId="0" fontId="0" fillId="0" borderId="5" xfId="0" applyBorder="1" applyAlignment="1">
      <alignment horizontal="center" vertical="center"/>
    </xf>
    <xf numFmtId="43" fontId="0" fillId="0" borderId="5" xfId="0" applyNumberFormat="1" applyBorder="1" applyAlignment="1">
      <alignment horizontal="center" vertical="center"/>
    </xf>
    <xf numFmtId="14" fontId="0" fillId="0" borderId="7" xfId="0" applyNumberFormat="1" applyBorder="1" applyAlignment="1">
      <alignment horizontal="center" vertical="center"/>
    </xf>
    <xf numFmtId="0" fontId="0" fillId="0" borderId="8" xfId="0" applyBorder="1" applyAlignment="1">
      <alignment horizontal="center" vertical="center"/>
    </xf>
    <xf numFmtId="43" fontId="0" fillId="0" borderId="8" xfId="0" applyNumberFormat="1" applyBorder="1" applyAlignment="1">
      <alignment horizontal="center" vertical="center"/>
    </xf>
    <xf numFmtId="9" fontId="0" fillId="0" borderId="0" xfId="1" applyFont="1"/>
    <xf numFmtId="0" fontId="2" fillId="0" borderId="3" xfId="0" applyFont="1" applyBorder="1" applyAlignment="1">
      <alignment horizontal="center" vertical="center"/>
    </xf>
    <xf numFmtId="9" fontId="0" fillId="0" borderId="5" xfId="1" applyFont="1" applyBorder="1"/>
    <xf numFmtId="9" fontId="0" fillId="0" borderId="8" xfId="1" applyFont="1" applyBorder="1"/>
    <xf numFmtId="9" fontId="0" fillId="0" borderId="6" xfId="0" applyNumberFormat="1" applyBorder="1"/>
    <xf numFmtId="9" fontId="0" fillId="0" borderId="9" xfId="0" applyNumberFormat="1" applyBorder="1"/>
    <xf numFmtId="0" fontId="3" fillId="2" borderId="10" xfId="0" applyFont="1" applyFill="1" applyBorder="1" applyAlignment="1">
      <alignment horizontal="center"/>
    </xf>
    <xf numFmtId="0" fontId="3" fillId="2" borderId="11" xfId="0" applyFont="1" applyFill="1" applyBorder="1" applyAlignment="1">
      <alignment horizontal="center"/>
    </xf>
    <xf numFmtId="0" fontId="3" fillId="2" borderId="12" xfId="0" applyFont="1" applyFill="1" applyBorder="1" applyAlignment="1">
      <alignment horizontal="center"/>
    </xf>
    <xf numFmtId="0" fontId="4" fillId="0" borderId="13" xfId="0" applyFont="1" applyBorder="1" applyAlignment="1">
      <alignment horizontal="center" vertical="center"/>
    </xf>
    <xf numFmtId="0" fontId="4" fillId="0" borderId="13" xfId="0" applyFont="1" applyBorder="1"/>
    <xf numFmtId="0" fontId="0" fillId="0" borderId="13" xfId="0" applyBorder="1"/>
    <xf numFmtId="0" fontId="4" fillId="0" borderId="13" xfId="0" applyFont="1" applyFill="1" applyBorder="1"/>
    <xf numFmtId="0" fontId="0" fillId="0" borderId="13" xfId="0" applyFill="1" applyBorder="1"/>
    <xf numFmtId="0" fontId="2" fillId="0" borderId="13" xfId="0" applyFont="1" applyBorder="1"/>
    <xf numFmtId="0" fontId="0" fillId="0" borderId="13" xfId="0" applyBorder="1" applyAlignment="1">
      <alignment horizontal="center" vertical="center"/>
    </xf>
    <xf numFmtId="0" fontId="4" fillId="0" borderId="13" xfId="0" applyFont="1" applyFill="1" applyBorder="1" applyAlignment="1">
      <alignment horizontal="center" vertical="center"/>
    </xf>
  </cellXfs>
  <cellStyles count="2">
    <cellStyle name="Normal" xfId="0" builtinId="0"/>
    <cellStyle name="Per cent" xfId="1" builtinId="5"/>
  </cellStyles>
  <dxfs count="6">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15</xdr:col>
      <xdr:colOff>368300</xdr:colOff>
      <xdr:row>3</xdr:row>
      <xdr:rowOff>190500</xdr:rowOff>
    </xdr:from>
    <xdr:to>
      <xdr:col>19</xdr:col>
      <xdr:colOff>241300</xdr:colOff>
      <xdr:row>19</xdr:row>
      <xdr:rowOff>152400</xdr:rowOff>
    </xdr:to>
    <mc:AlternateContent xmlns:mc="http://schemas.openxmlformats.org/markup-compatibility/2006" xmlns:a14="http://schemas.microsoft.com/office/drawing/2010/main">
      <mc:Choice Requires="a14">
        <xdr:graphicFrame macro="">
          <xdr:nvGraphicFramePr>
            <xdr:cNvPr id="2" name="AGENT_NAME">
              <a:extLst>
                <a:ext uri="{FF2B5EF4-FFF2-40B4-BE49-F238E27FC236}">
                  <a16:creationId xmlns:a16="http://schemas.microsoft.com/office/drawing/2014/main" id="{8561DCC8-3DD2-1E4E-809B-21794E0C391A}"/>
                </a:ext>
              </a:extLst>
            </xdr:cNvPr>
            <xdr:cNvGraphicFramePr/>
          </xdr:nvGraphicFramePr>
          <xdr:xfrm>
            <a:off x="0" y="0"/>
            <a:ext cx="0" cy="0"/>
          </xdr:xfrm>
          <a:graphic>
            <a:graphicData uri="http://schemas.microsoft.com/office/drawing/2010/slicer">
              <sle:slicer xmlns:sle="http://schemas.microsoft.com/office/drawing/2010/slicer" name="AGENT_NAME"/>
            </a:graphicData>
          </a:graphic>
        </xdr:graphicFrame>
      </mc:Choice>
      <mc:Fallback xmlns="">
        <xdr:sp macro="" textlink="">
          <xdr:nvSpPr>
            <xdr:cNvPr id="0" name=""/>
            <xdr:cNvSpPr>
              <a:spLocks noTextEdit="1"/>
            </xdr:cNvSpPr>
          </xdr:nvSpPr>
          <xdr:spPr>
            <a:xfrm>
              <a:off x="12166600" y="800100"/>
              <a:ext cx="3175000" cy="32131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ish Kumar" refreshedDate="46058.772526851855" createdVersion="8" refreshedVersion="8" minRefreshableVersion="3" recordCount="1627" xr:uid="{83882046-9DBD-8740-BDE5-48C212588026}">
  <cacheSource type="worksheet">
    <worksheetSource ref="A1:AO1048576" sheet="Data"/>
  </cacheSource>
  <cacheFields count="42">
    <cacheField name="AGENT_NAME" numFmtId="0">
      <sharedItems containsBlank="1" count="20">
        <s v="Anais Orozco"/>
        <s v="Derice Warnsley"/>
        <s v="Isiah Thomas"/>
        <s v="Jerrod Coleman"/>
        <s v="Rosette Rwabugahya"/>
        <s v="Sabigh Masood"/>
        <m/>
        <s v="Rakesh Rajendran"/>
        <s v="Mohd Ashfaq"/>
        <s v="Vamshi Kandukuri"/>
        <s v="Taylor Singer"/>
        <s v="Michelle Bynum"/>
        <s v="Tiffany Lane-Allen"/>
        <s v="Rahul Bodaballa"/>
        <s v="Mudassir Ahmed"/>
        <s v="Candace Smith"/>
        <s v="Alisha McGee"/>
        <s v="Mohsin bin Moosa"/>
        <s v="Jam Henderson"/>
        <s v="Fantina Mullet"/>
      </sharedItems>
    </cacheField>
    <cacheField name="CALL_DATE" numFmtId="0">
      <sharedItems containsNonDate="0" containsDate="1" containsString="0" containsBlank="1" minDate="2025-01-02T00:00:00" maxDate="2026-02-05T00:00:00" count="273">
        <d v="2026-02-04T00:00:00"/>
        <d v="2026-02-03T00:00:00"/>
        <d v="2026-02-02T00:00:00"/>
        <d v="2026-01-30T00:00:00"/>
        <d v="2026-01-29T00:00:00"/>
        <d v="2026-01-28T00:00:00"/>
        <d v="2026-01-27T00:00:00"/>
        <d v="2026-01-26T00:00:00"/>
        <d v="2026-01-23T00:00:00"/>
        <d v="2026-01-22T00:00:00"/>
        <d v="2026-01-21T00:00:00"/>
        <d v="2026-01-20T00:00:00"/>
        <d v="2026-01-16T00:00:00"/>
        <d v="2026-01-15T00:00:00"/>
        <d v="2026-01-14T00:00:00"/>
        <d v="2026-01-13T00:00:00"/>
        <d v="2026-01-12T00:00:00"/>
        <d v="2026-01-09T00:00:00"/>
        <d v="2026-01-08T00:00:00"/>
        <d v="2026-01-07T00:00:00"/>
        <d v="2026-01-06T00:00:00"/>
        <d v="2026-01-05T00:00:00"/>
        <d v="2026-01-02T00:00:00"/>
        <d v="2025-12-30T00:00:00"/>
        <d v="2025-12-29T00:00:00"/>
        <d v="2025-12-23T00:00:00"/>
        <d v="2025-12-22T00:00:00"/>
        <d v="2025-12-19T00:00:00"/>
        <d v="2025-12-18T00:00:00"/>
        <d v="2025-12-17T00:00:00"/>
        <d v="2025-12-16T00:00:00"/>
        <d v="2025-12-15T00:00:00"/>
        <d v="2025-12-12T00:00:00"/>
        <d v="2025-12-11T00:00:00"/>
        <d v="2025-12-10T00:00:00"/>
        <d v="2025-12-09T00:00:00"/>
        <d v="2025-12-08T00:00:00"/>
        <d v="2025-12-05T00:00:00"/>
        <d v="2025-12-04T00:00:00"/>
        <d v="2025-12-03T00:00:00"/>
        <d v="2025-12-02T00:00:00"/>
        <d v="2025-12-01T00:00:00"/>
        <d v="2025-11-26T00:00:00"/>
        <d v="2025-11-25T00:00:00"/>
        <d v="2025-11-24T00:00:00"/>
        <d v="2025-11-21T00:00:00"/>
        <d v="2025-11-20T00:00:00"/>
        <d v="2025-11-19T00:00:00"/>
        <d v="2025-11-18T00:00:00"/>
        <d v="2025-11-17T00:00:00"/>
        <d v="2025-11-14T00:00:00"/>
        <d v="2025-11-13T00:00:00"/>
        <d v="2025-11-12T00:00:00"/>
        <d v="2025-11-11T00:00:00"/>
        <d v="2025-11-10T00:00:00"/>
        <d v="2025-11-07T00:00:00"/>
        <d v="2025-11-06T00:00:00"/>
        <d v="2025-11-05T00:00:00"/>
        <d v="2025-11-04T00:00:00"/>
        <d v="2025-11-03T00:00:00"/>
        <d v="2025-10-31T00:00:00"/>
        <d v="2025-10-30T00:00:00"/>
        <d v="2025-10-29T00:00:00"/>
        <d v="2025-10-28T00:00:00"/>
        <d v="2025-10-27T00:00:00"/>
        <d v="2025-10-24T00:00:00"/>
        <d v="2025-10-23T00:00:00"/>
        <d v="2025-10-22T00:00:00"/>
        <d v="2025-10-21T00:00:00"/>
        <d v="2025-10-20T00:00:00"/>
        <d v="2025-10-17T00:00:00"/>
        <d v="2025-10-16T00:00:00"/>
        <d v="2025-10-15T00:00:00"/>
        <d v="2025-10-14T00:00:00"/>
        <d v="2025-10-13T00:00:00"/>
        <d v="2025-10-10T00:00:00"/>
        <d v="2025-10-09T00:00:00"/>
        <d v="2025-10-08T00:00:00"/>
        <d v="2025-10-07T00:00:00"/>
        <d v="2025-10-06T00:00:00"/>
        <d v="2025-10-04T00:00:00"/>
        <d v="2025-10-03T00:00:00"/>
        <d v="2025-10-02T00:00:00"/>
        <d v="2025-10-01T00:00:00"/>
        <d v="2025-09-30T00:00:00"/>
        <d v="2025-09-29T00:00:00"/>
        <d v="2025-09-26T00:00:00"/>
        <d v="2025-09-25T00:00:00"/>
        <d v="2025-09-24T00:00:00"/>
        <d v="2025-09-23T00:00:00"/>
        <d v="2025-09-22T00:00:00"/>
        <d v="2025-09-19T00:00:00"/>
        <d v="2025-09-18T00:00:00"/>
        <d v="2025-09-17T00:00:00"/>
        <d v="2025-09-16T00:00:00"/>
        <d v="2025-09-15T00:00:00"/>
        <d v="2025-09-12T00:00:00"/>
        <d v="2025-09-11T00:00:00"/>
        <d v="2025-09-10T00:00:00"/>
        <d v="2025-09-09T00:00:00"/>
        <d v="2025-09-08T00:00:00"/>
        <d v="2025-09-05T00:00:00"/>
        <d v="2025-09-04T00:00:00"/>
        <d v="2025-09-03T00:00:00"/>
        <d v="2025-09-02T00:00:00"/>
        <d v="2025-08-29T00:00:00"/>
        <d v="2025-08-28T00:00:00"/>
        <d v="2025-08-27T00:00:00"/>
        <d v="2025-08-26T00:00:00"/>
        <d v="2025-08-25T00:00:00"/>
        <d v="2025-08-22T00:00:00"/>
        <d v="2025-08-21T00:00:00"/>
        <d v="2025-08-20T00:00:00"/>
        <d v="2025-08-19T00:00:00"/>
        <d v="2025-08-18T00:00:00"/>
        <d v="2025-08-15T00:00:00"/>
        <d v="2025-08-14T00:00:00"/>
        <d v="2025-08-13T00:00:00"/>
        <d v="2025-08-12T00:00:00"/>
        <d v="2025-08-11T00:00:00"/>
        <d v="2025-08-08T00:00:00"/>
        <d v="2025-08-07T00:00:00"/>
        <d v="2025-08-06T00:00:00"/>
        <d v="2025-08-05T00:00:00"/>
        <d v="2025-08-04T00:00:00"/>
        <d v="2025-08-01T00:00:00"/>
        <d v="2025-07-31T00:00:00"/>
        <d v="2025-07-30T00:00:00"/>
        <d v="2025-07-29T00:00:00"/>
        <d v="2025-07-28T00:00:00"/>
        <d v="2025-07-25T00:00:00"/>
        <d v="2025-07-24T00:00:00"/>
        <d v="2025-07-23T00:00:00"/>
        <d v="2025-07-22T00:00:00"/>
        <d v="2025-07-21T00:00:00"/>
        <d v="2025-07-18T00:00:00"/>
        <d v="2025-07-17T00:00:00"/>
        <d v="2025-07-16T00:00:00"/>
        <d v="2025-07-15T00:00:00"/>
        <d v="2025-07-14T00:00:00"/>
        <d v="2025-07-11T00:00:00"/>
        <d v="2025-07-10T00:00:00"/>
        <d v="2025-07-09T00:00:00"/>
        <d v="2025-07-08T00:00:00"/>
        <d v="2025-07-07T00:00:00"/>
        <d v="2025-07-03T00:00:00"/>
        <d v="2025-07-02T00:00:00"/>
        <d v="2025-07-01T00:00:00"/>
        <d v="2025-06-30T00:00:00"/>
        <d v="2025-06-27T00:00:00"/>
        <d v="2025-06-26T00:00:00"/>
        <d v="2025-06-25T00:00:00"/>
        <d v="2025-06-24T00:00:00"/>
        <d v="2025-06-23T00:00:00"/>
        <d v="2025-06-20T00:00:00"/>
        <d v="2025-06-18T00:00:00"/>
        <d v="2025-06-17T00:00:00"/>
        <d v="2025-06-16T00:00:00"/>
        <d v="2025-06-13T00:00:00"/>
        <d v="2025-06-12T00:00:00"/>
        <d v="2025-06-11T00:00:00"/>
        <d v="2025-06-10T00:00:00"/>
        <d v="2025-06-09T00:00:00"/>
        <d v="2025-06-06T00:00:00"/>
        <d v="2025-06-05T00:00:00"/>
        <d v="2025-06-04T00:00:00"/>
        <d v="2025-06-03T00:00:00"/>
        <d v="2025-06-02T00:00:00"/>
        <d v="2025-05-30T00:00:00"/>
        <d v="2025-05-29T00:00:00"/>
        <d v="2025-05-28T00:00:00"/>
        <d v="2025-05-27T00:00:00"/>
        <d v="2025-05-23T00:00:00"/>
        <d v="2025-05-22T00:00:00"/>
        <d v="2025-05-21T00:00:00"/>
        <d v="2025-05-20T00:00:00"/>
        <d v="2025-05-19T00:00:00"/>
        <d v="2025-05-16T00:00:00"/>
        <d v="2025-05-15T00:00:00"/>
        <d v="2025-05-14T00:00:00"/>
        <d v="2025-05-13T00:00:00"/>
        <d v="2025-05-12T00:00:00"/>
        <d v="2025-05-09T00:00:00"/>
        <d v="2025-05-08T00:00:00"/>
        <d v="2025-05-07T00:00:00"/>
        <d v="2025-05-06T00:00:00"/>
        <d v="2025-05-05T00:00:00"/>
        <d v="2025-05-02T00:00:00"/>
        <d v="2025-05-01T00:00:00"/>
        <d v="2025-04-30T00:00:00"/>
        <d v="2025-04-29T00:00:00"/>
        <d v="2025-04-28T00:00:00"/>
        <d v="2025-04-25T00:00:00"/>
        <d v="2025-04-24T00:00:00"/>
        <d v="2025-04-23T00:00:00"/>
        <d v="2025-04-22T00:00:00"/>
        <d v="2025-04-21T00:00:00"/>
        <d v="2025-04-18T00:00:00"/>
        <d v="2025-04-17T00:00:00"/>
        <d v="2025-04-16T00:00:00"/>
        <d v="2025-04-15T00:00:00"/>
        <d v="2025-04-14T00:00:00"/>
        <d v="2025-04-11T00:00:00"/>
        <d v="2025-04-10T00:00:00"/>
        <d v="2025-04-09T00:00:00"/>
        <d v="2025-04-08T00:00:00"/>
        <d v="2025-04-07T00:00:00"/>
        <d v="2025-04-04T00:00:00"/>
        <d v="2025-04-03T00:00:00"/>
        <d v="2025-04-02T00:00:00"/>
        <d v="2025-04-01T00:00:00"/>
        <d v="2025-03-31T00:00:00"/>
        <d v="2025-03-28T00:00:00"/>
        <d v="2025-03-27T00:00:00"/>
        <d v="2025-03-26T00:00:00"/>
        <d v="2025-03-25T00:00:00"/>
        <d v="2025-03-24T00:00:00"/>
        <d v="2025-03-21T00:00:00"/>
        <d v="2025-03-20T00:00:00"/>
        <d v="2025-03-19T00:00:00"/>
        <d v="2025-03-18T00:00:00"/>
        <d v="2025-03-17T00:00:00"/>
        <d v="2025-03-14T00:00:00"/>
        <d v="2025-03-13T00:00:00"/>
        <d v="2025-03-12T00:00:00"/>
        <d v="2025-03-11T00:00:00"/>
        <d v="2025-03-10T00:00:00"/>
        <d v="2025-03-07T00:00:00"/>
        <d v="2025-03-06T00:00:00"/>
        <d v="2025-03-05T00:00:00"/>
        <d v="2025-03-04T00:00:00"/>
        <d v="2025-03-03T00:00:00"/>
        <d v="2025-02-28T00:00:00"/>
        <d v="2025-02-27T00:00:00"/>
        <d v="2025-02-26T00:00:00"/>
        <d v="2025-02-25T00:00:00"/>
        <d v="2025-02-24T00:00:00"/>
        <d v="2025-02-21T00:00:00"/>
        <d v="2025-02-20T00:00:00"/>
        <d v="2025-02-19T00:00:00"/>
        <d v="2025-02-18T00:00:00"/>
        <d v="2025-02-14T00:00:00"/>
        <d v="2025-02-13T00:00:00"/>
        <d v="2025-02-12T00:00:00"/>
        <d v="2025-02-11T00:00:00"/>
        <d v="2025-02-10T00:00:00"/>
        <d v="2025-02-07T00:00:00"/>
        <d v="2025-02-06T00:00:00"/>
        <d v="2025-02-05T00:00:00"/>
        <d v="2025-02-04T00:00:00"/>
        <d v="2025-02-03T00:00:00"/>
        <d v="2025-01-31T00:00:00"/>
        <d v="2025-01-30T00:00:00"/>
        <d v="2025-01-29T00:00:00"/>
        <d v="2025-01-28T00:00:00"/>
        <d v="2025-01-27T00:00:00"/>
        <d v="2025-01-24T00:00:00"/>
        <d v="2025-01-23T00:00:00"/>
        <d v="2025-01-22T00:00:00"/>
        <d v="2025-01-21T00:00:00"/>
        <d v="2025-01-17T00:00:00"/>
        <d v="2025-01-16T00:00:00"/>
        <d v="2025-01-15T00:00:00"/>
        <d v="2025-01-14T00:00:00"/>
        <d v="2025-01-13T00:00:00"/>
        <d v="2025-01-10T00:00:00"/>
        <d v="2025-01-09T00:00:00"/>
        <d v="2025-01-08T00:00:00"/>
        <d v="2025-01-07T00:00:00"/>
        <d v="2025-01-06T00:00:00"/>
        <d v="2025-01-03T00:00:00"/>
        <d v="2025-01-02T00:00:00"/>
        <m/>
      </sharedItems>
    </cacheField>
    <cacheField name="Call_month" numFmtId="0">
      <sharedItems containsNonDate="0" containsDate="1" containsString="0" containsBlank="1" minDate="2025-01-31T00:00:00" maxDate="2026-03-01T00:00:00" count="15">
        <d v="2026-02-28T00:00:00"/>
        <d v="2026-01-31T00:00:00"/>
        <d v="2025-12-31T00:00:00"/>
        <d v="2025-11-30T00:00:00"/>
        <d v="2025-10-31T00:00:00"/>
        <d v="2025-09-30T00:00:00"/>
        <d v="2025-08-31T00:00:00"/>
        <d v="2025-07-31T00:00:00"/>
        <d v="2025-06-30T00:00:00"/>
        <d v="2025-05-31T00:00:00"/>
        <d v="2025-04-30T00:00:00"/>
        <d v="2025-03-31T00:00:00"/>
        <d v="2025-02-28T00:00:00"/>
        <d v="2025-01-31T00:00:00"/>
        <m/>
      </sharedItems>
    </cacheField>
    <cacheField name="UNIQUE_ACCNTS" numFmtId="0">
      <sharedItems containsString="0" containsBlank="1" containsNumber="1" containsInteger="1" minValue="1" maxValue="1412" count="336">
        <n v="52"/>
        <n v="65"/>
        <n v="67"/>
        <n v="2"/>
        <n v="63"/>
        <n v="1307"/>
        <n v="55"/>
        <n v="70"/>
        <n v="62"/>
        <n v="59"/>
        <n v="1412"/>
        <n v="83"/>
        <n v="68"/>
        <n v="1"/>
        <n v="78"/>
        <n v="1191"/>
        <n v="54"/>
        <n v="77"/>
        <n v="34"/>
        <n v="48"/>
        <n v="1231"/>
        <n v="36"/>
        <n v="73"/>
        <n v="44"/>
        <n v="16"/>
        <n v="66"/>
        <n v="1312"/>
        <n v="58"/>
        <n v="76"/>
        <n v="71"/>
        <n v="1305"/>
        <n v="45"/>
        <n v="56"/>
        <n v="60"/>
        <n v="53"/>
        <n v="1209"/>
        <n v="82"/>
        <n v="64"/>
        <n v="49"/>
        <n v="40"/>
        <n v="42"/>
        <n v="51"/>
        <n v="39"/>
        <n v="1147"/>
        <n v="69"/>
        <n v="84"/>
        <n v="1369"/>
        <n v="85"/>
        <n v="95"/>
        <n v="81"/>
        <n v="75"/>
        <n v="37"/>
        <n v="31"/>
        <n v="43"/>
        <n v="808"/>
        <n v="72"/>
        <n v="35"/>
        <n v="1188"/>
        <n v="1286"/>
        <n v="57"/>
        <n v="1171"/>
        <n v="47"/>
        <n v="99"/>
        <n v="98"/>
        <n v="33"/>
        <n v="50"/>
        <n v="61"/>
        <n v="1237"/>
        <n v="46"/>
        <n v="29"/>
        <n v="1201"/>
        <n v="93"/>
        <n v="875"/>
        <n v="20"/>
        <n v="19"/>
        <n v="30"/>
        <n v="17"/>
        <n v="1033"/>
        <n v="41"/>
        <n v="1178"/>
        <n v="1105"/>
        <n v="1181"/>
        <n v="1009"/>
        <n v="1136"/>
        <n v="1104"/>
        <n v="1086"/>
        <n v="1196"/>
        <n v="1017"/>
        <n v="1113"/>
        <n v="32"/>
        <n v="26"/>
        <n v="1069"/>
        <n v="1065"/>
        <n v="1101"/>
        <n v="74"/>
        <n v="1068"/>
        <n v="1019"/>
        <n v="1175"/>
        <n v="1021"/>
        <n v="38"/>
        <n v="1118"/>
        <n v="995"/>
        <n v="1092"/>
        <n v="1014"/>
        <n v="22"/>
        <n v="1039"/>
        <n v="1119"/>
        <n v="1186"/>
        <n v="25"/>
        <n v="21"/>
        <n v="23"/>
        <n v="437"/>
        <n v="10"/>
        <n v="24"/>
        <n v="13"/>
        <n v="392"/>
        <n v="28"/>
        <n v="400"/>
        <n v="27"/>
        <n v="406"/>
        <n v="18"/>
        <n v="14"/>
        <n v="371"/>
        <n v="455"/>
        <n v="457"/>
        <n v="119"/>
        <n v="106"/>
        <n v="684"/>
        <n v="87"/>
        <n v="102"/>
        <n v="352"/>
        <n v="103"/>
        <n v="138"/>
        <n v="114"/>
        <n v="529"/>
        <n v="450"/>
        <n v="451"/>
        <n v="109"/>
        <n v="107"/>
        <n v="390"/>
        <n v="143"/>
        <n v="96"/>
        <n v="92"/>
        <n v="100"/>
        <n v="441"/>
        <n v="458"/>
        <n v="461"/>
        <n v="12"/>
        <n v="475"/>
        <n v="108"/>
        <n v="88"/>
        <n v="331"/>
        <n v="90"/>
        <n v="380"/>
        <n v="11"/>
        <n v="464"/>
        <n v="86"/>
        <n v="122"/>
        <n v="105"/>
        <n v="362"/>
        <n v="148"/>
        <n v="370"/>
        <n v="110"/>
        <n v="94"/>
        <n v="113"/>
        <n v="373"/>
        <n v="445"/>
        <n v="111"/>
        <n v="6"/>
        <n v="360"/>
        <n v="112"/>
        <n v="133"/>
        <n v="120"/>
        <n v="354"/>
        <n v="141"/>
        <n v="91"/>
        <n v="146"/>
        <n v="361"/>
        <n v="15"/>
        <n v="312"/>
        <n v="453"/>
        <n v="116"/>
        <n v="124"/>
        <n v="115"/>
        <n v="353"/>
        <n v="125"/>
        <n v="123"/>
        <n v="408"/>
        <n v="127"/>
        <n v="384"/>
        <n v="7"/>
        <n v="462"/>
        <n v="478"/>
        <n v="487"/>
        <n v="466"/>
        <n v="472"/>
        <n v="480"/>
        <n v="427"/>
        <n v="454"/>
        <n v="476"/>
        <n v="440"/>
        <n v="446"/>
        <n v="449"/>
        <n v="459"/>
        <n v="465"/>
        <n v="422"/>
        <n v="430"/>
        <n v="452"/>
        <n v="467"/>
        <n v="506"/>
        <n v="463"/>
        <n v="3"/>
        <n v="495"/>
        <n v="9"/>
        <n v="511"/>
        <n v="505"/>
        <n v="473"/>
        <n v="492"/>
        <n v="499"/>
        <n v="514"/>
        <n v="519"/>
        <n v="8"/>
        <n v="488"/>
        <n v="503"/>
        <n v="5"/>
        <n v="530"/>
        <n v="469"/>
        <n v="507"/>
        <n v="521"/>
        <n v="545"/>
        <n v="522"/>
        <n v="531"/>
        <n v="558"/>
        <n v="512"/>
        <n v="524"/>
        <n v="535"/>
        <n v="542"/>
        <n v="527"/>
        <n v="536"/>
        <n v="546"/>
        <n v="556"/>
        <n v="571"/>
        <n v="544"/>
        <n v="575"/>
        <n v="574"/>
        <n v="577"/>
        <n v="584"/>
        <n v="599"/>
        <n v="569"/>
        <n v="4"/>
        <n v="572"/>
        <n v="597"/>
        <n v="610"/>
        <n v="562"/>
        <n v="587"/>
        <n v="641"/>
        <n v="616"/>
        <n v="595"/>
        <n v="485"/>
        <n v="635"/>
        <n v="638"/>
        <n v="576"/>
        <n v="646"/>
        <n v="652"/>
        <n v="661"/>
        <n v="668"/>
        <n v="673"/>
        <n v="664"/>
        <n v="677"/>
        <n v="640"/>
        <n v="601"/>
        <n v="644"/>
        <n v="648"/>
        <n v="655"/>
        <n v="675"/>
        <n v="618"/>
        <n v="674"/>
        <n v="685"/>
        <n v="700"/>
        <n v="682"/>
        <n v="688"/>
        <n v="694"/>
        <n v="310"/>
        <n v="726"/>
        <n v="687"/>
        <n v="693"/>
        <n v="683"/>
        <n v="702"/>
        <n v="711"/>
        <n v="713"/>
        <n v="719"/>
        <n v="538"/>
        <n v="749"/>
        <n v="779"/>
        <n v="795"/>
        <n v="714"/>
        <n v="753"/>
        <n v="772"/>
        <n v="789"/>
        <n v="792"/>
        <n v="815"/>
        <n v="781"/>
        <n v="793"/>
        <n v="810"/>
        <n v="835"/>
        <n v="738"/>
        <n v="788"/>
        <n v="811"/>
        <n v="829"/>
        <n v="773"/>
        <n v="786"/>
        <n v="796"/>
        <n v="833"/>
        <n v="845"/>
        <n v="852"/>
        <n v="797"/>
        <n v="834"/>
        <n v="841"/>
        <n v="880"/>
        <n v="780"/>
        <n v="819"/>
        <n v="844"/>
        <n v="870"/>
        <n v="884"/>
        <n v="885"/>
        <n v="858"/>
        <n v="902"/>
        <n v="825"/>
        <n v="765"/>
        <n v="791"/>
        <n v="820"/>
        <n v="799"/>
        <n v="803"/>
        <n v="736"/>
        <n v="733"/>
        <m/>
      </sharedItems>
    </cacheField>
    <cacheField name="TOTAL_DIALS" numFmtId="0">
      <sharedItems containsString="0" containsBlank="1" containsNumber="1" containsInteger="1" minValue="0" maxValue="251"/>
    </cacheField>
    <cacheField name="PAYMENT_DISPO" numFmtId="0">
      <sharedItems containsString="0" containsBlank="1" containsNumber="1" containsInteger="1" minValue="0" maxValue="38"/>
    </cacheField>
    <cacheField name="PTP_DISPO" numFmtId="0">
      <sharedItems containsString="0" containsBlank="1" containsNumber="1" containsInteger="1" minValue="0" maxValue="37"/>
    </cacheField>
    <cacheField name="RPC_DISPO" numFmtId="0">
      <sharedItems containsString="0" containsBlank="1" containsNumber="1" containsInteger="1" minValue="0" maxValue="54"/>
    </cacheField>
    <cacheField name="SETTLEMENT_DISPO" numFmtId="0">
      <sharedItems containsString="0" containsBlank="1" containsNumber="1" containsInteger="1" minValue="0" maxValue="7"/>
    </cacheField>
    <cacheField name="THIRD_PARTY_DISPO" numFmtId="0">
      <sharedItems containsString="0" containsBlank="1" containsNumber="1" containsInteger="1" minValue="0" maxValue="18"/>
    </cacheField>
    <cacheField name="NOT_ANSWERED_DISPO" numFmtId="0">
      <sharedItems containsString="0" containsBlank="1" containsNumber="1" containsInteger="1" minValue="0" maxValue="141"/>
    </cacheField>
    <cacheField name="CLEAN_AGENT_NAME" numFmtId="0">
      <sharedItems containsBlank="1"/>
    </cacheField>
    <cacheField name="AGENT_GROUP" numFmtId="0">
      <sharedItems containsBlank="1"/>
    </cacheField>
    <cacheField name="CALL_DATE2" numFmtId="0">
      <sharedItems containsNonDate="0" containsDate="1" containsString="0" containsBlank="1" minDate="2025-01-02T00:00:00" maxDate="2026-02-05T00:00:00"/>
    </cacheField>
    <cacheField name="FIRST_LOGIN_TIME" numFmtId="0">
      <sharedItems containsNonDate="0" containsDate="1" containsString="0" containsBlank="1" minDate="1899-12-30T01:00:05" maxDate="1899-12-30T22:11:23"/>
    </cacheField>
    <cacheField name="LAST_LOGOUT_TIME" numFmtId="0">
      <sharedItems containsNonDate="0" containsDate="1" containsString="0" containsBlank="1" minDate="1899-12-30T13:43:57" maxDate="1899-12-30T23:47:29"/>
    </cacheField>
    <cacheField name="LOGGED_IN_HOURS" numFmtId="0">
      <sharedItems containsString="0" containsBlank="1" containsNumber="1" minValue="0.02" maxValue="20.98"/>
    </cacheField>
    <cacheField name="TOTAL_TRACKED_HOURS" numFmtId="0">
      <sharedItems containsString="0" containsBlank="1" containsNumber="1" minValue="0.02" maxValue="10.33"/>
    </cacheField>
    <cacheField name="CALL_TIME_HOURS" numFmtId="0">
      <sharedItems containsString="0" containsBlank="1" containsNumber="1" minValue="0" maxValue="8.4600000000000009"/>
    </cacheField>
    <cacheField name="EMAIL_TIME_HOURS" numFmtId="0">
      <sharedItems containsString="0" containsBlank="1" containsNumber="1" minValue="0" maxValue="2.35"/>
    </cacheField>
    <cacheField name="SMS_TIME_HOURS" numFmtId="0">
      <sharedItems containsString="0" containsBlank="1" containsNumber="1" containsInteger="1" minValue="0" maxValue="0"/>
    </cacheField>
    <cacheField name="WRAP_TIME_HOURS" numFmtId="0">
      <sharedItems containsString="0" containsBlank="1" containsNumber="1" minValue="0" maxValue="1.1200000000000001"/>
    </cacheField>
    <cacheField name="IDLE_TIME_HOURS" numFmtId="0">
      <sharedItems containsString="0" containsBlank="1" containsNumber="1" minValue="0" maxValue="8.7799999999999994"/>
    </cacheField>
    <cacheField name="BREAK_LUNCH_HOURS" numFmtId="0">
      <sharedItems containsString="0" containsBlank="1" containsNumber="1" minValue="0" maxValue="2.16"/>
    </cacheField>
    <cacheField name="MEETING_TRAINING_HOURS" numFmtId="0">
      <sharedItems containsString="0" containsBlank="1" containsNumber="1" minValue="0" maxValue="7.75"/>
    </cacheField>
    <cacheField name="RESEARCH_TASK_HOURS" numFmtId="0">
      <sharedItems containsString="0" containsBlank="1" containsNumber="1" minValue="0" maxValue="0.27"/>
    </cacheField>
    <cacheField name="TECH_SYSTEM_HOURS" numFmtId="0">
      <sharedItems containsString="0" containsBlank="1" containsNumber="1" minValue="0" maxValue="4.91"/>
    </cacheField>
    <cacheField name="OTHER_TIME_HOURS" numFmtId="0">
      <sharedItems containsString="0" containsBlank="1" containsNumber="1" minValue="0" maxValue="4.75"/>
    </cacheField>
    <cacheField name="SUM_ALL_ACTIVITIES_HOURS" numFmtId="0">
      <sharedItems containsString="0" containsBlank="1" containsNumber="1" minValue="0.02" maxValue="10.33"/>
    </cacheField>
    <cacheField name="CALL_TIME_PCT" numFmtId="0">
      <sharedItems containsString="0" containsBlank="1" containsNumber="1" minValue="0.05" maxValue="99.93"/>
    </cacheField>
    <cacheField name="EMAIL_TIME_PCT" numFmtId="0">
      <sharedItems containsString="0" containsBlank="1" containsNumber="1" minValue="0" maxValue="26.17"/>
    </cacheField>
    <cacheField name="SMS_TIME_PCT" numFmtId="0">
      <sharedItems containsString="0" containsBlank="1" containsNumber="1" minValue="0" maxValue="0.01"/>
    </cacheField>
    <cacheField name="WRAP_TIME_PCT" numFmtId="0">
      <sharedItems containsString="0" containsBlank="1" containsNumber="1" minValue="0" maxValue="46.67"/>
    </cacheField>
    <cacheField name="IDLE_TIME_PCT" numFmtId="0">
      <sharedItems containsString="0" containsBlank="1" containsNumber="1" minValue="0" maxValue="96.49"/>
    </cacheField>
    <cacheField name="BREAK_LUNCH_PCT" numFmtId="0">
      <sharedItems containsString="0" containsBlank="1" containsNumber="1" minValue="0" maxValue="29.92"/>
    </cacheField>
    <cacheField name="MEETING_TRAINING_PCT" numFmtId="0">
      <sharedItems containsString="0" containsBlank="1" containsNumber="1" minValue="0" maxValue="98.12"/>
    </cacheField>
    <cacheField name="RESEARCH_TASK_PCT" numFmtId="0">
      <sharedItems containsString="0" containsBlank="1" containsNumber="1" minValue="0" maxValue="5.38"/>
    </cacheField>
    <cacheField name="TECH_SYSTEM_PCT" numFmtId="0">
      <sharedItems containsString="0" containsBlank="1" containsNumber="1" minValue="0" maxValue="84.87"/>
    </cacheField>
    <cacheField name="OTHER_TIME_PCT" numFmtId="0">
      <sharedItems containsString="0" containsBlank="1" containsNumber="1" minValue="0.02" maxValue="93.74"/>
    </cacheField>
    <cacheField name="week_day" numFmtId="0">
      <sharedItems containsString="0" containsBlank="1" containsNumber="1" containsInteger="1" minValue="2" maxValue="7"/>
    </cacheField>
    <cacheField name="Call_day" numFmtId="0">
      <sharedItems containsBlank="1" count="7">
        <s v="Wednesday"/>
        <s v="Tuesday"/>
        <s v="Monday"/>
        <s v="Friday"/>
        <s v="Thursday"/>
        <s v="Saturday"/>
        <m/>
      </sharedItems>
    </cacheField>
    <cacheField name="Total Contacted" numFmtId="0" formula="SUM(PAYMENT_DISPO,PTP_DISPO,RPC_DISPO,SETTLEMENT_DISPO,THIRD_PARTY_DISPO)" databaseField="0"/>
  </cacheFields>
  <extLst>
    <ext xmlns:x14="http://schemas.microsoft.com/office/spreadsheetml/2009/9/main" uri="{725AE2AE-9491-48be-B2B4-4EB974FC3084}">
      <x14:pivotCacheDefinition pivotCacheId="165182764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ish Kumar" refreshedDate="46058.880741898145" createdVersion="8" refreshedVersion="8" minRefreshableVersion="3" recordCount="33" xr:uid="{3891D4C1-2B74-9549-BCE6-BEC285669124}">
  <cacheSource type="worksheet">
    <worksheetSource ref="A1:B34" sheet="State and reason "/>
  </cacheSource>
  <cacheFields count="2">
    <cacheField name="STATE" numFmtId="0">
      <sharedItems count="11">
        <s v="Logout"/>
        <s v="Not Ready"/>
        <s v="Ready"/>
        <s v="On Hold"/>
        <s v="Login"/>
        <s v="On Voicemail"/>
        <s v="On Call"/>
        <s v="After Call Work"/>
        <s v="DID Ringing"/>
        <s v="On Park"/>
        <s v="Ringing"/>
      </sharedItems>
    </cacheField>
    <cacheField name="REASON_CODE" numFmtId="0">
      <sharedItems containsBlank="1" count="21">
        <s v="Meal"/>
        <s v="Not Ready"/>
        <m/>
        <s v="Break"/>
        <s v="Forced"/>
        <s v="Training"/>
        <s v="Outbound Calls - Manual"/>
        <s v="System"/>
        <s v="Appointment"/>
        <s v="Logout"/>
        <s v="Meeting"/>
        <s v="Tech Issues"/>
        <s v="Extended Research"/>
        <s v="Wrap-Up"/>
        <s v="SMS"/>
        <s v="Task Completion"/>
        <s v="No Reason"/>
        <s v="Team Meeting"/>
        <s v="Email"/>
        <s v="End Shift"/>
        <s v="Lunch"/>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27">
  <r>
    <x v="0"/>
    <x v="0"/>
    <x v="0"/>
    <x v="0"/>
    <n v="132"/>
    <n v="3"/>
    <n v="6"/>
    <n v="11"/>
    <n v="2"/>
    <n v="9"/>
    <n v="70"/>
    <s v="Anais Orozco"/>
    <s v="Collections Group"/>
    <d v="2026-02-04T00:00:00"/>
    <d v="1899-12-30T14:00:50"/>
    <d v="1899-12-30T23:00:56"/>
    <n v="9"/>
    <n v="8.11"/>
    <n v="3.21"/>
    <n v="0.39"/>
    <n v="0"/>
    <n v="0.48"/>
    <n v="3.35"/>
    <n v="0.68"/>
    <n v="0"/>
    <n v="0"/>
    <n v="0"/>
    <n v="0.01"/>
    <n v="8.11"/>
    <n v="39.520000000000003"/>
    <n v="4.8499999999999996"/>
    <n v="0"/>
    <n v="5.88"/>
    <n v="41.24"/>
    <n v="8.34"/>
    <n v="0"/>
    <n v="0"/>
    <n v="0"/>
    <n v="0.17"/>
    <n v="4"/>
    <x v="0"/>
  </r>
  <r>
    <x v="1"/>
    <x v="0"/>
    <x v="0"/>
    <x v="1"/>
    <n v="159"/>
    <n v="12"/>
    <n v="8"/>
    <n v="26"/>
    <n v="0"/>
    <n v="7"/>
    <n v="65"/>
    <s v="Derice Warnsley"/>
    <s v="Collections Group"/>
    <d v="2026-02-04T00:00:00"/>
    <d v="1899-12-30T14:00:28"/>
    <d v="1899-12-30T23:00:03"/>
    <n v="9"/>
    <n v="8.99"/>
    <n v="3.83"/>
    <n v="0.24"/>
    <n v="0"/>
    <n v="0.12"/>
    <n v="3.3"/>
    <n v="1.5"/>
    <n v="0"/>
    <n v="0"/>
    <n v="0"/>
    <n v="0"/>
    <n v="8.99"/>
    <n v="42.58"/>
    <n v="2.65"/>
    <n v="0"/>
    <n v="1.31"/>
    <n v="36.69"/>
    <n v="16.72"/>
    <n v="0"/>
    <n v="0"/>
    <n v="0"/>
    <n v="0.05"/>
    <n v="4"/>
    <x v="0"/>
  </r>
  <r>
    <x v="2"/>
    <x v="0"/>
    <x v="0"/>
    <x v="2"/>
    <n v="179"/>
    <n v="3"/>
    <n v="2"/>
    <n v="18"/>
    <n v="0"/>
    <n v="0"/>
    <n v="107"/>
    <s v="Isiah Thomas"/>
    <s v="Collections Group"/>
    <d v="2026-02-04T00:00:00"/>
    <d v="1899-12-30T14:00:31"/>
    <d v="1899-12-30T23:00:02"/>
    <n v="9"/>
    <n v="8.99"/>
    <n v="2.57"/>
    <n v="0.59"/>
    <n v="0"/>
    <n v="0.4"/>
    <n v="3.89"/>
    <n v="1.52"/>
    <n v="0"/>
    <n v="0"/>
    <n v="0"/>
    <n v="0"/>
    <n v="8.99"/>
    <n v="28.63"/>
    <n v="6.6"/>
    <n v="0"/>
    <n v="4.49"/>
    <n v="43.28"/>
    <n v="16.96"/>
    <n v="0"/>
    <n v="0"/>
    <n v="0"/>
    <n v="0.04"/>
    <n v="4"/>
    <x v="0"/>
  </r>
  <r>
    <x v="3"/>
    <x v="0"/>
    <x v="0"/>
    <x v="1"/>
    <n v="150"/>
    <n v="6"/>
    <n v="10"/>
    <n v="14"/>
    <n v="0"/>
    <n v="5"/>
    <n v="60"/>
    <s v="Jerrod Coleman"/>
    <s v="Collections Group"/>
    <d v="2026-02-04T00:00:00"/>
    <d v="1899-12-30T14:00:00"/>
    <d v="1899-12-30T22:58:03"/>
    <n v="8.9700000000000006"/>
    <n v="8.9700000000000006"/>
    <n v="3.4"/>
    <n v="0.32"/>
    <n v="0"/>
    <n v="0.37"/>
    <n v="3.47"/>
    <n v="1.4"/>
    <n v="0"/>
    <n v="0"/>
    <n v="0"/>
    <n v="0"/>
    <n v="8.9700000000000006"/>
    <n v="37.97"/>
    <n v="3.53"/>
    <n v="0"/>
    <n v="4.07"/>
    <n v="38.75"/>
    <n v="15.62"/>
    <n v="0"/>
    <n v="0"/>
    <n v="0"/>
    <n v="0.05"/>
    <n v="4"/>
    <x v="0"/>
  </r>
  <r>
    <x v="4"/>
    <x v="0"/>
    <x v="0"/>
    <x v="3"/>
    <n v="2"/>
    <n v="0"/>
    <n v="0"/>
    <n v="0"/>
    <n v="0"/>
    <n v="0"/>
    <n v="0"/>
    <s v="Rosette Rwabugahya"/>
    <s v="Collections Group"/>
    <d v="2026-02-04T00:00:00"/>
    <d v="1899-12-30T21:19:36"/>
    <d v="1899-12-30T21:47:11"/>
    <n v="0.47"/>
    <n v="0.46"/>
    <n v="0.45"/>
    <n v="0"/>
    <n v="0"/>
    <n v="0.01"/>
    <n v="0"/>
    <n v="0"/>
    <n v="0"/>
    <n v="0"/>
    <n v="0"/>
    <n v="0.01"/>
    <n v="0.46"/>
    <n v="97.46"/>
    <n v="0"/>
    <n v="0"/>
    <n v="1.1499999999999999"/>
    <n v="0"/>
    <n v="0"/>
    <n v="0"/>
    <n v="0"/>
    <n v="0"/>
    <n v="1.39"/>
    <n v="4"/>
    <x v="0"/>
  </r>
  <r>
    <x v="5"/>
    <x v="0"/>
    <x v="0"/>
    <x v="4"/>
    <n v="167"/>
    <n v="4"/>
    <n v="8"/>
    <n v="23"/>
    <n v="0"/>
    <n v="2"/>
    <n v="85"/>
    <s v="Sabigh Masood"/>
    <s v="Collections Group"/>
    <d v="2026-02-04T00:00:00"/>
    <d v="1899-12-30T13:59:57"/>
    <d v="1899-12-30T23:01:00"/>
    <n v="9.0299999999999994"/>
    <n v="9.02"/>
    <n v="2.71"/>
    <n v="0.2"/>
    <n v="0"/>
    <n v="0.57999999999999996"/>
    <n v="4.08"/>
    <n v="1.45"/>
    <n v="0"/>
    <n v="0"/>
    <n v="0"/>
    <n v="0"/>
    <n v="9.02"/>
    <n v="30.1"/>
    <n v="2.1800000000000002"/>
    <n v="0"/>
    <n v="6.4"/>
    <n v="45.2"/>
    <n v="16.079999999999998"/>
    <n v="0"/>
    <n v="0"/>
    <n v="0"/>
    <n v="0.05"/>
    <n v="4"/>
    <x v="0"/>
  </r>
  <r>
    <x v="6"/>
    <x v="0"/>
    <x v="0"/>
    <x v="5"/>
    <n v="0"/>
    <n v="0"/>
    <n v="0"/>
    <n v="0"/>
    <n v="0"/>
    <n v="0"/>
    <n v="0"/>
    <m/>
    <m/>
    <m/>
    <m/>
    <m/>
    <m/>
    <m/>
    <m/>
    <m/>
    <m/>
    <m/>
    <m/>
    <m/>
    <m/>
    <m/>
    <m/>
    <m/>
    <m/>
    <m/>
    <m/>
    <m/>
    <m/>
    <m/>
    <m/>
    <m/>
    <m/>
    <m/>
    <m/>
    <n v="4"/>
    <x v="0"/>
  </r>
  <r>
    <x v="0"/>
    <x v="1"/>
    <x v="0"/>
    <x v="6"/>
    <n v="131"/>
    <n v="13"/>
    <n v="6"/>
    <n v="19"/>
    <n v="1"/>
    <n v="9"/>
    <n v="55"/>
    <s v="Anais Orozco"/>
    <s v="Collections Group"/>
    <d v="2026-02-03T00:00:00"/>
    <d v="1899-12-30T14:02:03"/>
    <d v="1899-12-30T23:00:12"/>
    <n v="8.9700000000000006"/>
    <n v="8.9700000000000006"/>
    <n v="3.62"/>
    <n v="0.44"/>
    <n v="0"/>
    <n v="0.5"/>
    <n v="2.89"/>
    <n v="1.5"/>
    <n v="0"/>
    <n v="0"/>
    <n v="0"/>
    <n v="0"/>
    <n v="8.9700000000000006"/>
    <n v="40.39"/>
    <n v="4.91"/>
    <n v="0"/>
    <n v="5.62"/>
    <n v="32.25"/>
    <n v="16.78"/>
    <n v="0"/>
    <n v="0"/>
    <n v="0"/>
    <n v="0.05"/>
    <n v="3"/>
    <x v="1"/>
  </r>
  <r>
    <x v="1"/>
    <x v="1"/>
    <x v="0"/>
    <x v="7"/>
    <n v="160"/>
    <n v="33"/>
    <n v="13"/>
    <n v="19"/>
    <n v="0"/>
    <n v="2"/>
    <n v="70"/>
    <s v="Derice Warnsley"/>
    <s v="Collections Group"/>
    <d v="2026-02-03T00:00:00"/>
    <d v="1899-12-30T13:58:36"/>
    <d v="1899-12-30T23:00:08"/>
    <n v="9.0299999999999994"/>
    <n v="9"/>
    <n v="3.31"/>
    <n v="0.21"/>
    <n v="0"/>
    <n v="0.15"/>
    <n v="3.79"/>
    <n v="1.51"/>
    <n v="0"/>
    <n v="0"/>
    <n v="0"/>
    <n v="0.04"/>
    <n v="9"/>
    <n v="36.79"/>
    <n v="2.29"/>
    <n v="0"/>
    <n v="1.66"/>
    <n v="42.11"/>
    <n v="16.73"/>
    <n v="0"/>
    <n v="0"/>
    <n v="0"/>
    <n v="0.43"/>
    <n v="3"/>
    <x v="1"/>
  </r>
  <r>
    <x v="2"/>
    <x v="1"/>
    <x v="0"/>
    <x v="8"/>
    <n v="143"/>
    <n v="18"/>
    <n v="7"/>
    <n v="16"/>
    <n v="0"/>
    <n v="1"/>
    <n v="74"/>
    <s v="Isiah Thomas"/>
    <s v="Collections Group"/>
    <d v="2026-02-03T00:00:00"/>
    <d v="1899-12-30T14:00:50"/>
    <d v="1899-12-30T23:00:17"/>
    <n v="9"/>
    <n v="8.9499999999999993"/>
    <n v="2.99"/>
    <n v="0.66"/>
    <n v="0"/>
    <n v="0.38"/>
    <n v="3.38"/>
    <n v="1.53"/>
    <n v="0"/>
    <n v="0"/>
    <n v="0"/>
    <n v="0.01"/>
    <n v="8.9499999999999993"/>
    <n v="33.369999999999997"/>
    <n v="7.37"/>
    <n v="0"/>
    <n v="4.29"/>
    <n v="37.82"/>
    <n v="17.07"/>
    <n v="0"/>
    <n v="0"/>
    <n v="0"/>
    <n v="7.0000000000000007E-2"/>
    <n v="3"/>
    <x v="1"/>
  </r>
  <r>
    <x v="3"/>
    <x v="1"/>
    <x v="0"/>
    <x v="9"/>
    <n v="118"/>
    <n v="13"/>
    <n v="14"/>
    <n v="7"/>
    <n v="0"/>
    <n v="5"/>
    <n v="47"/>
    <s v="Jerrod Coleman"/>
    <s v="Collections Group"/>
    <d v="2026-02-03T00:00:00"/>
    <d v="1899-12-30T13:59:47"/>
    <d v="1899-12-30T22:59:12"/>
    <n v="9"/>
    <n v="8.11"/>
    <n v="3.17"/>
    <n v="1.39"/>
    <n v="0"/>
    <n v="0.28999999999999998"/>
    <n v="2.68"/>
    <n v="0.55000000000000004"/>
    <n v="0"/>
    <n v="0"/>
    <n v="0"/>
    <n v="0.01"/>
    <n v="8.11"/>
    <n v="39.130000000000003"/>
    <n v="17.14"/>
    <n v="0"/>
    <n v="3.63"/>
    <n v="33.119999999999997"/>
    <n v="6.81"/>
    <n v="0"/>
    <n v="0"/>
    <n v="0"/>
    <n v="0.17"/>
    <n v="3"/>
    <x v="1"/>
  </r>
  <r>
    <x v="5"/>
    <x v="1"/>
    <x v="0"/>
    <x v="7"/>
    <n v="207"/>
    <n v="26"/>
    <n v="15"/>
    <n v="34"/>
    <n v="0"/>
    <n v="1"/>
    <n v="76"/>
    <s v="Sabigh Masood"/>
    <s v="Collections Group"/>
    <d v="2026-02-03T00:00:00"/>
    <d v="1899-12-30T14:00:12"/>
    <d v="1899-12-30T23:02:06"/>
    <n v="9.0299999999999994"/>
    <n v="9.0299999999999994"/>
    <n v="2.97"/>
    <n v="0.09"/>
    <n v="0"/>
    <n v="0.64"/>
    <n v="3.84"/>
    <n v="1.48"/>
    <n v="0"/>
    <n v="0"/>
    <n v="0.02"/>
    <n v="0"/>
    <n v="9.0299999999999994"/>
    <n v="32.85"/>
    <n v="0.95"/>
    <n v="0"/>
    <n v="7.04"/>
    <n v="42.53"/>
    <n v="16.41"/>
    <n v="0"/>
    <n v="0"/>
    <n v="0.17"/>
    <n v="0.04"/>
    <n v="3"/>
    <x v="1"/>
  </r>
  <r>
    <x v="6"/>
    <x v="1"/>
    <x v="0"/>
    <x v="10"/>
    <n v="0"/>
    <n v="0"/>
    <n v="0"/>
    <n v="0"/>
    <n v="0"/>
    <n v="0"/>
    <n v="0"/>
    <m/>
    <m/>
    <m/>
    <m/>
    <m/>
    <m/>
    <m/>
    <m/>
    <m/>
    <m/>
    <m/>
    <m/>
    <m/>
    <m/>
    <m/>
    <m/>
    <m/>
    <m/>
    <m/>
    <m/>
    <m/>
    <m/>
    <m/>
    <m/>
    <m/>
    <m/>
    <m/>
    <m/>
    <n v="3"/>
    <x v="1"/>
  </r>
  <r>
    <x v="1"/>
    <x v="2"/>
    <x v="0"/>
    <x v="11"/>
    <n v="203"/>
    <n v="18"/>
    <n v="9"/>
    <n v="23"/>
    <n v="1"/>
    <n v="1"/>
    <n v="104"/>
    <s v="Derice Warnsley"/>
    <s v="Collections Group"/>
    <d v="2026-02-02T00:00:00"/>
    <d v="1899-12-30T14:00:22"/>
    <d v="1899-12-30T23:03:13"/>
    <n v="9.0500000000000007"/>
    <n v="9.0500000000000007"/>
    <n v="3.5"/>
    <n v="0.03"/>
    <n v="0"/>
    <n v="0.15"/>
    <n v="3.86"/>
    <n v="1.5"/>
    <n v="0"/>
    <n v="0"/>
    <n v="0"/>
    <n v="0.01"/>
    <n v="9.0500000000000007"/>
    <n v="38.68"/>
    <n v="0.38"/>
    <n v="0"/>
    <n v="1.63"/>
    <n v="42.67"/>
    <n v="16.54"/>
    <n v="0"/>
    <n v="0"/>
    <n v="0"/>
    <n v="0.1"/>
    <n v="2"/>
    <x v="2"/>
  </r>
  <r>
    <x v="2"/>
    <x v="2"/>
    <x v="0"/>
    <x v="12"/>
    <n v="161"/>
    <n v="12"/>
    <n v="5"/>
    <n v="5"/>
    <n v="0"/>
    <n v="1"/>
    <n v="94"/>
    <s v="Isiah Thomas"/>
    <s v="Collections Group"/>
    <d v="2026-02-02T00:00:00"/>
    <d v="1899-12-30T14:00:47"/>
    <d v="1899-12-30T23:00:06"/>
    <n v="9"/>
    <n v="9.02"/>
    <n v="2.61"/>
    <n v="0.51"/>
    <n v="0"/>
    <n v="0.26"/>
    <n v="3.14"/>
    <n v="1.51"/>
    <n v="0.99"/>
    <n v="0"/>
    <n v="0"/>
    <n v="0"/>
    <n v="9.02"/>
    <n v="28.91"/>
    <n v="5.64"/>
    <n v="0"/>
    <n v="2.88"/>
    <n v="34.86"/>
    <n v="16.73"/>
    <n v="10.93"/>
    <n v="0"/>
    <n v="0"/>
    <n v="0.05"/>
    <n v="2"/>
    <x v="2"/>
  </r>
  <r>
    <x v="7"/>
    <x v="2"/>
    <x v="0"/>
    <x v="13"/>
    <n v="1"/>
    <n v="0"/>
    <n v="0"/>
    <n v="0"/>
    <n v="0"/>
    <n v="0"/>
    <n v="0"/>
    <m/>
    <m/>
    <m/>
    <m/>
    <m/>
    <m/>
    <m/>
    <m/>
    <m/>
    <m/>
    <m/>
    <m/>
    <m/>
    <m/>
    <m/>
    <m/>
    <m/>
    <m/>
    <m/>
    <m/>
    <m/>
    <m/>
    <m/>
    <m/>
    <m/>
    <m/>
    <m/>
    <m/>
    <n v="2"/>
    <x v="2"/>
  </r>
  <r>
    <x v="4"/>
    <x v="2"/>
    <x v="0"/>
    <x v="3"/>
    <n v="2"/>
    <n v="0"/>
    <n v="0"/>
    <n v="2"/>
    <n v="0"/>
    <n v="0"/>
    <n v="0"/>
    <s v="Rosette Rwabugahya"/>
    <s v="Collections Group"/>
    <d v="2026-02-02T00:00:00"/>
    <d v="1899-12-30T17:04:20"/>
    <d v="1899-12-30T21:38:23"/>
    <n v="4.57"/>
    <n v="4.57"/>
    <n v="4.55"/>
    <n v="0"/>
    <n v="0"/>
    <n v="0.01"/>
    <n v="0"/>
    <n v="0"/>
    <n v="0"/>
    <n v="0"/>
    <n v="0"/>
    <n v="0"/>
    <n v="4.57"/>
    <n v="99.61"/>
    <n v="0"/>
    <n v="0"/>
    <n v="0.28999999999999998"/>
    <n v="0"/>
    <n v="0"/>
    <n v="0"/>
    <n v="0"/>
    <n v="0"/>
    <n v="0.1"/>
    <n v="2"/>
    <x v="2"/>
  </r>
  <r>
    <x v="5"/>
    <x v="2"/>
    <x v="0"/>
    <x v="14"/>
    <n v="179"/>
    <n v="14"/>
    <n v="4"/>
    <n v="15"/>
    <n v="0"/>
    <n v="0"/>
    <n v="85"/>
    <s v="Sabigh Masood"/>
    <s v="Collections Group"/>
    <d v="2026-02-02T00:00:00"/>
    <d v="1899-12-30T13:59:28"/>
    <d v="1899-12-30T23:00:53"/>
    <n v="9.02"/>
    <n v="9.02"/>
    <n v="3.4"/>
    <n v="0.14000000000000001"/>
    <n v="0"/>
    <n v="0.51"/>
    <n v="3.72"/>
    <n v="1.25"/>
    <n v="0"/>
    <n v="0"/>
    <n v="0"/>
    <n v="0"/>
    <n v="9.02"/>
    <n v="37.630000000000003"/>
    <n v="1.55"/>
    <n v="0"/>
    <n v="5.7"/>
    <n v="41.18"/>
    <n v="13.89"/>
    <n v="0"/>
    <n v="0"/>
    <n v="0"/>
    <n v="0.05"/>
    <n v="2"/>
    <x v="2"/>
  </r>
  <r>
    <x v="6"/>
    <x v="2"/>
    <x v="0"/>
    <x v="15"/>
    <n v="0"/>
    <n v="0"/>
    <n v="0"/>
    <n v="0"/>
    <n v="0"/>
    <n v="0"/>
    <n v="0"/>
    <m/>
    <m/>
    <m/>
    <m/>
    <m/>
    <m/>
    <m/>
    <m/>
    <m/>
    <m/>
    <m/>
    <m/>
    <m/>
    <m/>
    <m/>
    <m/>
    <m/>
    <m/>
    <m/>
    <m/>
    <m/>
    <m/>
    <m/>
    <m/>
    <m/>
    <m/>
    <m/>
    <m/>
    <n v="2"/>
    <x v="2"/>
  </r>
  <r>
    <x v="0"/>
    <x v="3"/>
    <x v="1"/>
    <x v="16"/>
    <n v="118"/>
    <n v="4"/>
    <n v="1"/>
    <n v="7"/>
    <n v="0"/>
    <n v="3"/>
    <n v="63"/>
    <s v="Anais Orozco"/>
    <s v="Collections Group"/>
    <d v="2026-01-30T00:00:00"/>
    <d v="1899-12-30T13:58:19"/>
    <d v="1899-12-30T23:00:08"/>
    <n v="9.0299999999999994"/>
    <n v="8.1199999999999992"/>
    <n v="2.63"/>
    <n v="0.28000000000000003"/>
    <n v="0"/>
    <n v="0.31"/>
    <n v="3.73"/>
    <n v="0.6"/>
    <n v="0.53"/>
    <n v="0"/>
    <n v="0"/>
    <n v="0.04"/>
    <n v="8.1199999999999992"/>
    <n v="32.39"/>
    <n v="3.41"/>
    <n v="0"/>
    <n v="3.84"/>
    <n v="45.97"/>
    <n v="7.34"/>
    <n v="6.51"/>
    <n v="0"/>
    <n v="0"/>
    <n v="0.53"/>
    <n v="6"/>
    <x v="3"/>
  </r>
  <r>
    <x v="1"/>
    <x v="3"/>
    <x v="1"/>
    <x v="17"/>
    <n v="153"/>
    <n v="13"/>
    <n v="8"/>
    <n v="28"/>
    <n v="2"/>
    <n v="0"/>
    <n v="74"/>
    <s v="Derice Warnsley"/>
    <s v="Collections Group"/>
    <d v="2026-01-30T00:00:00"/>
    <d v="1899-12-30T13:59:38"/>
    <d v="1899-12-30T23:00:08"/>
    <n v="9.02"/>
    <n v="9.01"/>
    <n v="3.37"/>
    <n v="0.21"/>
    <n v="0"/>
    <n v="0.12"/>
    <n v="3.84"/>
    <n v="1.45"/>
    <n v="0"/>
    <n v="0"/>
    <n v="0"/>
    <n v="0.01"/>
    <n v="9.01"/>
    <n v="37.46"/>
    <n v="2.31"/>
    <n v="0"/>
    <n v="1.33"/>
    <n v="42.68"/>
    <n v="16.14"/>
    <n v="0"/>
    <n v="0"/>
    <n v="0"/>
    <n v="0.08"/>
    <n v="6"/>
    <x v="3"/>
  </r>
  <r>
    <x v="2"/>
    <x v="3"/>
    <x v="1"/>
    <x v="8"/>
    <n v="134"/>
    <n v="8"/>
    <n v="9"/>
    <n v="8"/>
    <n v="1"/>
    <n v="3"/>
    <n v="72"/>
    <s v="Isiah Thomas"/>
    <s v="Collections Group"/>
    <d v="2026-01-30T00:00:00"/>
    <d v="1899-12-30T13:59:57"/>
    <d v="1899-12-30T23:00:06"/>
    <n v="9.02"/>
    <n v="9"/>
    <n v="2.63"/>
    <n v="0.31"/>
    <n v="0"/>
    <n v="0.33"/>
    <n v="4.21"/>
    <n v="1.51"/>
    <n v="0"/>
    <n v="0"/>
    <n v="0"/>
    <n v="0"/>
    <n v="9"/>
    <n v="29.19"/>
    <n v="3.49"/>
    <n v="0"/>
    <n v="3.68"/>
    <n v="46.77"/>
    <n v="16.829999999999998"/>
    <n v="0"/>
    <n v="0"/>
    <n v="0"/>
    <n v="0.04"/>
    <n v="6"/>
    <x v="3"/>
  </r>
  <r>
    <x v="3"/>
    <x v="3"/>
    <x v="1"/>
    <x v="18"/>
    <n v="58"/>
    <n v="1"/>
    <n v="3"/>
    <n v="5"/>
    <n v="0"/>
    <n v="5"/>
    <n v="29"/>
    <s v="Jerrod Coleman"/>
    <s v="Collections Group"/>
    <d v="2026-01-30T00:00:00"/>
    <d v="1899-12-30T13:59:52"/>
    <d v="1899-12-30T18:29:24"/>
    <n v="4.5"/>
    <n v="4.49"/>
    <n v="1.36"/>
    <n v="0.57999999999999996"/>
    <n v="0"/>
    <n v="0.12"/>
    <n v="2.12"/>
    <n v="0.3"/>
    <n v="0"/>
    <n v="0"/>
    <n v="0"/>
    <n v="0"/>
    <n v="4.49"/>
    <n v="30.22"/>
    <n v="12.98"/>
    <n v="0"/>
    <n v="2.68"/>
    <n v="47.28"/>
    <n v="6.75"/>
    <n v="0"/>
    <n v="0"/>
    <n v="0"/>
    <n v="0.09"/>
    <n v="6"/>
    <x v="3"/>
  </r>
  <r>
    <x v="7"/>
    <x v="3"/>
    <x v="1"/>
    <x v="13"/>
    <n v="4"/>
    <n v="0"/>
    <n v="0"/>
    <n v="0"/>
    <n v="0"/>
    <n v="1"/>
    <n v="0"/>
    <m/>
    <m/>
    <m/>
    <m/>
    <m/>
    <m/>
    <m/>
    <m/>
    <m/>
    <m/>
    <m/>
    <m/>
    <m/>
    <m/>
    <m/>
    <m/>
    <m/>
    <m/>
    <m/>
    <m/>
    <m/>
    <m/>
    <m/>
    <m/>
    <m/>
    <m/>
    <m/>
    <m/>
    <n v="6"/>
    <x v="3"/>
  </r>
  <r>
    <x v="5"/>
    <x v="3"/>
    <x v="1"/>
    <x v="19"/>
    <n v="124"/>
    <n v="8"/>
    <n v="5"/>
    <n v="6"/>
    <n v="1"/>
    <n v="0"/>
    <n v="70"/>
    <s v="Sabigh Masood"/>
    <s v="Collections Group"/>
    <d v="2026-01-30T00:00:00"/>
    <d v="1899-12-30T14:00:20"/>
    <d v="1899-12-30T23:00:53"/>
    <n v="9"/>
    <n v="9.01"/>
    <n v="1.52"/>
    <n v="0.17"/>
    <n v="0"/>
    <n v="0.59"/>
    <n v="4.08"/>
    <n v="1.92"/>
    <n v="0.71"/>
    <n v="0"/>
    <n v="0.02"/>
    <n v="0"/>
    <n v="9.01"/>
    <n v="16.829999999999998"/>
    <n v="1.91"/>
    <n v="0"/>
    <n v="6.57"/>
    <n v="45.27"/>
    <n v="21.29"/>
    <n v="7.91"/>
    <n v="0"/>
    <n v="0.19"/>
    <n v="0.03"/>
    <n v="6"/>
    <x v="3"/>
  </r>
  <r>
    <x v="6"/>
    <x v="3"/>
    <x v="1"/>
    <x v="20"/>
    <n v="0"/>
    <n v="0"/>
    <n v="0"/>
    <n v="0"/>
    <n v="0"/>
    <n v="0"/>
    <n v="0"/>
    <m/>
    <m/>
    <m/>
    <m/>
    <m/>
    <m/>
    <m/>
    <m/>
    <m/>
    <m/>
    <m/>
    <m/>
    <m/>
    <m/>
    <m/>
    <m/>
    <m/>
    <m/>
    <m/>
    <m/>
    <m/>
    <m/>
    <m/>
    <m/>
    <m/>
    <m/>
    <m/>
    <m/>
    <n v="6"/>
    <x v="3"/>
  </r>
  <r>
    <x v="0"/>
    <x v="4"/>
    <x v="1"/>
    <x v="21"/>
    <n v="42"/>
    <n v="3"/>
    <n v="4"/>
    <n v="3"/>
    <n v="0"/>
    <n v="1"/>
    <n v="1"/>
    <s v="Anais Orozco"/>
    <s v="Collections Group"/>
    <d v="2026-01-29T00:00:00"/>
    <d v="1899-12-30T14:00:12"/>
    <d v="1899-12-30T23:00:01"/>
    <n v="9"/>
    <n v="9"/>
    <n v="3.49"/>
    <n v="0.31"/>
    <n v="0"/>
    <n v="0.28000000000000003"/>
    <n v="1.95"/>
    <n v="1.45"/>
    <n v="1.52"/>
    <n v="0"/>
    <n v="0"/>
    <n v="0"/>
    <n v="9"/>
    <n v="38.79"/>
    <n v="3.43"/>
    <n v="0"/>
    <n v="3.09"/>
    <n v="21.65"/>
    <n v="16.12"/>
    <n v="16.88"/>
    <n v="0"/>
    <n v="0"/>
    <n v="0.05"/>
    <n v="5"/>
    <x v="4"/>
  </r>
  <r>
    <x v="1"/>
    <x v="4"/>
    <x v="1"/>
    <x v="7"/>
    <n v="78"/>
    <n v="4"/>
    <n v="1"/>
    <n v="9"/>
    <n v="1"/>
    <n v="1"/>
    <n v="1"/>
    <s v="Derice Warnsley"/>
    <s v="Collections Group"/>
    <d v="2026-01-29T00:00:00"/>
    <d v="1899-12-30T14:00:13"/>
    <d v="1899-12-30T23:02:19"/>
    <n v="9.0299999999999994"/>
    <n v="9.0399999999999991"/>
    <n v="2.68"/>
    <n v="0.1"/>
    <n v="0"/>
    <n v="0.16"/>
    <n v="2.95"/>
    <n v="1.41"/>
    <n v="1.73"/>
    <n v="0"/>
    <n v="0"/>
    <n v="0.01"/>
    <n v="9.0399999999999991"/>
    <n v="29.68"/>
    <n v="1.1000000000000001"/>
    <n v="0"/>
    <n v="1.75"/>
    <n v="32.659999999999997"/>
    <n v="15.56"/>
    <n v="19.18"/>
    <n v="0"/>
    <n v="0"/>
    <n v="0.06"/>
    <n v="5"/>
    <x v="4"/>
  </r>
  <r>
    <x v="2"/>
    <x v="4"/>
    <x v="1"/>
    <x v="1"/>
    <n v="82"/>
    <n v="5"/>
    <n v="1"/>
    <n v="7"/>
    <n v="0"/>
    <n v="0"/>
    <n v="9"/>
    <s v="Isiah Thomas"/>
    <s v="Collections Group"/>
    <d v="2026-01-29T00:00:00"/>
    <d v="1899-12-30T14:00:05"/>
    <d v="1899-12-30T23:00:09"/>
    <n v="9"/>
    <n v="9"/>
    <n v="1.55"/>
    <n v="0.41"/>
    <n v="0"/>
    <n v="0.42"/>
    <n v="3.54"/>
    <n v="1.53"/>
    <n v="1.5"/>
    <n v="0"/>
    <n v="0.04"/>
    <n v="0"/>
    <n v="9"/>
    <n v="17.239999999999998"/>
    <n v="4.5999999999999996"/>
    <n v="0"/>
    <n v="4.71"/>
    <n v="39.36"/>
    <n v="16.989999999999998"/>
    <n v="16.68"/>
    <n v="0"/>
    <n v="0.4"/>
    <n v="0.03"/>
    <n v="5"/>
    <x v="4"/>
  </r>
  <r>
    <x v="3"/>
    <x v="4"/>
    <x v="1"/>
    <x v="22"/>
    <n v="81"/>
    <n v="7"/>
    <n v="5"/>
    <n v="10"/>
    <n v="0"/>
    <n v="3"/>
    <n v="0"/>
    <s v="Jerrod Coleman"/>
    <s v="Collections Group"/>
    <d v="2026-01-29T00:00:00"/>
    <d v="1899-12-30T13:59:53"/>
    <d v="1899-12-30T23:00:07"/>
    <n v="9.02"/>
    <n v="9"/>
    <n v="2.0499999999999998"/>
    <n v="0.6"/>
    <n v="0"/>
    <n v="0.28999999999999998"/>
    <n v="3.12"/>
    <n v="1.46"/>
    <n v="1.48"/>
    <n v="0"/>
    <n v="0"/>
    <n v="0.01"/>
    <n v="9"/>
    <n v="22.81"/>
    <n v="6.64"/>
    <n v="0"/>
    <n v="3.23"/>
    <n v="34.67"/>
    <n v="16.190000000000001"/>
    <n v="16.399999999999999"/>
    <n v="0"/>
    <n v="0"/>
    <n v="0.06"/>
    <n v="5"/>
    <x v="4"/>
  </r>
  <r>
    <x v="5"/>
    <x v="4"/>
    <x v="1"/>
    <x v="23"/>
    <n v="62"/>
    <n v="3"/>
    <n v="4"/>
    <n v="8"/>
    <n v="0"/>
    <n v="0"/>
    <n v="0"/>
    <s v="Sabigh Masood"/>
    <s v="Collections Group"/>
    <d v="2026-01-29T00:00:00"/>
    <d v="1899-12-30T13:59:26"/>
    <d v="1899-12-30T23:01:03"/>
    <n v="9.0299999999999994"/>
    <n v="9.02"/>
    <n v="2.04"/>
    <n v="0.1"/>
    <n v="0"/>
    <n v="0.66"/>
    <n v="3.27"/>
    <n v="1.45"/>
    <n v="1.5"/>
    <n v="0"/>
    <n v="0"/>
    <n v="0.01"/>
    <n v="9.02"/>
    <n v="22.63"/>
    <n v="1.1399999999999999"/>
    <n v="0"/>
    <n v="7.27"/>
    <n v="36.28"/>
    <n v="16.02"/>
    <n v="16.61"/>
    <n v="0"/>
    <n v="0"/>
    <n v="0.06"/>
    <n v="5"/>
    <x v="4"/>
  </r>
  <r>
    <x v="0"/>
    <x v="5"/>
    <x v="1"/>
    <x v="24"/>
    <n v="29"/>
    <n v="6"/>
    <n v="1"/>
    <n v="6"/>
    <n v="0"/>
    <n v="6"/>
    <n v="6"/>
    <s v="Anais Orozco"/>
    <s v="Collections Group"/>
    <d v="2026-01-28T00:00:00"/>
    <d v="1899-12-30T13:59:00"/>
    <d v="1899-12-30T17:08:11"/>
    <n v="3.15"/>
    <n v="3.13"/>
    <n v="1.45"/>
    <n v="0.3"/>
    <n v="0"/>
    <n v="0.13"/>
    <n v="0.94"/>
    <n v="0.28000000000000003"/>
    <n v="0"/>
    <n v="0"/>
    <n v="0"/>
    <n v="0.03"/>
    <n v="3.13"/>
    <n v="46.35"/>
    <n v="9.65"/>
    <n v="0"/>
    <n v="4"/>
    <n v="29.97"/>
    <n v="9"/>
    <n v="0"/>
    <n v="0"/>
    <n v="0"/>
    <n v="1.03"/>
    <n v="4"/>
    <x v="0"/>
  </r>
  <r>
    <x v="1"/>
    <x v="5"/>
    <x v="1"/>
    <x v="2"/>
    <n v="147"/>
    <n v="12"/>
    <n v="2"/>
    <n v="12"/>
    <n v="4"/>
    <n v="1"/>
    <n v="76"/>
    <s v="Derice Warnsley"/>
    <s v="Collections Group"/>
    <d v="2026-01-28T00:00:00"/>
    <d v="1899-12-30T13:58:41"/>
    <d v="1899-12-30T23:00:11"/>
    <n v="9.0299999999999994"/>
    <n v="9.02"/>
    <n v="2.84"/>
    <n v="0.17"/>
    <n v="0"/>
    <n v="0.09"/>
    <n v="4.1900000000000004"/>
    <n v="1.48"/>
    <n v="0.23"/>
    <n v="0"/>
    <n v="0"/>
    <n v="0.03"/>
    <n v="9.02"/>
    <n v="31.51"/>
    <n v="1.84"/>
    <n v="0"/>
    <n v="0.94"/>
    <n v="46.42"/>
    <n v="16.39"/>
    <n v="2.52"/>
    <n v="0"/>
    <n v="0"/>
    <n v="0.36"/>
    <n v="4"/>
    <x v="0"/>
  </r>
  <r>
    <x v="2"/>
    <x v="5"/>
    <x v="1"/>
    <x v="25"/>
    <n v="151"/>
    <n v="15"/>
    <n v="7"/>
    <n v="10"/>
    <n v="0"/>
    <n v="2"/>
    <n v="75"/>
    <s v="Isiah Thomas"/>
    <s v="Collections Group"/>
    <d v="2026-01-28T00:00:00"/>
    <d v="1899-12-30T14:00:23"/>
    <d v="1899-12-30T23:05:50"/>
    <n v="9.08"/>
    <n v="9.09"/>
    <n v="3.1"/>
    <n v="0.56000000000000005"/>
    <n v="0"/>
    <n v="0.34"/>
    <n v="3.5"/>
    <n v="1.57"/>
    <n v="0"/>
    <n v="0"/>
    <n v="0"/>
    <n v="0.01"/>
    <n v="9.09"/>
    <n v="34.14"/>
    <n v="6.18"/>
    <n v="0"/>
    <n v="3.79"/>
    <n v="38.54"/>
    <n v="17.260000000000002"/>
    <n v="0"/>
    <n v="0"/>
    <n v="0"/>
    <n v="0.09"/>
    <n v="4"/>
    <x v="0"/>
  </r>
  <r>
    <x v="3"/>
    <x v="5"/>
    <x v="1"/>
    <x v="25"/>
    <n v="144"/>
    <n v="14"/>
    <n v="14"/>
    <n v="16"/>
    <n v="0"/>
    <n v="13"/>
    <n v="52"/>
    <s v="Jerrod Coleman"/>
    <s v="Collections Group"/>
    <d v="2026-01-28T00:00:00"/>
    <d v="1899-12-30T13:59:48"/>
    <d v="1899-12-30T22:58:05"/>
    <n v="8.98"/>
    <n v="8.9700000000000006"/>
    <n v="3.48"/>
    <n v="0.54"/>
    <n v="0"/>
    <n v="0.28999999999999998"/>
    <n v="3.35"/>
    <n v="1.29"/>
    <n v="0"/>
    <n v="0"/>
    <n v="0"/>
    <n v="0"/>
    <n v="8.9700000000000006"/>
    <n v="38.840000000000003"/>
    <n v="6.06"/>
    <n v="0"/>
    <n v="3.27"/>
    <n v="37.36"/>
    <n v="14.43"/>
    <n v="0"/>
    <n v="0"/>
    <n v="0"/>
    <n v="0.04"/>
    <n v="4"/>
    <x v="0"/>
  </r>
  <r>
    <x v="5"/>
    <x v="5"/>
    <x v="1"/>
    <x v="12"/>
    <n v="176"/>
    <n v="7"/>
    <n v="6"/>
    <n v="13"/>
    <n v="0"/>
    <n v="2"/>
    <n v="95"/>
    <s v="Sabigh Masood"/>
    <s v="Collections Group"/>
    <d v="2026-01-28T00:00:00"/>
    <d v="1899-12-30T13:59:53"/>
    <d v="1899-12-30T23:01:54"/>
    <n v="9.0299999999999994"/>
    <n v="9.0299999999999994"/>
    <n v="1.96"/>
    <n v="0.16"/>
    <n v="0"/>
    <n v="0.71"/>
    <n v="3.95"/>
    <n v="1.43"/>
    <n v="0.78"/>
    <n v="0"/>
    <n v="0.04"/>
    <n v="0"/>
    <n v="9.0299999999999994"/>
    <n v="21.69"/>
    <n v="1.79"/>
    <n v="0"/>
    <n v="7.86"/>
    <n v="43.78"/>
    <n v="15.79"/>
    <n v="8.6"/>
    <n v="0"/>
    <n v="0.46"/>
    <n v="0.04"/>
    <n v="4"/>
    <x v="0"/>
  </r>
  <r>
    <x v="6"/>
    <x v="5"/>
    <x v="1"/>
    <x v="26"/>
    <n v="0"/>
    <n v="0"/>
    <n v="0"/>
    <n v="0"/>
    <n v="0"/>
    <n v="0"/>
    <n v="0"/>
    <m/>
    <m/>
    <m/>
    <m/>
    <m/>
    <m/>
    <m/>
    <m/>
    <m/>
    <m/>
    <m/>
    <m/>
    <m/>
    <m/>
    <m/>
    <m/>
    <m/>
    <m/>
    <m/>
    <m/>
    <m/>
    <m/>
    <m/>
    <m/>
    <m/>
    <m/>
    <m/>
    <m/>
    <n v="4"/>
    <x v="0"/>
  </r>
  <r>
    <x v="0"/>
    <x v="6"/>
    <x v="1"/>
    <x v="27"/>
    <n v="164"/>
    <n v="12"/>
    <n v="22"/>
    <n v="19"/>
    <n v="0"/>
    <n v="4"/>
    <n v="69"/>
    <s v="Anais Orozco"/>
    <s v="Collections Group"/>
    <d v="2026-01-27T00:00:00"/>
    <d v="1899-12-30T14:00:07"/>
    <d v="1899-12-30T23:00:09"/>
    <n v="9"/>
    <n v="8.09"/>
    <n v="3.35"/>
    <n v="0.32"/>
    <n v="0"/>
    <n v="0.67"/>
    <n v="3.05"/>
    <n v="0.57999999999999996"/>
    <n v="0"/>
    <n v="0"/>
    <n v="7.0000000000000007E-2"/>
    <n v="0.05"/>
    <n v="8.09"/>
    <n v="41.44"/>
    <n v="3.98"/>
    <n v="0"/>
    <n v="8.34"/>
    <n v="37.65"/>
    <n v="7.18"/>
    <n v="0"/>
    <n v="0"/>
    <n v="0.83"/>
    <n v="0.57999999999999996"/>
    <n v="3"/>
    <x v="1"/>
  </r>
  <r>
    <x v="1"/>
    <x v="6"/>
    <x v="1"/>
    <x v="22"/>
    <n v="184"/>
    <n v="14"/>
    <n v="11"/>
    <n v="14"/>
    <n v="0"/>
    <n v="5"/>
    <n v="92"/>
    <s v="Derice Warnsley"/>
    <s v="Collections Group"/>
    <d v="2026-01-27T00:00:00"/>
    <d v="1899-12-30T14:00:13"/>
    <d v="1899-12-30T23:03:48"/>
    <n v="9.0500000000000007"/>
    <n v="9.0399999999999991"/>
    <n v="3.28"/>
    <n v="0.2"/>
    <n v="0"/>
    <n v="0.11"/>
    <n v="3.93"/>
    <n v="1.49"/>
    <n v="0"/>
    <n v="0"/>
    <n v="0"/>
    <n v="0.02"/>
    <n v="9.0399999999999991"/>
    <n v="36.35"/>
    <n v="2.2400000000000002"/>
    <n v="0"/>
    <n v="1.24"/>
    <n v="43.48"/>
    <n v="16.489999999999998"/>
    <n v="0"/>
    <n v="0"/>
    <n v="0"/>
    <n v="0.2"/>
    <n v="3"/>
    <x v="1"/>
  </r>
  <r>
    <x v="2"/>
    <x v="6"/>
    <x v="1"/>
    <x v="28"/>
    <n v="212"/>
    <n v="15"/>
    <n v="9"/>
    <n v="17"/>
    <n v="0"/>
    <n v="2"/>
    <n v="117"/>
    <s v="Isiah Thomas"/>
    <s v="Collections Group"/>
    <d v="2026-01-27T00:00:00"/>
    <d v="1899-12-30T14:00:19"/>
    <d v="1899-12-30T23:02:30"/>
    <n v="9.0299999999999994"/>
    <n v="9.0399999999999991"/>
    <n v="2.17"/>
    <n v="0.96"/>
    <n v="0"/>
    <n v="0.26"/>
    <n v="4.13"/>
    <n v="1.51"/>
    <n v="0"/>
    <n v="0"/>
    <n v="0"/>
    <n v="0.01"/>
    <n v="9.0399999999999991"/>
    <n v="24.02"/>
    <n v="10.65"/>
    <n v="0"/>
    <n v="2.83"/>
    <n v="45.76"/>
    <n v="16.68"/>
    <n v="0"/>
    <n v="0"/>
    <n v="0"/>
    <n v="7.0000000000000007E-2"/>
    <n v="3"/>
    <x v="1"/>
  </r>
  <r>
    <x v="3"/>
    <x v="6"/>
    <x v="1"/>
    <x v="29"/>
    <n v="155"/>
    <n v="4"/>
    <n v="26"/>
    <n v="18"/>
    <n v="1"/>
    <n v="6"/>
    <n v="64"/>
    <s v="Jerrod Coleman"/>
    <s v="Collections Group"/>
    <d v="2026-01-27T00:00:00"/>
    <d v="1899-12-30T13:59:23"/>
    <d v="1899-12-30T22:58:45"/>
    <n v="8.98"/>
    <n v="8.91"/>
    <n v="2.69"/>
    <n v="0.62"/>
    <n v="0"/>
    <n v="0.44"/>
    <n v="3.68"/>
    <n v="1.48"/>
    <n v="0"/>
    <n v="0"/>
    <n v="0"/>
    <n v="0.01"/>
    <n v="8.91"/>
    <n v="30.17"/>
    <n v="6.92"/>
    <n v="0"/>
    <n v="4.93"/>
    <n v="41.27"/>
    <n v="16.57"/>
    <n v="0"/>
    <n v="0"/>
    <n v="0"/>
    <n v="0.13"/>
    <n v="3"/>
    <x v="1"/>
  </r>
  <r>
    <x v="4"/>
    <x v="6"/>
    <x v="1"/>
    <x v="13"/>
    <n v="1"/>
    <n v="0"/>
    <n v="0"/>
    <n v="0"/>
    <n v="0"/>
    <n v="0"/>
    <n v="0"/>
    <s v="Rosette Rwabugahya"/>
    <s v="Collections Group"/>
    <d v="2026-01-27T00:00:00"/>
    <d v="1899-12-30T18:39:44"/>
    <d v="1899-12-30T21:03:09"/>
    <n v="2.4"/>
    <n v="2.39"/>
    <n v="2.38"/>
    <n v="0"/>
    <n v="0"/>
    <n v="0"/>
    <n v="0"/>
    <n v="0"/>
    <n v="0"/>
    <n v="0"/>
    <n v="0"/>
    <n v="0.01"/>
    <n v="2.39"/>
    <n v="99.67"/>
    <n v="0"/>
    <n v="0"/>
    <n v="0"/>
    <n v="0"/>
    <n v="0"/>
    <n v="0"/>
    <n v="0"/>
    <n v="0"/>
    <n v="0.33"/>
    <n v="3"/>
    <x v="1"/>
  </r>
  <r>
    <x v="5"/>
    <x v="6"/>
    <x v="1"/>
    <x v="28"/>
    <n v="207"/>
    <n v="10"/>
    <n v="11"/>
    <n v="14"/>
    <n v="1"/>
    <n v="0"/>
    <n v="101"/>
    <s v="Sabigh Masood"/>
    <s v="Collections Group"/>
    <d v="2026-01-27T00:00:00"/>
    <d v="1899-12-30T14:00:19"/>
    <d v="1899-12-30T23:00:23"/>
    <n v="9"/>
    <n v="9"/>
    <n v="2.84"/>
    <n v="0.23"/>
    <n v="0"/>
    <n v="0.47"/>
    <n v="4"/>
    <n v="1.46"/>
    <n v="0"/>
    <n v="0"/>
    <n v="0"/>
    <n v="0"/>
    <n v="9"/>
    <n v="31.54"/>
    <n v="2.5499999999999998"/>
    <n v="0"/>
    <n v="5.23"/>
    <n v="44.39"/>
    <n v="16.25"/>
    <n v="0"/>
    <n v="0"/>
    <n v="0"/>
    <n v="0.03"/>
    <n v="3"/>
    <x v="1"/>
  </r>
  <r>
    <x v="6"/>
    <x v="6"/>
    <x v="1"/>
    <x v="30"/>
    <n v="0"/>
    <n v="0"/>
    <n v="0"/>
    <n v="0"/>
    <n v="0"/>
    <n v="0"/>
    <n v="0"/>
    <m/>
    <m/>
    <m/>
    <m/>
    <m/>
    <m/>
    <m/>
    <m/>
    <m/>
    <m/>
    <m/>
    <m/>
    <m/>
    <m/>
    <m/>
    <m/>
    <m/>
    <m/>
    <m/>
    <m/>
    <m/>
    <m/>
    <m/>
    <m/>
    <m/>
    <m/>
    <m/>
    <m/>
    <n v="3"/>
    <x v="1"/>
  </r>
  <r>
    <x v="0"/>
    <x v="7"/>
    <x v="1"/>
    <x v="31"/>
    <n v="91"/>
    <n v="1"/>
    <n v="6"/>
    <n v="6"/>
    <n v="1"/>
    <n v="1"/>
    <n v="44"/>
    <s v="Anais Orozco"/>
    <s v="Collections Group"/>
    <d v="2026-01-26T00:00:00"/>
    <d v="1899-12-30T13:59:34"/>
    <d v="1899-12-30T23:00:07"/>
    <n v="9.02"/>
    <n v="8.1"/>
    <n v="2.81"/>
    <n v="0.63"/>
    <n v="0"/>
    <n v="0.25"/>
    <n v="3.78"/>
    <n v="0.57999999999999996"/>
    <n v="0"/>
    <n v="0"/>
    <n v="0"/>
    <n v="0.05"/>
    <n v="8.1"/>
    <n v="34.659999999999997"/>
    <n v="7.73"/>
    <n v="0"/>
    <n v="3.1"/>
    <n v="46.69"/>
    <n v="7.15"/>
    <n v="0"/>
    <n v="0"/>
    <n v="0"/>
    <n v="0.66"/>
    <n v="2"/>
    <x v="2"/>
  </r>
  <r>
    <x v="1"/>
    <x v="7"/>
    <x v="1"/>
    <x v="32"/>
    <n v="118"/>
    <n v="4"/>
    <n v="8"/>
    <n v="25"/>
    <n v="1"/>
    <n v="0"/>
    <n v="41"/>
    <s v="Derice Warnsley"/>
    <s v="Collections Group"/>
    <d v="2026-01-26T00:00:00"/>
    <d v="1899-12-30T14:00:19"/>
    <d v="1899-12-30T23:00:06"/>
    <n v="9"/>
    <n v="9"/>
    <n v="2.31"/>
    <n v="0.12"/>
    <n v="0"/>
    <n v="0.12"/>
    <n v="3.97"/>
    <n v="1.51"/>
    <n v="0.97"/>
    <n v="0"/>
    <n v="0"/>
    <n v="0.01"/>
    <n v="9"/>
    <n v="25.67"/>
    <n v="1.33"/>
    <n v="0"/>
    <n v="1.31"/>
    <n v="44.09"/>
    <n v="16.739999999999998"/>
    <n v="10.8"/>
    <n v="0"/>
    <n v="0"/>
    <n v="0.08"/>
    <n v="2"/>
    <x v="2"/>
  </r>
  <r>
    <x v="2"/>
    <x v="7"/>
    <x v="1"/>
    <x v="27"/>
    <n v="153"/>
    <n v="3"/>
    <n v="2"/>
    <n v="23"/>
    <n v="1"/>
    <n v="1"/>
    <n v="96"/>
    <s v="Isiah Thomas"/>
    <s v="Collections Group"/>
    <d v="2026-01-26T00:00:00"/>
    <d v="1899-12-30T14:00:12"/>
    <d v="1899-12-30T23:00:03"/>
    <n v="9"/>
    <n v="9"/>
    <n v="1.78"/>
    <n v="0.54"/>
    <n v="0"/>
    <n v="0.22"/>
    <n v="4.96"/>
    <n v="1.5"/>
    <n v="0"/>
    <n v="0"/>
    <n v="0"/>
    <n v="0"/>
    <n v="9"/>
    <n v="19.78"/>
    <n v="5.95"/>
    <n v="0"/>
    <n v="2.4"/>
    <n v="55.13"/>
    <n v="16.7"/>
    <n v="0"/>
    <n v="0"/>
    <n v="0"/>
    <n v="0.04"/>
    <n v="2"/>
    <x v="2"/>
  </r>
  <r>
    <x v="3"/>
    <x v="7"/>
    <x v="1"/>
    <x v="33"/>
    <n v="140"/>
    <n v="8"/>
    <n v="4"/>
    <n v="19"/>
    <n v="3"/>
    <n v="7"/>
    <n v="73"/>
    <s v="Jerrod Coleman"/>
    <s v="Collections Group"/>
    <d v="2026-01-26T00:00:00"/>
    <d v="1899-12-30T13:59:44"/>
    <d v="1899-12-30T23:00:37"/>
    <n v="9.02"/>
    <n v="9.01"/>
    <n v="2.78"/>
    <n v="0.42"/>
    <n v="0"/>
    <n v="0.28999999999999998"/>
    <n v="4.07"/>
    <n v="1.45"/>
    <n v="0"/>
    <n v="0"/>
    <n v="0"/>
    <n v="0"/>
    <n v="9.01"/>
    <n v="30.8"/>
    <n v="4.67"/>
    <n v="0"/>
    <n v="3.24"/>
    <n v="45.18"/>
    <n v="16.079999999999998"/>
    <n v="0"/>
    <n v="0"/>
    <n v="0"/>
    <n v="0.04"/>
    <n v="2"/>
    <x v="2"/>
  </r>
  <r>
    <x v="5"/>
    <x v="7"/>
    <x v="1"/>
    <x v="34"/>
    <n v="169"/>
    <n v="2"/>
    <n v="15"/>
    <n v="11"/>
    <n v="1"/>
    <n v="0"/>
    <n v="93"/>
    <s v="Sabigh Masood"/>
    <s v="Collections Group"/>
    <d v="2026-01-26T00:00:00"/>
    <d v="1899-12-30T13:59:52"/>
    <d v="1899-12-30T23:09:26"/>
    <n v="9.17"/>
    <n v="9.16"/>
    <n v="1.75"/>
    <n v="0.25"/>
    <n v="0"/>
    <n v="0.56000000000000005"/>
    <n v="5.16"/>
    <n v="1.44"/>
    <n v="0"/>
    <n v="0"/>
    <n v="0"/>
    <n v="0"/>
    <n v="9.16"/>
    <n v="19.12"/>
    <n v="2.74"/>
    <n v="0"/>
    <n v="6.07"/>
    <n v="56.34"/>
    <n v="15.71"/>
    <n v="0"/>
    <n v="0"/>
    <n v="0"/>
    <n v="0.03"/>
    <n v="2"/>
    <x v="2"/>
  </r>
  <r>
    <x v="6"/>
    <x v="7"/>
    <x v="1"/>
    <x v="35"/>
    <n v="0"/>
    <n v="0"/>
    <n v="0"/>
    <n v="0"/>
    <n v="0"/>
    <n v="0"/>
    <n v="0"/>
    <m/>
    <m/>
    <m/>
    <m/>
    <m/>
    <m/>
    <m/>
    <m/>
    <m/>
    <m/>
    <m/>
    <m/>
    <m/>
    <m/>
    <m/>
    <m/>
    <m/>
    <m/>
    <m/>
    <m/>
    <m/>
    <m/>
    <m/>
    <m/>
    <m/>
    <m/>
    <m/>
    <m/>
    <n v="2"/>
    <x v="2"/>
  </r>
  <r>
    <x v="1"/>
    <x v="8"/>
    <x v="1"/>
    <x v="36"/>
    <n v="89"/>
    <n v="11"/>
    <n v="2"/>
    <n v="8"/>
    <n v="0"/>
    <n v="6"/>
    <n v="1"/>
    <s v="Derice Warnsley"/>
    <s v="Collections Group"/>
    <d v="2026-01-23T00:00:00"/>
    <d v="1899-12-30T14:00:54"/>
    <d v="1899-12-30T23:02:21"/>
    <n v="9.0299999999999994"/>
    <n v="9.02"/>
    <n v="2.85"/>
    <n v="0.08"/>
    <n v="0"/>
    <n v="0.1"/>
    <n v="3.98"/>
    <n v="1.48"/>
    <n v="0.53"/>
    <n v="0"/>
    <n v="0"/>
    <n v="0"/>
    <n v="9.02"/>
    <n v="31.62"/>
    <n v="0.87"/>
    <n v="0"/>
    <n v="1.0900000000000001"/>
    <n v="44.12"/>
    <n v="16.43"/>
    <n v="5.83"/>
    <n v="0"/>
    <n v="0"/>
    <n v="0.04"/>
    <n v="6"/>
    <x v="3"/>
  </r>
  <r>
    <x v="2"/>
    <x v="8"/>
    <x v="1"/>
    <x v="8"/>
    <n v="83"/>
    <n v="7"/>
    <n v="1"/>
    <n v="9"/>
    <n v="0"/>
    <n v="1"/>
    <n v="0"/>
    <s v="Isiah Thomas"/>
    <s v="Collections Group"/>
    <d v="2026-01-23T00:00:00"/>
    <d v="1899-12-30T13:59:59"/>
    <d v="1899-12-30T23:00:08"/>
    <n v="9.02"/>
    <n v="9"/>
    <n v="2.4"/>
    <n v="0.61"/>
    <n v="0"/>
    <n v="0.43"/>
    <n v="4.0599999999999996"/>
    <n v="1.49"/>
    <n v="0"/>
    <n v="0"/>
    <n v="0"/>
    <n v="0.01"/>
    <n v="9"/>
    <n v="26.7"/>
    <n v="6.76"/>
    <n v="0"/>
    <n v="4.7699999999999996"/>
    <n v="45.09"/>
    <n v="16.57"/>
    <n v="0"/>
    <n v="0"/>
    <n v="0.05"/>
    <n v="0.06"/>
    <n v="6"/>
    <x v="3"/>
  </r>
  <r>
    <x v="3"/>
    <x v="8"/>
    <x v="1"/>
    <x v="37"/>
    <n v="66"/>
    <n v="3"/>
    <n v="3"/>
    <n v="9"/>
    <n v="1"/>
    <n v="2"/>
    <n v="2"/>
    <s v="Jerrod Coleman"/>
    <s v="Collections Group"/>
    <d v="2026-01-23T00:00:00"/>
    <d v="1899-12-30T13:59:52"/>
    <d v="1899-12-30T23:11:17"/>
    <n v="9.1999999999999993"/>
    <n v="9.19"/>
    <n v="3.03"/>
    <n v="0.46"/>
    <n v="0"/>
    <n v="0.28999999999999998"/>
    <n v="3.35"/>
    <n v="1.48"/>
    <n v="0.57999999999999996"/>
    <n v="0"/>
    <n v="0"/>
    <n v="0"/>
    <n v="9.19"/>
    <n v="33"/>
    <n v="4.97"/>
    <n v="0"/>
    <n v="3.2"/>
    <n v="36.409999999999997"/>
    <n v="16.11"/>
    <n v="6.26"/>
    <n v="0"/>
    <n v="0"/>
    <n v="0.05"/>
    <n v="6"/>
    <x v="3"/>
  </r>
  <r>
    <x v="5"/>
    <x v="8"/>
    <x v="1"/>
    <x v="38"/>
    <n v="65"/>
    <n v="6"/>
    <n v="2"/>
    <n v="6"/>
    <n v="0"/>
    <n v="0"/>
    <n v="0"/>
    <s v="Sabigh Masood"/>
    <s v="Collections Group"/>
    <d v="2026-01-23T00:00:00"/>
    <d v="1899-12-30T13:59:51"/>
    <d v="1899-12-30T23:11:34"/>
    <n v="9.1999999999999993"/>
    <n v="9.19"/>
    <n v="2.2799999999999998"/>
    <n v="0.18"/>
    <n v="0"/>
    <n v="0.57999999999999996"/>
    <n v="3.95"/>
    <n v="1.85"/>
    <n v="0.34"/>
    <n v="0"/>
    <n v="0"/>
    <n v="0"/>
    <n v="9.19"/>
    <n v="24.82"/>
    <n v="2.0099999999999998"/>
    <n v="0"/>
    <n v="6.35"/>
    <n v="43"/>
    <n v="20.100000000000001"/>
    <n v="3.7"/>
    <n v="0"/>
    <n v="0"/>
    <n v="0.03"/>
    <n v="6"/>
    <x v="3"/>
  </r>
  <r>
    <x v="0"/>
    <x v="9"/>
    <x v="1"/>
    <x v="39"/>
    <n v="85"/>
    <n v="6"/>
    <n v="2"/>
    <n v="4"/>
    <n v="0"/>
    <n v="0"/>
    <n v="35"/>
    <s v="Anais Orozco"/>
    <s v="Collections Group"/>
    <d v="2026-01-22T00:00:00"/>
    <d v="1899-12-30T13:58:24"/>
    <d v="1899-12-30T23:02:01"/>
    <n v="9.07"/>
    <n v="8.76"/>
    <n v="1.92"/>
    <n v="0.18"/>
    <n v="0"/>
    <n v="0.27"/>
    <n v="3.94"/>
    <n v="0.94"/>
    <n v="1.44"/>
    <n v="0"/>
    <n v="0"/>
    <n v="0.06"/>
    <n v="8.76"/>
    <n v="21.92"/>
    <n v="2.0299999999999998"/>
    <n v="0"/>
    <n v="3.11"/>
    <n v="45.03"/>
    <n v="10.77"/>
    <n v="16.440000000000001"/>
    <n v="0"/>
    <n v="0"/>
    <n v="0.69"/>
    <n v="5"/>
    <x v="4"/>
  </r>
  <r>
    <x v="1"/>
    <x v="9"/>
    <x v="1"/>
    <x v="32"/>
    <n v="108"/>
    <n v="13"/>
    <n v="2"/>
    <n v="7"/>
    <n v="0"/>
    <n v="1"/>
    <n v="36"/>
    <s v="Derice Warnsley"/>
    <s v="Collections Group"/>
    <d v="2026-01-22T00:00:00"/>
    <d v="1899-12-30T13:59:47"/>
    <d v="1899-12-30T23:00:03"/>
    <n v="9.02"/>
    <n v="9"/>
    <n v="2.2000000000000002"/>
    <n v="0.02"/>
    <n v="0"/>
    <n v="0.1"/>
    <n v="3.72"/>
    <n v="1.46"/>
    <n v="1.5"/>
    <n v="0"/>
    <n v="0"/>
    <n v="0.01"/>
    <n v="9"/>
    <n v="24.45"/>
    <n v="0.21"/>
    <n v="0"/>
    <n v="1.1000000000000001"/>
    <n v="41.32"/>
    <n v="16.25"/>
    <n v="16.600000000000001"/>
    <n v="0"/>
    <n v="0"/>
    <n v="7.0000000000000007E-2"/>
    <n v="5"/>
    <x v="4"/>
  </r>
  <r>
    <x v="2"/>
    <x v="9"/>
    <x v="1"/>
    <x v="40"/>
    <n v="77"/>
    <n v="7"/>
    <n v="0"/>
    <n v="5"/>
    <n v="0"/>
    <n v="2"/>
    <n v="35"/>
    <s v="Isiah Thomas"/>
    <s v="Collections Group"/>
    <d v="2026-01-22T00:00:00"/>
    <d v="1899-12-30T13:59:02"/>
    <d v="1899-12-30T23:00:04"/>
    <n v="9.02"/>
    <n v="9.02"/>
    <n v="1.69"/>
    <n v="0.05"/>
    <n v="0"/>
    <n v="0.15"/>
    <n v="3.61"/>
    <n v="1.42"/>
    <n v="2.0699999999999998"/>
    <n v="0"/>
    <n v="0"/>
    <n v="0.02"/>
    <n v="9.02"/>
    <n v="18.78"/>
    <n v="0.57999999999999996"/>
    <n v="0"/>
    <n v="1.62"/>
    <n v="40.06"/>
    <n v="15.75"/>
    <n v="22.96"/>
    <n v="0"/>
    <n v="0"/>
    <n v="0.24"/>
    <n v="5"/>
    <x v="4"/>
  </r>
  <r>
    <x v="3"/>
    <x v="9"/>
    <x v="1"/>
    <x v="41"/>
    <n v="102"/>
    <n v="10"/>
    <n v="9"/>
    <n v="2"/>
    <n v="1"/>
    <n v="0"/>
    <n v="49"/>
    <s v="Jerrod Coleman"/>
    <s v="Collections Group"/>
    <d v="2026-01-22T00:00:00"/>
    <d v="1899-12-30T13:59:56"/>
    <d v="1899-12-30T22:59:29"/>
    <n v="9"/>
    <n v="8.99"/>
    <n v="1.96"/>
    <n v="0.23"/>
    <n v="0"/>
    <n v="0.17"/>
    <n v="3.68"/>
    <n v="1.48"/>
    <n v="1.47"/>
    <n v="0"/>
    <n v="0"/>
    <n v="0"/>
    <n v="8.99"/>
    <n v="21.77"/>
    <n v="2.56"/>
    <n v="0"/>
    <n v="1.92"/>
    <n v="40.96"/>
    <n v="16.440000000000001"/>
    <n v="16.309999999999999"/>
    <n v="0"/>
    <n v="0"/>
    <n v="0.04"/>
    <n v="5"/>
    <x v="4"/>
  </r>
  <r>
    <x v="5"/>
    <x v="9"/>
    <x v="1"/>
    <x v="42"/>
    <n v="95"/>
    <n v="2"/>
    <n v="4"/>
    <n v="6"/>
    <n v="0"/>
    <n v="0"/>
    <n v="49"/>
    <s v="Sabigh Masood"/>
    <s v="Collections Group"/>
    <d v="2026-01-22T00:00:00"/>
    <d v="1899-12-30T13:59:53"/>
    <d v="1899-12-30T23:01:31"/>
    <n v="9.0299999999999994"/>
    <n v="9.0299999999999994"/>
    <n v="1.86"/>
    <n v="0.1"/>
    <n v="0"/>
    <n v="0.5"/>
    <n v="3.65"/>
    <n v="1.46"/>
    <n v="1.45"/>
    <n v="0"/>
    <n v="0"/>
    <n v="0"/>
    <n v="9.0299999999999994"/>
    <n v="20.61"/>
    <n v="1.1200000000000001"/>
    <n v="0"/>
    <n v="5.58"/>
    <n v="40.409999999999997"/>
    <n v="16.170000000000002"/>
    <n v="16.079999999999998"/>
    <n v="0"/>
    <n v="0"/>
    <n v="0.04"/>
    <n v="5"/>
    <x v="4"/>
  </r>
  <r>
    <x v="6"/>
    <x v="9"/>
    <x v="1"/>
    <x v="43"/>
    <n v="0"/>
    <n v="0"/>
    <n v="0"/>
    <n v="0"/>
    <n v="0"/>
    <n v="0"/>
    <n v="0"/>
    <m/>
    <m/>
    <m/>
    <m/>
    <m/>
    <m/>
    <m/>
    <m/>
    <m/>
    <m/>
    <m/>
    <m/>
    <m/>
    <m/>
    <m/>
    <m/>
    <m/>
    <m/>
    <m/>
    <m/>
    <m/>
    <m/>
    <m/>
    <m/>
    <m/>
    <m/>
    <m/>
    <m/>
    <n v="5"/>
    <x v="4"/>
  </r>
  <r>
    <x v="0"/>
    <x v="10"/>
    <x v="1"/>
    <x v="31"/>
    <n v="94"/>
    <n v="17"/>
    <n v="7"/>
    <n v="13"/>
    <n v="0"/>
    <n v="1"/>
    <n v="35"/>
    <s v="Anais Orozco"/>
    <s v="Collections Group"/>
    <d v="2026-01-21T00:00:00"/>
    <d v="1899-12-30T14:01:25"/>
    <d v="1899-12-30T23:00:24"/>
    <n v="8.98"/>
    <n v="8.9700000000000006"/>
    <n v="3.09"/>
    <n v="0.57999999999999996"/>
    <n v="0"/>
    <n v="0.47"/>
    <n v="2.36"/>
    <n v="1.33"/>
    <n v="1.05"/>
    <n v="0"/>
    <n v="0.08"/>
    <n v="0.01"/>
    <n v="8.9700000000000006"/>
    <n v="34.479999999999997"/>
    <n v="6.51"/>
    <n v="0"/>
    <n v="5.19"/>
    <n v="26.34"/>
    <n v="14.84"/>
    <n v="11.65"/>
    <n v="0"/>
    <n v="0.87"/>
    <n v="0.12"/>
    <n v="4"/>
    <x v="0"/>
  </r>
  <r>
    <x v="1"/>
    <x v="10"/>
    <x v="1"/>
    <x v="44"/>
    <n v="128"/>
    <n v="18"/>
    <n v="6"/>
    <n v="7"/>
    <n v="1"/>
    <n v="0"/>
    <n v="60"/>
    <s v="Derice Warnsley"/>
    <s v="Collections Group"/>
    <d v="2026-01-21T00:00:00"/>
    <d v="1899-12-30T14:00:19"/>
    <d v="1899-12-30T23:00:03"/>
    <n v="9"/>
    <n v="9"/>
    <n v="3.52"/>
    <n v="0"/>
    <n v="0"/>
    <n v="0.11"/>
    <n v="2.78"/>
    <n v="1.46"/>
    <n v="1.1100000000000001"/>
    <n v="0"/>
    <n v="0"/>
    <n v="0.01"/>
    <n v="9"/>
    <n v="39.130000000000003"/>
    <n v="0"/>
    <n v="0"/>
    <n v="1.28"/>
    <n v="30.9"/>
    <n v="16.28"/>
    <n v="12.33"/>
    <n v="0"/>
    <n v="0"/>
    <n v="0.09"/>
    <n v="4"/>
    <x v="0"/>
  </r>
  <r>
    <x v="2"/>
    <x v="10"/>
    <x v="1"/>
    <x v="12"/>
    <n v="144"/>
    <n v="13"/>
    <n v="3"/>
    <n v="9"/>
    <n v="0"/>
    <n v="1"/>
    <n v="84"/>
    <s v="Isiah Thomas"/>
    <s v="Collections Group"/>
    <d v="2026-01-21T00:00:00"/>
    <d v="1899-12-30T13:59:57"/>
    <d v="1899-12-30T23:00:05"/>
    <n v="9.02"/>
    <n v="9"/>
    <n v="2.34"/>
    <n v="0.69"/>
    <n v="0"/>
    <n v="0.31"/>
    <n v="3.09"/>
    <n v="1.5"/>
    <n v="1.07"/>
    <n v="0"/>
    <n v="0"/>
    <n v="0.01"/>
    <n v="9"/>
    <n v="25.97"/>
    <n v="7.66"/>
    <n v="0"/>
    <n v="3.44"/>
    <n v="34.33"/>
    <n v="16.649999999999999"/>
    <n v="11.89"/>
    <n v="0"/>
    <n v="0"/>
    <n v="0.06"/>
    <n v="4"/>
    <x v="0"/>
  </r>
  <r>
    <x v="3"/>
    <x v="10"/>
    <x v="1"/>
    <x v="45"/>
    <n v="168"/>
    <n v="24"/>
    <n v="4"/>
    <n v="15"/>
    <n v="0"/>
    <n v="4"/>
    <n v="76"/>
    <s v="Jerrod Coleman"/>
    <s v="Collections Group"/>
    <d v="2026-01-21T00:00:00"/>
    <d v="1899-12-30T13:59:44"/>
    <d v="1899-12-30T22:58:11"/>
    <n v="8.98"/>
    <n v="8.9700000000000006"/>
    <n v="2.65"/>
    <n v="0.45"/>
    <n v="0"/>
    <n v="0.3"/>
    <n v="3.03"/>
    <n v="1.42"/>
    <n v="1.1100000000000001"/>
    <n v="0"/>
    <n v="0"/>
    <n v="0"/>
    <n v="8.9700000000000006"/>
    <n v="29.59"/>
    <n v="4.96"/>
    <n v="0"/>
    <n v="3.4"/>
    <n v="33.770000000000003"/>
    <n v="15.84"/>
    <n v="12.39"/>
    <n v="0"/>
    <n v="0"/>
    <n v="0.05"/>
    <n v="4"/>
    <x v="0"/>
  </r>
  <r>
    <x v="5"/>
    <x v="10"/>
    <x v="1"/>
    <x v="16"/>
    <n v="122"/>
    <n v="15"/>
    <n v="9"/>
    <n v="12"/>
    <n v="0"/>
    <n v="3"/>
    <n v="44"/>
    <s v="Sabigh Masood"/>
    <s v="Collections Group"/>
    <d v="2026-01-21T00:00:00"/>
    <d v="1899-12-30T14:00:34"/>
    <d v="1899-12-30T23:02:43"/>
    <n v="9.0299999999999994"/>
    <n v="9.0399999999999991"/>
    <n v="3.43"/>
    <n v="0.23"/>
    <n v="0"/>
    <n v="0.7"/>
    <n v="2.75"/>
    <n v="1.47"/>
    <n v="0.45"/>
    <n v="0"/>
    <n v="0"/>
    <n v="0"/>
    <n v="9.0399999999999991"/>
    <n v="37.92"/>
    <n v="2.58"/>
    <n v="0"/>
    <n v="7.75"/>
    <n v="30.45"/>
    <n v="16.28"/>
    <n v="4.99"/>
    <n v="0"/>
    <n v="0"/>
    <n v="0.03"/>
    <n v="4"/>
    <x v="0"/>
  </r>
  <r>
    <x v="6"/>
    <x v="10"/>
    <x v="1"/>
    <x v="46"/>
    <n v="0"/>
    <n v="0"/>
    <n v="0"/>
    <n v="0"/>
    <n v="0"/>
    <n v="0"/>
    <n v="0"/>
    <m/>
    <m/>
    <m/>
    <m/>
    <m/>
    <m/>
    <m/>
    <m/>
    <m/>
    <m/>
    <m/>
    <m/>
    <m/>
    <m/>
    <m/>
    <m/>
    <m/>
    <m/>
    <m/>
    <m/>
    <m/>
    <m/>
    <m/>
    <m/>
    <m/>
    <m/>
    <m/>
    <m/>
    <n v="4"/>
    <x v="0"/>
  </r>
  <r>
    <x v="0"/>
    <x v="11"/>
    <x v="1"/>
    <x v="2"/>
    <n v="82"/>
    <n v="14"/>
    <n v="8"/>
    <n v="4"/>
    <n v="0"/>
    <n v="1"/>
    <n v="1"/>
    <s v="Anais Orozco"/>
    <s v="Collections Group"/>
    <d v="2026-01-20T00:00:00"/>
    <d v="1899-12-30T14:00:41"/>
    <d v="1899-12-30T23:00:52"/>
    <n v="9"/>
    <n v="8.2200000000000006"/>
    <n v="3.75"/>
    <n v="0.36"/>
    <n v="0"/>
    <n v="0.48"/>
    <n v="2.79"/>
    <n v="0.64"/>
    <n v="0.21"/>
    <n v="0"/>
    <n v="0"/>
    <n v="0.01"/>
    <n v="8.2200000000000006"/>
    <n v="45.56"/>
    <n v="4.32"/>
    <n v="0"/>
    <n v="5.82"/>
    <n v="33.93"/>
    <n v="7.73"/>
    <n v="2.5099999999999998"/>
    <n v="0"/>
    <n v="0"/>
    <n v="0.13"/>
    <n v="3"/>
    <x v="1"/>
  </r>
  <r>
    <x v="1"/>
    <x v="11"/>
    <x v="1"/>
    <x v="36"/>
    <n v="104"/>
    <n v="13"/>
    <n v="7"/>
    <n v="7"/>
    <n v="0"/>
    <n v="2"/>
    <n v="2"/>
    <s v="Derice Warnsley"/>
    <s v="Collections Group"/>
    <d v="2026-01-20T00:00:00"/>
    <d v="1899-12-30T13:58:56"/>
    <d v="1899-12-30T23:02:19"/>
    <n v="9.07"/>
    <n v="9.0500000000000007"/>
    <n v="3.89"/>
    <n v="0.15"/>
    <n v="0"/>
    <n v="0.16"/>
    <n v="3.33"/>
    <n v="1.5"/>
    <n v="0"/>
    <n v="0"/>
    <n v="0"/>
    <n v="0.03"/>
    <n v="9.0500000000000007"/>
    <n v="43.01"/>
    <n v="1.66"/>
    <n v="0"/>
    <n v="1.77"/>
    <n v="36.75"/>
    <n v="16.53"/>
    <n v="0"/>
    <n v="0"/>
    <n v="0"/>
    <n v="0.28000000000000003"/>
    <n v="3"/>
    <x v="1"/>
  </r>
  <r>
    <x v="2"/>
    <x v="11"/>
    <x v="1"/>
    <x v="47"/>
    <n v="104"/>
    <n v="9"/>
    <n v="3"/>
    <n v="3"/>
    <n v="2"/>
    <n v="0"/>
    <n v="9"/>
    <s v="Isiah Thomas"/>
    <s v="Collections Group"/>
    <d v="2026-01-20T00:00:00"/>
    <d v="1899-12-30T13:59:31"/>
    <d v="1899-12-30T23:00:27"/>
    <n v="9.02"/>
    <n v="9.01"/>
    <n v="3.7"/>
    <n v="0.91"/>
    <n v="0"/>
    <n v="0.44"/>
    <n v="2.31"/>
    <n v="1.47"/>
    <n v="0"/>
    <n v="0"/>
    <n v="0.18"/>
    <n v="0.01"/>
    <n v="9.01"/>
    <n v="41.01"/>
    <n v="10.09"/>
    <n v="0"/>
    <n v="4.93"/>
    <n v="25.59"/>
    <n v="16.28"/>
    <n v="0"/>
    <n v="0"/>
    <n v="1.99"/>
    <n v="0.11"/>
    <n v="3"/>
    <x v="1"/>
  </r>
  <r>
    <x v="3"/>
    <x v="11"/>
    <x v="1"/>
    <x v="48"/>
    <n v="104"/>
    <n v="6"/>
    <n v="11"/>
    <n v="9"/>
    <n v="2"/>
    <n v="8"/>
    <n v="2"/>
    <s v="Jerrod Coleman"/>
    <s v="Collections Group"/>
    <d v="2026-01-20T00:00:00"/>
    <d v="1899-12-30T13:59:53"/>
    <d v="1899-12-30T22:59:24"/>
    <n v="9"/>
    <n v="8.99"/>
    <n v="3.46"/>
    <n v="0.7"/>
    <n v="0"/>
    <n v="0.46"/>
    <n v="2.9"/>
    <n v="1.45"/>
    <n v="0"/>
    <n v="0"/>
    <n v="0.01"/>
    <n v="0"/>
    <n v="8.99"/>
    <n v="38.53"/>
    <n v="7.81"/>
    <n v="0"/>
    <n v="5.1100000000000003"/>
    <n v="32.25"/>
    <n v="16.12"/>
    <n v="0.01"/>
    <n v="0"/>
    <n v="0.14000000000000001"/>
    <n v="0.04"/>
    <n v="3"/>
    <x v="1"/>
  </r>
  <r>
    <x v="4"/>
    <x v="11"/>
    <x v="1"/>
    <x v="13"/>
    <n v="1"/>
    <n v="0"/>
    <n v="0"/>
    <n v="1"/>
    <n v="0"/>
    <n v="0"/>
    <n v="0"/>
    <s v="Rosette Rwabugahya"/>
    <s v="Collections Group"/>
    <d v="2026-01-20T00:00:00"/>
    <d v="1899-12-30T20:25:30"/>
    <d v="1899-12-30T20:41:45"/>
    <n v="0.27"/>
    <n v="0.27"/>
    <n v="0.26"/>
    <n v="0"/>
    <n v="0"/>
    <n v="0"/>
    <n v="0"/>
    <n v="0"/>
    <n v="0"/>
    <n v="0"/>
    <n v="0"/>
    <n v="0.01"/>
    <n v="0.27"/>
    <n v="96.1"/>
    <n v="0"/>
    <n v="0"/>
    <n v="1.74"/>
    <n v="0"/>
    <n v="0"/>
    <n v="0"/>
    <n v="0"/>
    <n v="0"/>
    <n v="2.15"/>
    <n v="3"/>
    <x v="1"/>
  </r>
  <r>
    <x v="5"/>
    <x v="11"/>
    <x v="1"/>
    <x v="49"/>
    <n v="108"/>
    <n v="6"/>
    <n v="4"/>
    <n v="8"/>
    <n v="0"/>
    <n v="2"/>
    <n v="1"/>
    <s v="Sabigh Masood"/>
    <s v="Collections Group"/>
    <d v="2026-01-20T00:00:00"/>
    <d v="1899-12-30T14:00:39"/>
    <d v="1899-12-30T23:01:13"/>
    <n v="9.02"/>
    <n v="9.01"/>
    <n v="3.38"/>
    <n v="0.45"/>
    <n v="0"/>
    <n v="0.59"/>
    <n v="3.15"/>
    <n v="1.44"/>
    <n v="0"/>
    <n v="0"/>
    <n v="0"/>
    <n v="0.01"/>
    <n v="9.01"/>
    <n v="37.479999999999997"/>
    <n v="4.97"/>
    <n v="0"/>
    <n v="6.59"/>
    <n v="34.92"/>
    <n v="15.99"/>
    <n v="0"/>
    <n v="0"/>
    <n v="0"/>
    <n v="0.06"/>
    <n v="3"/>
    <x v="1"/>
  </r>
  <r>
    <x v="0"/>
    <x v="12"/>
    <x v="1"/>
    <x v="25"/>
    <n v="77"/>
    <n v="6"/>
    <n v="2"/>
    <n v="11"/>
    <n v="0"/>
    <n v="2"/>
    <n v="2"/>
    <s v="Anais Orozco"/>
    <s v="Collections Group"/>
    <d v="2026-01-16T00:00:00"/>
    <d v="1899-12-30T13:57:45"/>
    <d v="1899-12-30T23:00:59"/>
    <n v="9.0500000000000007"/>
    <n v="7.98"/>
    <n v="2.62"/>
    <n v="0.42"/>
    <n v="0"/>
    <n v="0.55000000000000004"/>
    <n v="3.52"/>
    <n v="0.24"/>
    <n v="0.56999999999999995"/>
    <n v="0"/>
    <n v="0"/>
    <n v="0.05"/>
    <n v="7.98"/>
    <n v="32.880000000000003"/>
    <n v="5.28"/>
    <n v="0"/>
    <n v="6.91"/>
    <n v="44.09"/>
    <n v="3"/>
    <n v="7.16"/>
    <n v="0"/>
    <n v="0"/>
    <n v="0.69"/>
    <n v="6"/>
    <x v="3"/>
  </r>
  <r>
    <x v="2"/>
    <x v="12"/>
    <x v="1"/>
    <x v="28"/>
    <n v="102"/>
    <n v="13"/>
    <n v="1"/>
    <n v="16"/>
    <n v="0"/>
    <n v="1"/>
    <n v="4"/>
    <s v="Isiah Thomas"/>
    <s v="Collections Group"/>
    <d v="2026-01-16T00:00:00"/>
    <d v="1899-12-30T14:00:26"/>
    <d v="1899-12-30T23:00:01"/>
    <n v="9"/>
    <n v="8.99"/>
    <n v="2.67"/>
    <n v="0.31"/>
    <n v="0"/>
    <n v="0.23"/>
    <n v="4.3"/>
    <n v="1.49"/>
    <n v="0"/>
    <n v="0"/>
    <n v="0"/>
    <n v="0"/>
    <n v="8.99"/>
    <n v="29.67"/>
    <n v="3.4"/>
    <n v="0"/>
    <n v="2.5299999999999998"/>
    <n v="47.84"/>
    <n v="16.52"/>
    <n v="0"/>
    <n v="0"/>
    <n v="0"/>
    <n v="0.04"/>
    <n v="6"/>
    <x v="3"/>
  </r>
  <r>
    <x v="3"/>
    <x v="12"/>
    <x v="1"/>
    <x v="50"/>
    <n v="81"/>
    <n v="8"/>
    <n v="10"/>
    <n v="7"/>
    <n v="0"/>
    <n v="6"/>
    <n v="0"/>
    <s v="Jerrod Coleman"/>
    <s v="Collections Group"/>
    <d v="2026-01-16T00:00:00"/>
    <d v="1899-12-30T13:59:12"/>
    <d v="1899-12-30T22:59:24"/>
    <n v="9"/>
    <n v="8.9600000000000009"/>
    <n v="2.68"/>
    <n v="0.34"/>
    <n v="0"/>
    <n v="0.38"/>
    <n v="4.07"/>
    <n v="1.48"/>
    <n v="0"/>
    <n v="0"/>
    <n v="0"/>
    <n v="0.01"/>
    <n v="8.9600000000000009"/>
    <n v="29.85"/>
    <n v="3.81"/>
    <n v="0"/>
    <n v="4.29"/>
    <n v="45.38"/>
    <n v="16.53"/>
    <n v="0"/>
    <n v="0"/>
    <n v="0"/>
    <n v="0.15"/>
    <n v="6"/>
    <x v="3"/>
  </r>
  <r>
    <x v="5"/>
    <x v="12"/>
    <x v="1"/>
    <x v="13"/>
    <n v="1"/>
    <n v="1"/>
    <n v="0"/>
    <n v="0"/>
    <n v="0"/>
    <n v="0"/>
    <n v="0"/>
    <m/>
    <m/>
    <m/>
    <m/>
    <m/>
    <m/>
    <m/>
    <m/>
    <m/>
    <m/>
    <m/>
    <m/>
    <m/>
    <m/>
    <m/>
    <m/>
    <m/>
    <m/>
    <m/>
    <m/>
    <m/>
    <m/>
    <m/>
    <m/>
    <m/>
    <m/>
    <m/>
    <m/>
    <n v="6"/>
    <x v="3"/>
  </r>
  <r>
    <x v="0"/>
    <x v="13"/>
    <x v="1"/>
    <x v="51"/>
    <n v="57"/>
    <n v="4"/>
    <n v="8"/>
    <n v="12"/>
    <n v="1"/>
    <n v="1"/>
    <n v="19"/>
    <s v="Anais Orozco"/>
    <s v="Collections Group"/>
    <d v="2026-01-15T00:00:00"/>
    <d v="1899-12-30T14:00:19"/>
    <d v="1899-12-30T23:07:33"/>
    <n v="9.1199999999999992"/>
    <n v="9.1199999999999992"/>
    <n v="2.68"/>
    <n v="0.47"/>
    <n v="0"/>
    <n v="0.45"/>
    <n v="2.84"/>
    <n v="1.49"/>
    <n v="1.19"/>
    <n v="0"/>
    <n v="0"/>
    <n v="0.01"/>
    <n v="9.1199999999999992"/>
    <n v="29.41"/>
    <n v="5.18"/>
    <n v="0"/>
    <n v="4.8899999999999997"/>
    <n v="31.1"/>
    <n v="16.37"/>
    <n v="13"/>
    <n v="0"/>
    <n v="0"/>
    <n v="0.05"/>
    <n v="5"/>
    <x v="4"/>
  </r>
  <r>
    <x v="2"/>
    <x v="13"/>
    <x v="1"/>
    <x v="52"/>
    <n v="55"/>
    <n v="4"/>
    <n v="9"/>
    <n v="16"/>
    <n v="0"/>
    <n v="1"/>
    <n v="15"/>
    <s v="Isiah Thomas"/>
    <s v="Collections Group"/>
    <d v="2026-01-15T00:00:00"/>
    <d v="1899-12-30T14:00:06"/>
    <d v="1899-12-30T23:00:05"/>
    <n v="9"/>
    <n v="9"/>
    <n v="2.8"/>
    <n v="0.21"/>
    <n v="0"/>
    <n v="0.34"/>
    <n v="2.2599999999999998"/>
    <n v="1.49"/>
    <n v="1.88"/>
    <n v="0"/>
    <n v="0.02"/>
    <n v="0"/>
    <n v="9"/>
    <n v="31.09"/>
    <n v="2.34"/>
    <n v="0"/>
    <n v="3.82"/>
    <n v="25.07"/>
    <n v="16.57"/>
    <n v="20.9"/>
    <n v="0"/>
    <n v="0.18"/>
    <n v="0.03"/>
    <n v="5"/>
    <x v="4"/>
  </r>
  <r>
    <x v="3"/>
    <x v="13"/>
    <x v="1"/>
    <x v="53"/>
    <n v="63"/>
    <n v="8"/>
    <n v="6"/>
    <n v="12"/>
    <n v="0"/>
    <n v="3"/>
    <n v="21"/>
    <s v="Jerrod Coleman"/>
    <s v="Collections Group"/>
    <d v="2026-01-15T00:00:00"/>
    <d v="1899-12-30T13:59:48"/>
    <d v="1899-12-30T22:59:02"/>
    <n v="9"/>
    <n v="8.99"/>
    <n v="1.91"/>
    <n v="0.61"/>
    <n v="0"/>
    <n v="0.38"/>
    <n v="3.34"/>
    <n v="1.46"/>
    <n v="1.29"/>
    <n v="0"/>
    <n v="0"/>
    <n v="0.01"/>
    <n v="8.99"/>
    <n v="21.26"/>
    <n v="6.74"/>
    <n v="0"/>
    <n v="4.1900000000000004"/>
    <n v="37.159999999999997"/>
    <n v="16.25"/>
    <n v="14.34"/>
    <n v="0"/>
    <n v="0"/>
    <n v="0.06"/>
    <n v="5"/>
    <x v="4"/>
  </r>
  <r>
    <x v="5"/>
    <x v="13"/>
    <x v="1"/>
    <x v="19"/>
    <n v="104"/>
    <n v="7"/>
    <n v="6"/>
    <n v="20"/>
    <n v="1"/>
    <n v="0"/>
    <n v="28"/>
    <s v="Sabigh Masood"/>
    <s v="Collections Group"/>
    <d v="2026-01-15T00:00:00"/>
    <d v="1899-12-30T13:59:53"/>
    <d v="1899-12-30T23:01:01"/>
    <n v="9.0299999999999994"/>
    <n v="9.02"/>
    <n v="2.38"/>
    <n v="0.13"/>
    <n v="0"/>
    <n v="0.54"/>
    <n v="3.19"/>
    <n v="1.47"/>
    <n v="1.31"/>
    <n v="0"/>
    <n v="0"/>
    <n v="0"/>
    <n v="9.02"/>
    <n v="26.34"/>
    <n v="1.44"/>
    <n v="0"/>
    <n v="5.98"/>
    <n v="35.380000000000003"/>
    <n v="16.34"/>
    <n v="14.47"/>
    <n v="0"/>
    <n v="0.02"/>
    <n v="0.03"/>
    <n v="5"/>
    <x v="4"/>
  </r>
  <r>
    <x v="6"/>
    <x v="13"/>
    <x v="1"/>
    <x v="54"/>
    <n v="0"/>
    <n v="0"/>
    <n v="0"/>
    <n v="0"/>
    <n v="0"/>
    <n v="0"/>
    <n v="0"/>
    <m/>
    <m/>
    <m/>
    <m/>
    <m/>
    <m/>
    <m/>
    <m/>
    <m/>
    <m/>
    <m/>
    <m/>
    <m/>
    <m/>
    <m/>
    <m/>
    <m/>
    <m/>
    <m/>
    <m/>
    <m/>
    <m/>
    <m/>
    <m/>
    <m/>
    <m/>
    <m/>
    <m/>
    <n v="5"/>
    <x v="4"/>
  </r>
  <r>
    <x v="0"/>
    <x v="14"/>
    <x v="1"/>
    <x v="41"/>
    <n v="122"/>
    <n v="6"/>
    <n v="10"/>
    <n v="18"/>
    <n v="0"/>
    <n v="0"/>
    <n v="52"/>
    <s v="Anais Orozco"/>
    <s v="Collections Group"/>
    <d v="2026-01-14T00:00:00"/>
    <d v="1899-12-30T14:00:13"/>
    <d v="1899-12-30T23:00:33"/>
    <n v="9"/>
    <n v="8.2899999999999991"/>
    <n v="3.06"/>
    <n v="0.5"/>
    <n v="0"/>
    <n v="0.41"/>
    <n v="3.43"/>
    <n v="0.79"/>
    <n v="0"/>
    <n v="0"/>
    <n v="7.0000000000000007E-2"/>
    <n v="0.03"/>
    <n v="8.2899999999999991"/>
    <n v="36.909999999999997"/>
    <n v="6.04"/>
    <n v="0"/>
    <n v="4.9800000000000004"/>
    <n v="41.34"/>
    <n v="9.56"/>
    <n v="0"/>
    <n v="0"/>
    <n v="0.85"/>
    <n v="0.33"/>
    <n v="4"/>
    <x v="0"/>
  </r>
  <r>
    <x v="1"/>
    <x v="14"/>
    <x v="1"/>
    <x v="55"/>
    <n v="195"/>
    <n v="6"/>
    <n v="1"/>
    <n v="16"/>
    <n v="4"/>
    <n v="2"/>
    <n v="121"/>
    <s v="Derice Warnsley"/>
    <s v="Collections Group"/>
    <d v="2026-01-14T00:00:00"/>
    <d v="1899-12-30T14:00:19"/>
    <d v="1899-12-30T23:02:23"/>
    <n v="9.0299999999999994"/>
    <n v="9.0299999999999994"/>
    <n v="3.16"/>
    <n v="0"/>
    <n v="0"/>
    <n v="7.0000000000000007E-2"/>
    <n v="4.2300000000000004"/>
    <n v="1.49"/>
    <n v="0.08"/>
    <n v="0"/>
    <n v="0"/>
    <n v="0.01"/>
    <n v="9.0299999999999994"/>
    <n v="35.01"/>
    <n v="0"/>
    <n v="0"/>
    <n v="0.75"/>
    <n v="46.83"/>
    <n v="16.440000000000001"/>
    <n v="0.91"/>
    <n v="0"/>
    <n v="0"/>
    <n v="0.06"/>
    <n v="4"/>
    <x v="0"/>
  </r>
  <r>
    <x v="2"/>
    <x v="14"/>
    <x v="1"/>
    <x v="25"/>
    <n v="169"/>
    <n v="9"/>
    <n v="7"/>
    <n v="9"/>
    <n v="1"/>
    <n v="0"/>
    <n v="90"/>
    <s v="Isiah Thomas"/>
    <s v="Collections Group"/>
    <d v="2026-01-14T00:00:00"/>
    <d v="1899-12-30T14:00:09"/>
    <d v="1899-12-30T23:01:36"/>
    <n v="9.02"/>
    <n v="8.8000000000000007"/>
    <n v="2.23"/>
    <n v="0.22"/>
    <n v="0"/>
    <n v="0.24"/>
    <n v="3.91"/>
    <n v="1.3"/>
    <n v="0.89"/>
    <n v="0"/>
    <n v="0"/>
    <n v="0.01"/>
    <n v="8.8000000000000007"/>
    <n v="25.36"/>
    <n v="2.4700000000000002"/>
    <n v="0"/>
    <n v="2.79"/>
    <n v="44.41"/>
    <n v="14.82"/>
    <n v="10.08"/>
    <n v="0"/>
    <n v="0"/>
    <n v="0.08"/>
    <n v="4"/>
    <x v="0"/>
  </r>
  <r>
    <x v="3"/>
    <x v="14"/>
    <x v="1"/>
    <x v="56"/>
    <n v="78"/>
    <n v="3"/>
    <n v="3"/>
    <n v="5"/>
    <n v="0"/>
    <n v="3"/>
    <n v="43"/>
    <s v="Jerrod Coleman"/>
    <s v="Collections Group"/>
    <d v="2026-01-14T00:00:00"/>
    <d v="1899-12-30T13:59:34"/>
    <d v="1899-12-30T20:00:12"/>
    <n v="6.02"/>
    <n v="4.79"/>
    <n v="1.1100000000000001"/>
    <n v="0.32"/>
    <n v="0"/>
    <n v="0.34"/>
    <n v="2.5299999999999998"/>
    <n v="0.48"/>
    <n v="0"/>
    <n v="0"/>
    <n v="0"/>
    <n v="0.01"/>
    <n v="4.79"/>
    <n v="23.08"/>
    <n v="6.75"/>
    <n v="0"/>
    <n v="7.03"/>
    <n v="52.89"/>
    <n v="9.9700000000000006"/>
    <n v="0"/>
    <n v="0"/>
    <n v="0"/>
    <n v="0.27"/>
    <n v="4"/>
    <x v="0"/>
  </r>
  <r>
    <x v="8"/>
    <x v="14"/>
    <x v="1"/>
    <x v="13"/>
    <n v="3"/>
    <n v="0"/>
    <n v="1"/>
    <n v="0"/>
    <n v="0"/>
    <n v="0"/>
    <n v="0"/>
    <m/>
    <m/>
    <m/>
    <m/>
    <m/>
    <m/>
    <m/>
    <m/>
    <m/>
    <m/>
    <m/>
    <m/>
    <m/>
    <m/>
    <m/>
    <m/>
    <m/>
    <m/>
    <m/>
    <m/>
    <m/>
    <m/>
    <m/>
    <m/>
    <m/>
    <m/>
    <m/>
    <m/>
    <n v="4"/>
    <x v="0"/>
  </r>
  <r>
    <x v="5"/>
    <x v="14"/>
    <x v="1"/>
    <x v="14"/>
    <n v="225"/>
    <n v="2"/>
    <n v="4"/>
    <n v="24"/>
    <n v="2"/>
    <n v="1"/>
    <n v="119"/>
    <s v="Sabigh Masood"/>
    <s v="Collections Group"/>
    <d v="2026-01-14T00:00:00"/>
    <d v="1899-12-30T14:00:00"/>
    <d v="1899-12-30T23:00:55"/>
    <n v="9"/>
    <n v="9.02"/>
    <n v="1.95"/>
    <n v="0.13"/>
    <n v="0"/>
    <n v="0.6"/>
    <n v="4.91"/>
    <n v="1.42"/>
    <n v="0"/>
    <n v="0"/>
    <n v="0"/>
    <n v="0"/>
    <n v="9.02"/>
    <n v="21.61"/>
    <n v="1.46"/>
    <n v="0"/>
    <n v="6.66"/>
    <n v="54.5"/>
    <n v="15.73"/>
    <n v="0"/>
    <n v="0"/>
    <n v="0"/>
    <n v="0.05"/>
    <n v="4"/>
    <x v="0"/>
  </r>
  <r>
    <x v="6"/>
    <x v="14"/>
    <x v="1"/>
    <x v="57"/>
    <n v="0"/>
    <n v="0"/>
    <n v="0"/>
    <n v="0"/>
    <n v="0"/>
    <n v="0"/>
    <n v="0"/>
    <m/>
    <m/>
    <m/>
    <m/>
    <m/>
    <m/>
    <m/>
    <m/>
    <m/>
    <m/>
    <m/>
    <m/>
    <m/>
    <m/>
    <m/>
    <m/>
    <m/>
    <m/>
    <m/>
    <m/>
    <m/>
    <m/>
    <m/>
    <m/>
    <m/>
    <m/>
    <m/>
    <m/>
    <n v="4"/>
    <x v="0"/>
  </r>
  <r>
    <x v="0"/>
    <x v="15"/>
    <x v="1"/>
    <x v="8"/>
    <n v="143"/>
    <n v="6"/>
    <n v="12"/>
    <n v="6"/>
    <n v="4"/>
    <n v="4"/>
    <n v="64"/>
    <s v="Anais Orozco"/>
    <s v="Collections Group"/>
    <d v="2026-01-13T00:00:00"/>
    <d v="1899-12-30T14:00:39"/>
    <d v="1899-12-30T23:00:06"/>
    <n v="9"/>
    <n v="8.99"/>
    <n v="3.12"/>
    <n v="0.23"/>
    <n v="0"/>
    <n v="0.62"/>
    <n v="2.35"/>
    <n v="1.46"/>
    <n v="1.21"/>
    <n v="0"/>
    <n v="0"/>
    <n v="0.01"/>
    <n v="8.99"/>
    <n v="34.700000000000003"/>
    <n v="2.58"/>
    <n v="0"/>
    <n v="6.85"/>
    <n v="26.11"/>
    <n v="16.239999999999998"/>
    <n v="13.46"/>
    <n v="0"/>
    <n v="0"/>
    <n v="0.06"/>
    <n v="3"/>
    <x v="1"/>
  </r>
  <r>
    <x v="1"/>
    <x v="15"/>
    <x v="1"/>
    <x v="12"/>
    <n v="179"/>
    <n v="16"/>
    <n v="17"/>
    <n v="17"/>
    <n v="2"/>
    <n v="8"/>
    <n v="85"/>
    <s v="Derice Warnsley"/>
    <s v="Collections Group"/>
    <d v="2026-01-13T00:00:00"/>
    <d v="1899-12-30T13:59:41"/>
    <d v="1899-12-30T23:02:39"/>
    <n v="9.0500000000000007"/>
    <n v="9.0500000000000007"/>
    <n v="3.37"/>
    <n v="0.1"/>
    <n v="0"/>
    <n v="0.11"/>
    <n v="3.36"/>
    <n v="1.38"/>
    <n v="0.73"/>
    <n v="0"/>
    <n v="0"/>
    <n v="0.01"/>
    <n v="9.0500000000000007"/>
    <n v="37.200000000000003"/>
    <n v="1.05"/>
    <n v="0"/>
    <n v="1.22"/>
    <n v="37.15"/>
    <n v="15.2"/>
    <n v="8.09"/>
    <n v="0"/>
    <n v="0"/>
    <n v="0.1"/>
    <n v="3"/>
    <x v="1"/>
  </r>
  <r>
    <x v="2"/>
    <x v="15"/>
    <x v="1"/>
    <x v="25"/>
    <n v="173"/>
    <n v="15"/>
    <n v="11"/>
    <n v="17"/>
    <n v="0"/>
    <n v="1"/>
    <n v="88"/>
    <s v="Isiah Thomas"/>
    <s v="Collections Group"/>
    <d v="2026-01-13T00:00:00"/>
    <d v="1899-12-30T14:00:52"/>
    <d v="1899-12-30T23:00:11"/>
    <n v="9"/>
    <n v="8.99"/>
    <n v="2.99"/>
    <n v="0.52"/>
    <n v="0"/>
    <n v="0.49"/>
    <n v="3.1"/>
    <n v="1.51"/>
    <n v="0.38"/>
    <n v="0"/>
    <n v="0"/>
    <n v="0"/>
    <n v="8.99"/>
    <n v="33.270000000000003"/>
    <n v="5.74"/>
    <n v="0"/>
    <n v="5.42"/>
    <n v="34.5"/>
    <n v="16.84"/>
    <n v="4.1900000000000004"/>
    <n v="0"/>
    <n v="0"/>
    <n v="0.03"/>
    <n v="3"/>
    <x v="1"/>
  </r>
  <r>
    <x v="3"/>
    <x v="15"/>
    <x v="1"/>
    <x v="28"/>
    <n v="173"/>
    <n v="16"/>
    <n v="6"/>
    <n v="14"/>
    <n v="1"/>
    <n v="8"/>
    <n v="85"/>
    <s v="Jerrod Coleman"/>
    <s v="Collections Group"/>
    <d v="2026-01-13T00:00:00"/>
    <d v="1899-12-30T13:59:52"/>
    <d v="1899-12-30T23:12:52"/>
    <n v="9.2200000000000006"/>
    <n v="9.2200000000000006"/>
    <n v="2.96"/>
    <n v="0.3"/>
    <n v="0"/>
    <n v="0.46"/>
    <n v="3.3"/>
    <n v="1.47"/>
    <n v="0.73"/>
    <n v="0"/>
    <n v="0"/>
    <n v="0"/>
    <n v="9.2200000000000006"/>
    <n v="32.090000000000003"/>
    <n v="3.25"/>
    <n v="0"/>
    <n v="5.01"/>
    <n v="35.79"/>
    <n v="15.92"/>
    <n v="7.91"/>
    <n v="0"/>
    <n v="0"/>
    <n v="0.04"/>
    <n v="3"/>
    <x v="1"/>
  </r>
  <r>
    <x v="5"/>
    <x v="15"/>
    <x v="1"/>
    <x v="49"/>
    <n v="230"/>
    <n v="11"/>
    <n v="9"/>
    <n v="12"/>
    <n v="0"/>
    <n v="4"/>
    <n v="118"/>
    <s v="Sabigh Masood"/>
    <s v="Collections Group"/>
    <d v="2026-01-13T00:00:00"/>
    <d v="1899-12-30T13:59:51"/>
    <d v="1899-12-30T23:01:34"/>
    <n v="9.0299999999999994"/>
    <n v="9.0299999999999994"/>
    <n v="2.29"/>
    <n v="0.25"/>
    <n v="0"/>
    <n v="0.54"/>
    <n v="4.47"/>
    <n v="1.44"/>
    <n v="0"/>
    <n v="0"/>
    <n v="0.03"/>
    <n v="0"/>
    <n v="9.0299999999999994"/>
    <n v="25.42"/>
    <n v="2.79"/>
    <n v="0"/>
    <n v="5.97"/>
    <n v="49.47"/>
    <n v="15.95"/>
    <n v="0"/>
    <n v="0"/>
    <n v="0.37"/>
    <n v="0.03"/>
    <n v="3"/>
    <x v="1"/>
  </r>
  <r>
    <x v="6"/>
    <x v="15"/>
    <x v="1"/>
    <x v="58"/>
    <n v="0"/>
    <n v="0"/>
    <n v="0"/>
    <n v="0"/>
    <n v="0"/>
    <n v="0"/>
    <n v="0"/>
    <m/>
    <m/>
    <m/>
    <m/>
    <m/>
    <m/>
    <m/>
    <m/>
    <m/>
    <m/>
    <m/>
    <m/>
    <m/>
    <m/>
    <m/>
    <m/>
    <m/>
    <m/>
    <m/>
    <m/>
    <m/>
    <m/>
    <m/>
    <m/>
    <m/>
    <m/>
    <m/>
    <m/>
    <n v="3"/>
    <x v="1"/>
  </r>
  <r>
    <x v="0"/>
    <x v="16"/>
    <x v="1"/>
    <x v="31"/>
    <n v="95"/>
    <n v="5"/>
    <n v="3"/>
    <n v="5"/>
    <n v="0"/>
    <n v="0"/>
    <n v="47"/>
    <s v="Anais Orozco"/>
    <s v="Collections Group"/>
    <d v="2026-01-12T00:00:00"/>
    <d v="1899-12-30T13:59:39"/>
    <d v="1899-12-30T23:00:05"/>
    <n v="9.02"/>
    <n v="8.17"/>
    <n v="3.09"/>
    <n v="0.22"/>
    <n v="0"/>
    <n v="0.42"/>
    <n v="3.73"/>
    <n v="0.69"/>
    <n v="0"/>
    <n v="0"/>
    <n v="0"/>
    <n v="0.02"/>
    <n v="8.17"/>
    <n v="37.86"/>
    <n v="2.65"/>
    <n v="0"/>
    <n v="5.15"/>
    <n v="45.61"/>
    <n v="8.4499999999999993"/>
    <n v="0"/>
    <n v="0"/>
    <n v="0"/>
    <n v="0.28000000000000003"/>
    <n v="2"/>
    <x v="2"/>
  </r>
  <r>
    <x v="1"/>
    <x v="16"/>
    <x v="1"/>
    <x v="4"/>
    <n v="128"/>
    <n v="10"/>
    <n v="7"/>
    <n v="7"/>
    <n v="1"/>
    <n v="2"/>
    <n v="62"/>
    <s v="Derice Warnsley"/>
    <s v="Collections Group"/>
    <d v="2026-01-12T00:00:00"/>
    <d v="1899-12-30T13:59:56"/>
    <d v="1899-12-30T23:00:07"/>
    <n v="9.02"/>
    <n v="9"/>
    <n v="2.5099999999999998"/>
    <n v="0.04"/>
    <n v="0"/>
    <n v="0.06"/>
    <n v="4.8899999999999997"/>
    <n v="1.49"/>
    <n v="0"/>
    <n v="0"/>
    <n v="0"/>
    <n v="0"/>
    <n v="9"/>
    <n v="27.93"/>
    <n v="0.48"/>
    <n v="0"/>
    <n v="0.64"/>
    <n v="54.31"/>
    <n v="16.600000000000001"/>
    <n v="0"/>
    <n v="0"/>
    <n v="0"/>
    <n v="0.04"/>
    <n v="2"/>
    <x v="2"/>
  </r>
  <r>
    <x v="2"/>
    <x v="16"/>
    <x v="1"/>
    <x v="6"/>
    <n v="157"/>
    <n v="5"/>
    <n v="2"/>
    <n v="15"/>
    <n v="0"/>
    <n v="0"/>
    <n v="99"/>
    <s v="Isiah Thomas"/>
    <s v="Collections Group"/>
    <d v="2026-01-12T00:00:00"/>
    <d v="1899-12-30T14:00:40"/>
    <d v="1899-12-30T23:00:04"/>
    <n v="9"/>
    <n v="8.99"/>
    <n v="1.83"/>
    <n v="0.41"/>
    <n v="0"/>
    <n v="0.3"/>
    <n v="4.9400000000000004"/>
    <n v="1.5"/>
    <n v="0"/>
    <n v="0"/>
    <n v="0"/>
    <n v="0"/>
    <n v="8.99"/>
    <n v="20.41"/>
    <n v="4.53"/>
    <n v="0"/>
    <n v="3.36"/>
    <n v="54.93"/>
    <n v="16.739999999999998"/>
    <n v="0"/>
    <n v="0"/>
    <n v="0"/>
    <n v="0.04"/>
    <n v="2"/>
    <x v="2"/>
  </r>
  <r>
    <x v="3"/>
    <x v="16"/>
    <x v="1"/>
    <x v="59"/>
    <n v="128"/>
    <n v="9"/>
    <n v="4"/>
    <n v="8"/>
    <n v="0"/>
    <n v="5"/>
    <n v="64"/>
    <s v="Jerrod Coleman"/>
    <s v="Collections Group"/>
    <d v="2026-01-12T00:00:00"/>
    <d v="1899-12-30T13:59:42"/>
    <d v="1899-12-30T22:59:12"/>
    <n v="9"/>
    <n v="8.99"/>
    <n v="2.0299999999999998"/>
    <n v="0.22"/>
    <n v="0"/>
    <n v="0.35"/>
    <n v="4.93"/>
    <n v="1.46"/>
    <n v="0"/>
    <n v="0"/>
    <n v="0"/>
    <n v="0"/>
    <n v="8.99"/>
    <n v="22.57"/>
    <n v="2.44"/>
    <n v="0"/>
    <n v="3.93"/>
    <n v="54.8"/>
    <n v="16.22"/>
    <n v="0"/>
    <n v="0"/>
    <n v="0"/>
    <n v="0.04"/>
    <n v="2"/>
    <x v="2"/>
  </r>
  <r>
    <x v="5"/>
    <x v="16"/>
    <x v="1"/>
    <x v="27"/>
    <n v="156"/>
    <n v="11"/>
    <n v="5"/>
    <n v="6"/>
    <n v="1"/>
    <n v="0"/>
    <n v="80"/>
    <s v="Sabigh Masood"/>
    <s v="Collections Group"/>
    <d v="2026-01-12T00:00:00"/>
    <d v="1899-12-30T14:00:13"/>
    <d v="1899-12-30T23:06:42"/>
    <n v="9.1"/>
    <n v="9.11"/>
    <n v="2.21"/>
    <n v="0.2"/>
    <n v="0"/>
    <n v="0.37"/>
    <n v="4.37"/>
    <n v="1.42"/>
    <n v="0.54"/>
    <n v="0"/>
    <n v="0"/>
    <n v="0"/>
    <n v="9.11"/>
    <n v="24.23"/>
    <n v="2.15"/>
    <n v="0"/>
    <n v="4.01"/>
    <n v="48.01"/>
    <n v="15.6"/>
    <n v="5.97"/>
    <n v="0"/>
    <n v="0"/>
    <n v="0.03"/>
    <n v="2"/>
    <x v="2"/>
  </r>
  <r>
    <x v="6"/>
    <x v="16"/>
    <x v="1"/>
    <x v="60"/>
    <n v="0"/>
    <n v="0"/>
    <n v="0"/>
    <n v="0"/>
    <n v="0"/>
    <n v="0"/>
    <n v="0"/>
    <m/>
    <m/>
    <m/>
    <m/>
    <m/>
    <m/>
    <m/>
    <m/>
    <m/>
    <m/>
    <m/>
    <m/>
    <m/>
    <m/>
    <m/>
    <m/>
    <m/>
    <m/>
    <m/>
    <m/>
    <m/>
    <m/>
    <m/>
    <m/>
    <m/>
    <m/>
    <m/>
    <m/>
    <n v="2"/>
    <x v="2"/>
  </r>
  <r>
    <x v="0"/>
    <x v="17"/>
    <x v="1"/>
    <x v="61"/>
    <n v="97"/>
    <n v="14"/>
    <n v="3"/>
    <n v="7"/>
    <n v="0"/>
    <n v="2"/>
    <n v="45"/>
    <s v="Anais Orozco"/>
    <s v="Collections Group"/>
    <d v="2026-01-09T00:00:00"/>
    <d v="1899-12-30T13:59:36"/>
    <d v="1899-12-30T23:04:55"/>
    <n v="9.08"/>
    <n v="8.2200000000000006"/>
    <n v="2.67"/>
    <n v="0.25"/>
    <n v="0"/>
    <n v="0.55000000000000004"/>
    <n v="4.13"/>
    <n v="0.59"/>
    <n v="0"/>
    <n v="0"/>
    <n v="0"/>
    <n v="0.04"/>
    <n v="8.2200000000000006"/>
    <n v="32.479999999999997"/>
    <n v="3.02"/>
    <n v="0"/>
    <n v="6.71"/>
    <n v="50.2"/>
    <n v="7.16"/>
    <n v="0"/>
    <n v="0"/>
    <n v="0"/>
    <n v="0.43"/>
    <n v="6"/>
    <x v="3"/>
  </r>
  <r>
    <x v="1"/>
    <x v="17"/>
    <x v="1"/>
    <x v="62"/>
    <n v="189"/>
    <n v="7"/>
    <n v="3"/>
    <n v="24"/>
    <n v="3"/>
    <n v="8"/>
    <n v="115"/>
    <s v="Derice Warnsley"/>
    <s v="Collections Group"/>
    <d v="2026-01-09T00:00:00"/>
    <d v="1899-12-30T13:59:17"/>
    <d v="1899-12-30T23:00:02"/>
    <n v="9.02"/>
    <n v="9.01"/>
    <n v="2.94"/>
    <n v="0.06"/>
    <n v="0"/>
    <n v="0.2"/>
    <n v="4.32"/>
    <n v="1.48"/>
    <n v="0"/>
    <n v="0"/>
    <n v="0"/>
    <n v="0.02"/>
    <n v="9.01"/>
    <n v="32.619999999999997"/>
    <n v="0.61"/>
    <n v="0"/>
    <n v="2.2000000000000002"/>
    <n v="47.97"/>
    <n v="16.43"/>
    <n v="0"/>
    <n v="0"/>
    <n v="0"/>
    <n v="0.18"/>
    <n v="6"/>
    <x v="3"/>
  </r>
  <r>
    <x v="2"/>
    <x v="17"/>
    <x v="1"/>
    <x v="50"/>
    <n v="167"/>
    <n v="6"/>
    <n v="1"/>
    <n v="14"/>
    <n v="2"/>
    <n v="1"/>
    <n v="111"/>
    <s v="Isiah Thomas"/>
    <s v="Collections Group"/>
    <d v="2026-01-09T00:00:00"/>
    <d v="1899-12-30T14:00:25"/>
    <d v="1899-12-30T23:00:02"/>
    <n v="9"/>
    <n v="8.99"/>
    <n v="2.16"/>
    <n v="0.32"/>
    <n v="0"/>
    <n v="0.42"/>
    <n v="4.07"/>
    <n v="1.5"/>
    <n v="0.51"/>
    <n v="0"/>
    <n v="0"/>
    <n v="0.01"/>
    <n v="8.99"/>
    <n v="24.07"/>
    <n v="3.54"/>
    <n v="0.01"/>
    <n v="4.6500000000000004"/>
    <n v="45.3"/>
    <n v="16.68"/>
    <n v="5.69"/>
    <n v="0"/>
    <n v="0"/>
    <n v="0.06"/>
    <n v="6"/>
    <x v="3"/>
  </r>
  <r>
    <x v="3"/>
    <x v="17"/>
    <x v="1"/>
    <x v="63"/>
    <n v="142"/>
    <n v="9"/>
    <n v="4"/>
    <n v="10"/>
    <n v="0"/>
    <n v="14"/>
    <n v="58"/>
    <s v="Jerrod Coleman"/>
    <s v="Collections Group"/>
    <d v="2026-01-09T00:00:00"/>
    <d v="1899-12-30T14:00:12"/>
    <d v="1899-12-30T22:58:35"/>
    <n v="8.9700000000000006"/>
    <n v="8.9700000000000006"/>
    <n v="2.85"/>
    <n v="0.3"/>
    <n v="0"/>
    <n v="0.41"/>
    <n v="3.93"/>
    <n v="1.48"/>
    <n v="0"/>
    <n v="0"/>
    <n v="0"/>
    <n v="0.01"/>
    <n v="8.9700000000000006"/>
    <n v="31.76"/>
    <n v="3.34"/>
    <n v="0"/>
    <n v="4.5999999999999996"/>
    <n v="43.78"/>
    <n v="16.45"/>
    <n v="0"/>
    <n v="0"/>
    <n v="0"/>
    <n v="0.06"/>
    <n v="6"/>
    <x v="3"/>
  </r>
  <r>
    <x v="5"/>
    <x v="17"/>
    <x v="1"/>
    <x v="7"/>
    <n v="183"/>
    <n v="6"/>
    <n v="1"/>
    <n v="8"/>
    <n v="2"/>
    <n v="2"/>
    <n v="94"/>
    <s v="Sabigh Masood"/>
    <s v="Collections Group"/>
    <d v="2026-01-09T00:00:00"/>
    <d v="1899-12-30T13:59:39"/>
    <d v="1899-12-30T23:03:56"/>
    <n v="9.07"/>
    <n v="9.07"/>
    <n v="2.02"/>
    <n v="0.33"/>
    <n v="0"/>
    <n v="0.54"/>
    <n v="4.2699999999999996"/>
    <n v="1.91"/>
    <n v="0"/>
    <n v="0"/>
    <n v="0"/>
    <n v="0"/>
    <n v="9.07"/>
    <n v="22.28"/>
    <n v="3.62"/>
    <n v="0"/>
    <n v="5.96"/>
    <n v="47.04"/>
    <n v="21.05"/>
    <n v="0"/>
    <n v="0"/>
    <n v="0"/>
    <n v="0.04"/>
    <n v="6"/>
    <x v="3"/>
  </r>
  <r>
    <x v="6"/>
    <x v="17"/>
    <x v="1"/>
    <x v="35"/>
    <n v="0"/>
    <n v="0"/>
    <n v="0"/>
    <n v="0"/>
    <n v="0"/>
    <n v="0"/>
    <n v="0"/>
    <m/>
    <m/>
    <m/>
    <m/>
    <m/>
    <m/>
    <m/>
    <m/>
    <m/>
    <m/>
    <m/>
    <m/>
    <m/>
    <m/>
    <m/>
    <m/>
    <m/>
    <m/>
    <m/>
    <m/>
    <m/>
    <m/>
    <m/>
    <m/>
    <m/>
    <m/>
    <m/>
    <m/>
    <n v="6"/>
    <x v="3"/>
  </r>
  <r>
    <x v="0"/>
    <x v="18"/>
    <x v="1"/>
    <x v="64"/>
    <n v="39"/>
    <n v="4"/>
    <n v="4"/>
    <n v="5"/>
    <n v="0"/>
    <n v="0"/>
    <n v="0"/>
    <s v="Anais Orozco"/>
    <s v="Collections Group"/>
    <d v="2026-01-08T00:00:00"/>
    <d v="1899-12-30T14:02:31"/>
    <d v="1899-12-30T23:01:28"/>
    <n v="8.98"/>
    <n v="8.15"/>
    <n v="3.23"/>
    <n v="0.28000000000000003"/>
    <n v="0"/>
    <n v="0.5"/>
    <n v="2.2000000000000002"/>
    <n v="0.6"/>
    <n v="1.34"/>
    <n v="0"/>
    <n v="0"/>
    <n v="0.01"/>
    <n v="8.15"/>
    <n v="39.56"/>
    <n v="3.43"/>
    <n v="0"/>
    <n v="6.11"/>
    <n v="26.97"/>
    <n v="7.33"/>
    <n v="16.489999999999998"/>
    <n v="0"/>
    <n v="0"/>
    <n v="0.11"/>
    <n v="5"/>
    <x v="4"/>
  </r>
  <r>
    <x v="1"/>
    <x v="18"/>
    <x v="1"/>
    <x v="2"/>
    <n v="76"/>
    <n v="8"/>
    <n v="8"/>
    <n v="4"/>
    <n v="0"/>
    <n v="2"/>
    <n v="1"/>
    <s v="Derice Warnsley"/>
    <s v="Collections Group"/>
    <d v="2026-01-08T00:00:00"/>
    <d v="1899-12-30T13:59:42"/>
    <d v="1899-12-30T23:00:21"/>
    <n v="9.02"/>
    <n v="9.01"/>
    <n v="2.39"/>
    <n v="0.11"/>
    <n v="0"/>
    <n v="0.08"/>
    <n v="3.65"/>
    <n v="1.45"/>
    <n v="1.31"/>
    <n v="0"/>
    <n v="0"/>
    <n v="0.01"/>
    <n v="9.01"/>
    <n v="26.55"/>
    <n v="1.24"/>
    <n v="0"/>
    <n v="0.93"/>
    <n v="40.5"/>
    <n v="16.12"/>
    <n v="14.57"/>
    <n v="0"/>
    <n v="0"/>
    <n v="0.09"/>
    <n v="5"/>
    <x v="4"/>
  </r>
  <r>
    <x v="2"/>
    <x v="18"/>
    <x v="1"/>
    <x v="42"/>
    <n v="43"/>
    <n v="4"/>
    <n v="0"/>
    <n v="12"/>
    <n v="1"/>
    <n v="1"/>
    <n v="1"/>
    <s v="Isiah Thomas"/>
    <s v="Collections Group"/>
    <d v="2026-01-08T00:00:00"/>
    <d v="1899-12-30T14:00:37"/>
    <d v="1899-12-30T23:04:06"/>
    <n v="9.07"/>
    <n v="9.06"/>
    <n v="2.54"/>
    <n v="0.32"/>
    <n v="0"/>
    <n v="0.34"/>
    <n v="2.72"/>
    <n v="1.49"/>
    <n v="1.25"/>
    <n v="0"/>
    <n v="0.37"/>
    <n v="0"/>
    <n v="9.06"/>
    <n v="28.1"/>
    <n v="3.59"/>
    <n v="0"/>
    <n v="3.81"/>
    <n v="30.05"/>
    <n v="16.48"/>
    <n v="13.82"/>
    <n v="0"/>
    <n v="4.1100000000000003"/>
    <n v="0.04"/>
    <n v="5"/>
    <x v="4"/>
  </r>
  <r>
    <x v="3"/>
    <x v="18"/>
    <x v="1"/>
    <x v="65"/>
    <n v="52"/>
    <n v="9"/>
    <n v="2"/>
    <n v="10"/>
    <n v="0"/>
    <n v="0"/>
    <n v="0"/>
    <s v="Jerrod Coleman"/>
    <s v="Collections Group"/>
    <d v="2026-01-08T00:00:00"/>
    <d v="1899-12-30T14:00:53"/>
    <d v="1899-12-30T22:59:59"/>
    <n v="8.98"/>
    <n v="8.9600000000000009"/>
    <n v="1.98"/>
    <n v="0.42"/>
    <n v="0"/>
    <n v="0.51"/>
    <n v="2.85"/>
    <n v="1.46"/>
    <n v="1.72"/>
    <n v="0"/>
    <n v="0"/>
    <n v="0.01"/>
    <n v="8.9600000000000009"/>
    <n v="22.14"/>
    <n v="4.6900000000000004"/>
    <n v="0"/>
    <n v="5.65"/>
    <n v="31.85"/>
    <n v="16.350000000000001"/>
    <n v="19.23"/>
    <n v="0"/>
    <n v="0"/>
    <n v="0.1"/>
    <n v="5"/>
    <x v="4"/>
  </r>
  <r>
    <x v="4"/>
    <x v="18"/>
    <x v="1"/>
    <x v="13"/>
    <n v="2"/>
    <n v="0"/>
    <n v="0"/>
    <n v="0"/>
    <n v="0"/>
    <n v="0"/>
    <n v="0"/>
    <s v="Rosette Rwabugahya"/>
    <s v="Collections Group"/>
    <d v="2026-01-08T00:00:00"/>
    <d v="1899-12-30T21:00:22"/>
    <d v="1899-12-30T22:12:26"/>
    <n v="1.2"/>
    <n v="1.2"/>
    <n v="1.19"/>
    <n v="0"/>
    <n v="0"/>
    <n v="0.01"/>
    <n v="0"/>
    <n v="0"/>
    <n v="0"/>
    <n v="0"/>
    <n v="0"/>
    <n v="0"/>
    <n v="1.2"/>
    <n v="98.73"/>
    <n v="0"/>
    <n v="0"/>
    <n v="0.88"/>
    <n v="0"/>
    <n v="0"/>
    <n v="0"/>
    <n v="0"/>
    <n v="0"/>
    <n v="0.39"/>
    <n v="5"/>
    <x v="4"/>
  </r>
  <r>
    <x v="5"/>
    <x v="18"/>
    <x v="1"/>
    <x v="61"/>
    <n v="67"/>
    <n v="2"/>
    <n v="5"/>
    <n v="5"/>
    <n v="0"/>
    <n v="1"/>
    <n v="0"/>
    <s v="Sabigh Masood"/>
    <s v="Collections Group"/>
    <d v="2026-01-08T00:00:00"/>
    <d v="1899-12-30T14:00:09"/>
    <d v="1899-12-30T23:04:16"/>
    <n v="9.07"/>
    <n v="9.07"/>
    <n v="2.37"/>
    <n v="0.27"/>
    <n v="0"/>
    <n v="0.51"/>
    <n v="3.25"/>
    <n v="1.42"/>
    <n v="1.25"/>
    <n v="0"/>
    <n v="0"/>
    <n v="0"/>
    <n v="9.07"/>
    <n v="26.11"/>
    <n v="3.01"/>
    <n v="0"/>
    <n v="5.66"/>
    <n v="35.799999999999997"/>
    <n v="15.65"/>
    <n v="13.74"/>
    <n v="0"/>
    <n v="0"/>
    <n v="0.04"/>
    <n v="5"/>
    <x v="4"/>
  </r>
  <r>
    <x v="0"/>
    <x v="19"/>
    <x v="1"/>
    <x v="32"/>
    <n v="141"/>
    <n v="10"/>
    <n v="17"/>
    <n v="12"/>
    <n v="1"/>
    <n v="4"/>
    <n v="64"/>
    <s v="Anais Orozco"/>
    <s v="Collections Group"/>
    <d v="2026-01-07T00:00:00"/>
    <d v="1899-12-30T14:01:46"/>
    <d v="1899-12-30T23:02:28"/>
    <n v="9.02"/>
    <n v="8.14"/>
    <n v="3.31"/>
    <n v="0.45"/>
    <n v="0"/>
    <n v="0.65"/>
    <n v="3.09"/>
    <n v="0.62"/>
    <n v="0"/>
    <n v="0"/>
    <n v="0"/>
    <n v="0.02"/>
    <n v="8.14"/>
    <n v="40.69"/>
    <n v="5.57"/>
    <n v="0"/>
    <n v="7.95"/>
    <n v="37.93"/>
    <n v="7.64"/>
    <n v="0"/>
    <n v="0"/>
    <n v="0"/>
    <n v="0.22"/>
    <n v="4"/>
    <x v="0"/>
  </r>
  <r>
    <x v="1"/>
    <x v="19"/>
    <x v="1"/>
    <x v="12"/>
    <n v="174"/>
    <n v="12"/>
    <n v="9"/>
    <n v="13"/>
    <n v="0"/>
    <n v="2"/>
    <n v="94"/>
    <s v="Derice Warnsley"/>
    <s v="Collections Group"/>
    <d v="2026-01-07T00:00:00"/>
    <d v="1899-12-30T13:57:54"/>
    <d v="1899-12-30T23:00:04"/>
    <n v="9.0500000000000007"/>
    <n v="9.0299999999999994"/>
    <n v="2.87"/>
    <n v="0"/>
    <n v="0"/>
    <n v="0.06"/>
    <n v="4.58"/>
    <n v="1.49"/>
    <n v="0"/>
    <n v="0"/>
    <n v="0"/>
    <n v="0.04"/>
    <n v="9.0299999999999994"/>
    <n v="31.77"/>
    <n v="0"/>
    <n v="0"/>
    <n v="0.61"/>
    <n v="50.71"/>
    <n v="16.46"/>
    <n v="0"/>
    <n v="0"/>
    <n v="0"/>
    <n v="0.44"/>
    <n v="4"/>
    <x v="0"/>
  </r>
  <r>
    <x v="2"/>
    <x v="19"/>
    <x v="1"/>
    <x v="66"/>
    <n v="180"/>
    <n v="18"/>
    <n v="1"/>
    <n v="17"/>
    <n v="0"/>
    <n v="2"/>
    <n v="107"/>
    <s v="Isiah Thomas"/>
    <s v="Collections Group"/>
    <d v="2026-01-07T00:00:00"/>
    <d v="1899-12-30T14:00:36"/>
    <d v="1899-12-30T23:00:02"/>
    <n v="9"/>
    <n v="8.99"/>
    <n v="1.97"/>
    <n v="0.89"/>
    <n v="0"/>
    <n v="0.46"/>
    <n v="4.1399999999999997"/>
    <n v="1.53"/>
    <n v="0"/>
    <n v="0"/>
    <n v="0"/>
    <n v="0"/>
    <n v="8.99"/>
    <n v="21.88"/>
    <n v="9.91"/>
    <n v="0"/>
    <n v="5.16"/>
    <n v="46.05"/>
    <n v="16.96"/>
    <n v="0"/>
    <n v="0"/>
    <n v="0"/>
    <n v="0.03"/>
    <n v="4"/>
    <x v="0"/>
  </r>
  <r>
    <x v="3"/>
    <x v="19"/>
    <x v="1"/>
    <x v="7"/>
    <n v="172"/>
    <n v="18"/>
    <n v="16"/>
    <n v="22"/>
    <n v="0"/>
    <n v="5"/>
    <n v="84"/>
    <s v="Jerrod Coleman"/>
    <s v="Collections Group"/>
    <d v="2026-01-07T00:00:00"/>
    <d v="1899-12-30T14:00:06"/>
    <d v="1899-12-30T22:59:17"/>
    <n v="8.98"/>
    <n v="8.98"/>
    <n v="2.2999999999999998"/>
    <n v="0.33"/>
    <n v="0"/>
    <n v="0.47"/>
    <n v="4.43"/>
    <n v="1.45"/>
    <n v="0"/>
    <n v="0"/>
    <n v="0"/>
    <n v="0"/>
    <n v="8.98"/>
    <n v="25.64"/>
    <n v="3.62"/>
    <n v="0"/>
    <n v="5.25"/>
    <n v="49.35"/>
    <n v="16.100000000000001"/>
    <n v="0"/>
    <n v="0"/>
    <n v="0"/>
    <n v="0.04"/>
    <n v="4"/>
    <x v="0"/>
  </r>
  <r>
    <x v="5"/>
    <x v="19"/>
    <x v="1"/>
    <x v="1"/>
    <n v="197"/>
    <n v="9"/>
    <n v="15"/>
    <n v="9"/>
    <n v="0"/>
    <n v="0"/>
    <n v="89"/>
    <s v="Sabigh Masood"/>
    <s v="Collections Group"/>
    <d v="2026-01-07T00:00:00"/>
    <d v="1899-12-30T14:00:20"/>
    <d v="1899-12-30T23:00:48"/>
    <n v="9"/>
    <n v="9.01"/>
    <n v="3.18"/>
    <n v="0.33"/>
    <n v="0"/>
    <n v="0.53"/>
    <n v="3.51"/>
    <n v="1.45"/>
    <n v="0"/>
    <n v="0"/>
    <n v="0"/>
    <n v="0"/>
    <n v="9.01"/>
    <n v="35.36"/>
    <n v="3.65"/>
    <n v="0"/>
    <n v="5.9"/>
    <n v="38.93"/>
    <n v="16.12"/>
    <n v="0"/>
    <n v="0"/>
    <n v="0"/>
    <n v="0.04"/>
    <n v="4"/>
    <x v="0"/>
  </r>
  <r>
    <x v="6"/>
    <x v="19"/>
    <x v="1"/>
    <x v="67"/>
    <n v="0"/>
    <n v="0"/>
    <n v="0"/>
    <n v="0"/>
    <n v="0"/>
    <n v="0"/>
    <n v="0"/>
    <m/>
    <m/>
    <m/>
    <m/>
    <m/>
    <m/>
    <m/>
    <m/>
    <m/>
    <m/>
    <m/>
    <m/>
    <m/>
    <m/>
    <m/>
    <m/>
    <m/>
    <m/>
    <m/>
    <m/>
    <m/>
    <m/>
    <m/>
    <m/>
    <m/>
    <m/>
    <m/>
    <m/>
    <n v="4"/>
    <x v="0"/>
  </r>
  <r>
    <x v="0"/>
    <x v="20"/>
    <x v="1"/>
    <x v="68"/>
    <n v="59"/>
    <n v="5"/>
    <n v="7"/>
    <n v="4"/>
    <n v="1"/>
    <n v="2"/>
    <n v="0"/>
    <s v="Anais Orozco"/>
    <s v="Collections Group"/>
    <d v="2026-01-06T00:00:00"/>
    <d v="1899-12-30T14:01:04"/>
    <d v="1899-12-30T23:00:13"/>
    <n v="8.98"/>
    <n v="8.09"/>
    <n v="2.87"/>
    <n v="0.18"/>
    <n v="0"/>
    <n v="0.65"/>
    <n v="3.79"/>
    <n v="0.59"/>
    <n v="0"/>
    <n v="0"/>
    <n v="0"/>
    <n v="0.01"/>
    <n v="8.09"/>
    <n v="35.450000000000003"/>
    <n v="2.17"/>
    <n v="0"/>
    <n v="8.0399999999999991"/>
    <n v="46.89"/>
    <n v="7.3"/>
    <n v="0"/>
    <n v="0"/>
    <n v="0"/>
    <n v="0.14000000000000001"/>
    <n v="3"/>
    <x v="1"/>
  </r>
  <r>
    <x v="1"/>
    <x v="20"/>
    <x v="1"/>
    <x v="61"/>
    <n v="50"/>
    <n v="5"/>
    <n v="4"/>
    <n v="8"/>
    <n v="1"/>
    <n v="1"/>
    <n v="0"/>
    <s v="Derice Warnsley"/>
    <s v="Collections Group"/>
    <d v="2026-01-06T00:00:00"/>
    <d v="1899-12-30T14:00:44"/>
    <d v="1899-12-30T23:00:09"/>
    <n v="9"/>
    <n v="8.99"/>
    <n v="3.12"/>
    <n v="0.11"/>
    <n v="0"/>
    <n v="0.06"/>
    <n v="4.2"/>
    <n v="1.49"/>
    <n v="0"/>
    <n v="0"/>
    <n v="0"/>
    <n v="0.01"/>
    <n v="8.99"/>
    <n v="34.76"/>
    <n v="1.23"/>
    <n v="0"/>
    <n v="0.7"/>
    <n v="46.68"/>
    <n v="16.579999999999998"/>
    <n v="0"/>
    <n v="0"/>
    <n v="0"/>
    <n v="0.06"/>
    <n v="3"/>
    <x v="1"/>
  </r>
  <r>
    <x v="2"/>
    <x v="20"/>
    <x v="1"/>
    <x v="1"/>
    <n v="83"/>
    <n v="3"/>
    <n v="1"/>
    <n v="12"/>
    <n v="2"/>
    <n v="2"/>
    <n v="0"/>
    <s v="Isiah Thomas"/>
    <s v="Collections Group"/>
    <d v="2026-01-06T00:00:00"/>
    <d v="1899-12-30T14:00:41"/>
    <d v="1899-12-30T23:00:01"/>
    <n v="9"/>
    <n v="8.99"/>
    <n v="2.2400000000000002"/>
    <n v="0.22"/>
    <n v="0"/>
    <n v="0.69"/>
    <n v="4.3099999999999996"/>
    <n v="1.54"/>
    <n v="0"/>
    <n v="0"/>
    <n v="0"/>
    <n v="0"/>
    <n v="8.99"/>
    <n v="24.88"/>
    <n v="2.4300000000000002"/>
    <n v="0"/>
    <n v="7.65"/>
    <n v="47.94"/>
    <n v="17.079999999999998"/>
    <n v="0"/>
    <n v="0"/>
    <n v="0"/>
    <n v="0.04"/>
    <n v="3"/>
    <x v="1"/>
  </r>
  <r>
    <x v="3"/>
    <x v="20"/>
    <x v="1"/>
    <x v="69"/>
    <n v="31"/>
    <n v="3"/>
    <n v="3"/>
    <n v="2"/>
    <n v="0"/>
    <n v="4"/>
    <n v="0"/>
    <s v="Jerrod Coleman"/>
    <s v="Collections Group"/>
    <d v="2026-01-06T00:00:00"/>
    <d v="1899-12-30T14:00:05"/>
    <d v="1899-12-30T16:32:19"/>
    <n v="2.5299999999999998"/>
    <n v="2.54"/>
    <n v="0.72"/>
    <n v="0"/>
    <n v="0"/>
    <n v="0.17"/>
    <n v="1.63"/>
    <n v="0"/>
    <n v="0"/>
    <n v="0"/>
    <n v="0"/>
    <n v="0"/>
    <n v="2.54"/>
    <n v="28.54"/>
    <n v="0"/>
    <n v="0"/>
    <n v="6.89"/>
    <n v="64.44"/>
    <n v="0"/>
    <n v="0"/>
    <n v="0"/>
    <n v="0"/>
    <n v="0.13"/>
    <n v="3"/>
    <x v="1"/>
  </r>
  <r>
    <x v="4"/>
    <x v="20"/>
    <x v="1"/>
    <x v="13"/>
    <n v="1"/>
    <n v="0"/>
    <n v="0"/>
    <n v="1"/>
    <n v="0"/>
    <n v="0"/>
    <n v="0"/>
    <s v="Rosette Rwabugahya"/>
    <s v="Collections Group"/>
    <d v="2026-01-06T00:00:00"/>
    <d v="1899-12-30T20:26:25"/>
    <d v="1899-12-30T20:46:47"/>
    <n v="0.33"/>
    <n v="0.34"/>
    <n v="0.33"/>
    <n v="0"/>
    <n v="0"/>
    <n v="0"/>
    <n v="0"/>
    <n v="0"/>
    <n v="0"/>
    <n v="0"/>
    <n v="0"/>
    <n v="0.01"/>
    <n v="0.34"/>
    <n v="97.3"/>
    <n v="0"/>
    <n v="0"/>
    <n v="1.06"/>
    <n v="0"/>
    <n v="0"/>
    <n v="0"/>
    <n v="0"/>
    <n v="0"/>
    <n v="1.64"/>
    <n v="3"/>
    <x v="1"/>
  </r>
  <r>
    <x v="5"/>
    <x v="20"/>
    <x v="1"/>
    <x v="12"/>
    <n v="87"/>
    <n v="9"/>
    <n v="7"/>
    <n v="5"/>
    <n v="1"/>
    <n v="1"/>
    <n v="0"/>
    <s v="Sabigh Masood"/>
    <s v="Collections Group"/>
    <d v="2026-01-06T00:00:00"/>
    <d v="1899-12-30T13:59:23"/>
    <d v="1899-12-30T23:14:30"/>
    <n v="9.25"/>
    <n v="9.25"/>
    <n v="3.23"/>
    <n v="0.35"/>
    <n v="0"/>
    <n v="0.48"/>
    <n v="3.73"/>
    <n v="1.47"/>
    <n v="0"/>
    <n v="0"/>
    <n v="0"/>
    <n v="0"/>
    <n v="9.25"/>
    <n v="34.869999999999997"/>
    <n v="3.78"/>
    <n v="0"/>
    <n v="5.16"/>
    <n v="40.270000000000003"/>
    <n v="15.88"/>
    <n v="0"/>
    <n v="0"/>
    <n v="0"/>
    <n v="0.05"/>
    <n v="3"/>
    <x v="1"/>
  </r>
  <r>
    <x v="1"/>
    <x v="21"/>
    <x v="1"/>
    <x v="17"/>
    <n v="172"/>
    <n v="19"/>
    <n v="14"/>
    <n v="25"/>
    <n v="0"/>
    <n v="2"/>
    <n v="80"/>
    <s v="Derice Warnsley"/>
    <s v="Collections Group"/>
    <d v="2026-01-05T00:00:00"/>
    <d v="1899-12-30T14:00:21"/>
    <d v="1899-12-30T23:00:03"/>
    <n v="9"/>
    <n v="8.99"/>
    <n v="3.61"/>
    <n v="0"/>
    <n v="0"/>
    <n v="0.09"/>
    <n v="3.8"/>
    <n v="1.48"/>
    <n v="0"/>
    <n v="0"/>
    <n v="0"/>
    <n v="0.01"/>
    <n v="8.99"/>
    <n v="40.159999999999997"/>
    <n v="0"/>
    <n v="0"/>
    <n v="0.99"/>
    <n v="42.29"/>
    <n v="16.5"/>
    <n v="0"/>
    <n v="0"/>
    <n v="0"/>
    <n v="0.06"/>
    <n v="2"/>
    <x v="2"/>
  </r>
  <r>
    <x v="2"/>
    <x v="21"/>
    <x v="1"/>
    <x v="59"/>
    <n v="114"/>
    <n v="11"/>
    <n v="2"/>
    <n v="18"/>
    <n v="0"/>
    <n v="1"/>
    <n v="50"/>
    <s v="Isiah Thomas"/>
    <s v="Collections Group"/>
    <d v="2026-01-05T00:00:00"/>
    <d v="1899-12-30T14:00:33"/>
    <d v="1899-12-30T23:00:08"/>
    <n v="9"/>
    <n v="8.99"/>
    <n v="2.1800000000000002"/>
    <n v="1.26"/>
    <n v="0"/>
    <n v="0.5"/>
    <n v="2.78"/>
    <n v="1.5"/>
    <n v="0.77"/>
    <n v="0"/>
    <n v="0"/>
    <n v="0.01"/>
    <n v="8.99"/>
    <n v="24.19"/>
    <n v="13.97"/>
    <n v="0"/>
    <n v="5.55"/>
    <n v="30.91"/>
    <n v="16.72"/>
    <n v="8.52"/>
    <n v="0"/>
    <n v="0"/>
    <n v="0.15"/>
    <n v="2"/>
    <x v="2"/>
  </r>
  <r>
    <x v="3"/>
    <x v="21"/>
    <x v="1"/>
    <x v="44"/>
    <n v="154"/>
    <n v="15"/>
    <n v="3"/>
    <n v="19"/>
    <n v="0"/>
    <n v="7"/>
    <n v="86"/>
    <s v="Jerrod Coleman"/>
    <s v="Collections Group"/>
    <d v="2026-01-05T00:00:00"/>
    <d v="1899-12-30T15:59:36"/>
    <d v="1899-12-30T22:59:10"/>
    <n v="7"/>
    <n v="6.94"/>
    <n v="1.93"/>
    <n v="0.17"/>
    <n v="0"/>
    <n v="0.51"/>
    <n v="3.02"/>
    <n v="1.31"/>
    <n v="0"/>
    <n v="0"/>
    <n v="0"/>
    <n v="0.01"/>
    <n v="6.94"/>
    <n v="27.79"/>
    <n v="2.4"/>
    <n v="0"/>
    <n v="7.33"/>
    <n v="43.51"/>
    <n v="18.84"/>
    <n v="0"/>
    <n v="0"/>
    <n v="0"/>
    <n v="0.12"/>
    <n v="2"/>
    <x v="2"/>
  </r>
  <r>
    <x v="5"/>
    <x v="21"/>
    <x v="1"/>
    <x v="28"/>
    <n v="207"/>
    <n v="7"/>
    <n v="16"/>
    <n v="7"/>
    <n v="3"/>
    <n v="1"/>
    <n v="111"/>
    <s v="Sabigh Masood"/>
    <s v="Collections Group"/>
    <d v="2026-01-05T00:00:00"/>
    <d v="1899-12-30T14:00:20"/>
    <d v="1899-12-30T23:00:57"/>
    <n v="9"/>
    <n v="9.01"/>
    <n v="2.68"/>
    <n v="0.4"/>
    <n v="0"/>
    <n v="0.55000000000000004"/>
    <n v="3.9"/>
    <n v="1.47"/>
    <n v="0"/>
    <n v="0"/>
    <n v="0"/>
    <n v="0"/>
    <n v="9.01"/>
    <n v="29.75"/>
    <n v="4.42"/>
    <n v="0"/>
    <n v="6.12"/>
    <n v="43.32"/>
    <n v="16.37"/>
    <n v="0"/>
    <n v="0"/>
    <n v="0"/>
    <n v="0.03"/>
    <n v="2"/>
    <x v="2"/>
  </r>
  <r>
    <x v="6"/>
    <x v="21"/>
    <x v="1"/>
    <x v="70"/>
    <n v="0"/>
    <n v="1"/>
    <n v="0"/>
    <n v="0"/>
    <n v="0"/>
    <n v="0"/>
    <n v="0"/>
    <m/>
    <m/>
    <m/>
    <m/>
    <m/>
    <m/>
    <m/>
    <m/>
    <m/>
    <m/>
    <m/>
    <m/>
    <m/>
    <m/>
    <m/>
    <m/>
    <m/>
    <m/>
    <m/>
    <m/>
    <m/>
    <m/>
    <m/>
    <m/>
    <m/>
    <m/>
    <m/>
    <m/>
    <n v="2"/>
    <x v="2"/>
  </r>
  <r>
    <x v="0"/>
    <x v="22"/>
    <x v="1"/>
    <x v="65"/>
    <n v="80"/>
    <n v="12"/>
    <n v="9"/>
    <n v="3"/>
    <n v="0"/>
    <n v="5"/>
    <n v="30"/>
    <s v="Anais Orozco"/>
    <s v="Collections Group"/>
    <d v="2026-01-02T00:00:00"/>
    <d v="1899-12-30T14:02:14"/>
    <d v="1899-12-30T23:00:53"/>
    <n v="8.9700000000000006"/>
    <n v="8.06"/>
    <n v="3.01"/>
    <n v="0.59"/>
    <n v="0"/>
    <n v="0.68"/>
    <n v="3.42"/>
    <n v="0.34"/>
    <n v="0"/>
    <n v="0"/>
    <n v="0"/>
    <n v="0.02"/>
    <n v="8.06"/>
    <n v="37.36"/>
    <n v="7.34"/>
    <n v="0"/>
    <n v="8.44"/>
    <n v="42.38"/>
    <n v="4.1900000000000004"/>
    <n v="0"/>
    <n v="0"/>
    <n v="0"/>
    <n v="0.3"/>
    <n v="6"/>
    <x v="3"/>
  </r>
  <r>
    <x v="1"/>
    <x v="22"/>
    <x v="1"/>
    <x v="71"/>
    <n v="152"/>
    <n v="22"/>
    <n v="12"/>
    <n v="12"/>
    <n v="0"/>
    <n v="3"/>
    <n v="62"/>
    <s v="Derice Warnsley"/>
    <s v="Collections Group"/>
    <d v="2026-01-02T00:00:00"/>
    <d v="1899-12-30T14:00:18"/>
    <d v="1899-12-30T23:00:07"/>
    <n v="9"/>
    <n v="9"/>
    <n v="2.85"/>
    <n v="0.02"/>
    <n v="0"/>
    <n v="0.3"/>
    <n v="4.3099999999999996"/>
    <n v="1.49"/>
    <n v="0"/>
    <n v="0"/>
    <n v="0.02"/>
    <n v="0.01"/>
    <n v="9"/>
    <n v="31.67"/>
    <n v="0.22"/>
    <n v="0"/>
    <n v="3.29"/>
    <n v="47.89"/>
    <n v="16.59"/>
    <n v="0"/>
    <n v="0"/>
    <n v="0.27"/>
    <n v="7.0000000000000007E-2"/>
    <n v="6"/>
    <x v="3"/>
  </r>
  <r>
    <x v="3"/>
    <x v="22"/>
    <x v="1"/>
    <x v="33"/>
    <n v="89"/>
    <n v="13"/>
    <n v="10"/>
    <n v="13"/>
    <n v="0"/>
    <n v="3"/>
    <n v="31"/>
    <s v="Jerrod Coleman"/>
    <s v="Collections Group"/>
    <d v="2026-01-02T00:00:00"/>
    <d v="1899-12-30T13:59:59"/>
    <d v="1899-12-30T23:01:37"/>
    <n v="9.0299999999999994"/>
    <n v="9.02"/>
    <n v="2.75"/>
    <n v="0.14000000000000001"/>
    <n v="0"/>
    <n v="0.63"/>
    <n v="4.05"/>
    <n v="1.46"/>
    <n v="0"/>
    <n v="0"/>
    <n v="0"/>
    <n v="0"/>
    <n v="9.02"/>
    <n v="30.47"/>
    <n v="1.51"/>
    <n v="0"/>
    <n v="6.94"/>
    <n v="44.88"/>
    <n v="16.170000000000002"/>
    <n v="0"/>
    <n v="0"/>
    <n v="0"/>
    <n v="0.04"/>
    <n v="6"/>
    <x v="3"/>
  </r>
  <r>
    <x v="6"/>
    <x v="22"/>
    <x v="1"/>
    <x v="72"/>
    <n v="0"/>
    <n v="0"/>
    <n v="0"/>
    <n v="0"/>
    <n v="0"/>
    <n v="0"/>
    <n v="0"/>
    <m/>
    <m/>
    <m/>
    <m/>
    <m/>
    <m/>
    <m/>
    <m/>
    <m/>
    <m/>
    <m/>
    <m/>
    <m/>
    <m/>
    <m/>
    <m/>
    <m/>
    <m/>
    <m/>
    <m/>
    <m/>
    <m/>
    <m/>
    <m/>
    <m/>
    <m/>
    <m/>
    <m/>
    <n v="6"/>
    <x v="3"/>
  </r>
  <r>
    <x v="1"/>
    <x v="23"/>
    <x v="2"/>
    <x v="73"/>
    <n v="25"/>
    <n v="7"/>
    <n v="1"/>
    <n v="8"/>
    <n v="1"/>
    <n v="1"/>
    <n v="0"/>
    <s v="Derice Warnsley"/>
    <s v="Collections Group"/>
    <d v="2025-12-30T00:00:00"/>
    <d v="1899-12-30T14:59:31"/>
    <d v="1899-12-30T21:00:08"/>
    <n v="6.02"/>
    <n v="6.01"/>
    <n v="2.56"/>
    <n v="0.01"/>
    <n v="0"/>
    <n v="0.03"/>
    <n v="2.9"/>
    <n v="0.49"/>
    <n v="0"/>
    <n v="0"/>
    <n v="0"/>
    <n v="0.01"/>
    <n v="6.01"/>
    <n v="42.63"/>
    <n v="0.2"/>
    <n v="0"/>
    <n v="0.56999999999999995"/>
    <n v="48.25"/>
    <n v="8.16"/>
    <n v="0"/>
    <n v="0"/>
    <n v="0"/>
    <n v="0.18"/>
    <n v="3"/>
    <x v="1"/>
  </r>
  <r>
    <x v="3"/>
    <x v="23"/>
    <x v="2"/>
    <x v="74"/>
    <n v="25"/>
    <n v="10"/>
    <n v="1"/>
    <n v="2"/>
    <n v="2"/>
    <n v="4"/>
    <n v="0"/>
    <s v="Jerrod Coleman"/>
    <s v="Collections Group"/>
    <d v="2025-12-30T00:00:00"/>
    <d v="1899-12-30T14:59:13"/>
    <d v="1899-12-30T20:57:39"/>
    <n v="5.97"/>
    <n v="5.97"/>
    <n v="2.4300000000000002"/>
    <n v="0"/>
    <n v="0"/>
    <n v="0.31"/>
    <n v="2.89"/>
    <n v="0.34"/>
    <n v="0"/>
    <n v="0"/>
    <n v="0"/>
    <n v="0"/>
    <n v="5.97"/>
    <n v="40.65"/>
    <n v="0"/>
    <n v="0"/>
    <n v="5.1100000000000003"/>
    <n v="48.46"/>
    <n v="5.73"/>
    <n v="0"/>
    <n v="0"/>
    <n v="0"/>
    <n v="0.06"/>
    <n v="3"/>
    <x v="1"/>
  </r>
  <r>
    <x v="1"/>
    <x v="24"/>
    <x v="2"/>
    <x v="75"/>
    <n v="38"/>
    <n v="10"/>
    <n v="1"/>
    <n v="6"/>
    <n v="0"/>
    <n v="0"/>
    <n v="2"/>
    <s v="Derice Warnsley"/>
    <s v="Collections Group"/>
    <d v="2025-12-29T00:00:00"/>
    <d v="1899-12-30T14:59:54"/>
    <d v="1899-12-30T21:01:12"/>
    <n v="6.03"/>
    <n v="6.02"/>
    <n v="2.0499999999999998"/>
    <n v="0.01"/>
    <n v="0"/>
    <n v="0.06"/>
    <n v="3.42"/>
    <n v="0.48"/>
    <n v="0"/>
    <n v="0"/>
    <n v="0"/>
    <n v="0.01"/>
    <n v="6.02"/>
    <n v="34.11"/>
    <n v="0.08"/>
    <n v="0"/>
    <n v="0.95"/>
    <n v="56.79"/>
    <n v="7.97"/>
    <n v="0"/>
    <n v="0"/>
    <n v="0"/>
    <n v="0.1"/>
    <n v="2"/>
    <x v="2"/>
  </r>
  <r>
    <x v="2"/>
    <x v="24"/>
    <x v="2"/>
    <x v="76"/>
    <n v="18"/>
    <n v="5"/>
    <n v="0"/>
    <n v="9"/>
    <n v="0"/>
    <n v="2"/>
    <n v="0"/>
    <s v="Isiah Thomas"/>
    <s v="Collections Group"/>
    <d v="2025-12-29T00:00:00"/>
    <d v="1899-12-30T15:00:38"/>
    <d v="1899-12-30T21:00:01"/>
    <n v="6"/>
    <n v="5.99"/>
    <n v="1.35"/>
    <n v="0"/>
    <n v="0"/>
    <n v="7.0000000000000007E-2"/>
    <n v="4.07"/>
    <n v="0.5"/>
    <n v="0"/>
    <n v="0"/>
    <n v="0"/>
    <n v="0"/>
    <n v="5.99"/>
    <n v="22.46"/>
    <n v="0"/>
    <n v="0"/>
    <n v="1.17"/>
    <n v="68.02"/>
    <n v="8.2899999999999991"/>
    <n v="0"/>
    <n v="0"/>
    <n v="0"/>
    <n v="0.06"/>
    <n v="2"/>
    <x v="2"/>
  </r>
  <r>
    <x v="0"/>
    <x v="25"/>
    <x v="2"/>
    <x v="16"/>
    <n v="74"/>
    <n v="8"/>
    <n v="7"/>
    <n v="4"/>
    <n v="3"/>
    <n v="3"/>
    <n v="4"/>
    <s v="Anais Orozco"/>
    <s v="Collections Group"/>
    <d v="2025-12-23T00:00:00"/>
    <d v="1899-12-30T14:00:23"/>
    <d v="1899-12-30T23:00:32"/>
    <n v="9"/>
    <n v="8.1999999999999993"/>
    <n v="2.78"/>
    <n v="0.56000000000000005"/>
    <n v="0"/>
    <n v="0.59"/>
    <n v="3.84"/>
    <n v="0.36"/>
    <n v="0"/>
    <n v="0"/>
    <n v="0"/>
    <n v="7.0000000000000007E-2"/>
    <n v="8.1999999999999993"/>
    <n v="33.93"/>
    <n v="6.84"/>
    <n v="0"/>
    <n v="7.2"/>
    <n v="46.81"/>
    <n v="4.3499999999999996"/>
    <n v="0"/>
    <n v="0"/>
    <n v="0"/>
    <n v="0.87"/>
    <n v="3"/>
    <x v="1"/>
  </r>
  <r>
    <x v="1"/>
    <x v="25"/>
    <x v="2"/>
    <x v="28"/>
    <n v="97"/>
    <n v="9"/>
    <n v="3"/>
    <n v="10"/>
    <n v="0"/>
    <n v="1"/>
    <n v="0"/>
    <s v="Derice Warnsley"/>
    <s v="Collections Group"/>
    <d v="2025-12-23T00:00:00"/>
    <d v="1899-12-30T14:00:49"/>
    <d v="1899-12-30T23:00:04"/>
    <n v="9"/>
    <n v="8.98"/>
    <n v="2.69"/>
    <n v="0"/>
    <n v="0"/>
    <n v="0.15"/>
    <n v="4.6500000000000004"/>
    <n v="1.48"/>
    <n v="0"/>
    <n v="0"/>
    <n v="0"/>
    <n v="0.01"/>
    <n v="8.98"/>
    <n v="29.89"/>
    <n v="0"/>
    <n v="0"/>
    <n v="1.68"/>
    <n v="51.78"/>
    <n v="16.489999999999998"/>
    <n v="0"/>
    <n v="0"/>
    <n v="0"/>
    <n v="0.16"/>
    <n v="3"/>
    <x v="1"/>
  </r>
  <r>
    <x v="2"/>
    <x v="25"/>
    <x v="2"/>
    <x v="7"/>
    <n v="87"/>
    <n v="6"/>
    <n v="2"/>
    <n v="11"/>
    <n v="1"/>
    <n v="0"/>
    <n v="0"/>
    <s v="Isiah Thomas"/>
    <s v="Collections Group"/>
    <d v="2025-12-23T00:00:00"/>
    <d v="1899-12-30T14:00:31"/>
    <d v="1899-12-30T23:00:05"/>
    <n v="9"/>
    <n v="8.99"/>
    <n v="2.5299999999999998"/>
    <n v="0.09"/>
    <n v="0"/>
    <n v="0.91"/>
    <n v="3.96"/>
    <n v="1.5"/>
    <n v="0"/>
    <n v="0"/>
    <n v="0"/>
    <n v="0"/>
    <n v="8.99"/>
    <n v="28.16"/>
    <n v="1.02"/>
    <n v="0"/>
    <n v="10.119999999999999"/>
    <n v="44.02"/>
    <n v="16.649999999999999"/>
    <n v="0"/>
    <n v="0"/>
    <n v="0"/>
    <n v="0.03"/>
    <n v="3"/>
    <x v="1"/>
  </r>
  <r>
    <x v="3"/>
    <x v="25"/>
    <x v="2"/>
    <x v="42"/>
    <n v="40"/>
    <n v="4"/>
    <n v="5"/>
    <n v="3"/>
    <n v="1"/>
    <n v="4"/>
    <n v="1"/>
    <s v="Jerrod Coleman"/>
    <s v="Collections Group"/>
    <d v="2025-12-23T00:00:00"/>
    <d v="1899-12-30T14:00:44"/>
    <d v="1899-12-30T18:58:05"/>
    <n v="4.97"/>
    <n v="4.95"/>
    <n v="1.04"/>
    <n v="0.52"/>
    <n v="0"/>
    <n v="0.21"/>
    <n v="1.92"/>
    <n v="1.26"/>
    <n v="0"/>
    <n v="0"/>
    <n v="0"/>
    <n v="0"/>
    <n v="4.95"/>
    <n v="21.02"/>
    <n v="10.47"/>
    <n v="0"/>
    <n v="4.24"/>
    <n v="38.83"/>
    <n v="25.38"/>
    <n v="0"/>
    <n v="0"/>
    <n v="0"/>
    <n v="0.06"/>
    <n v="3"/>
    <x v="1"/>
  </r>
  <r>
    <x v="0"/>
    <x v="26"/>
    <x v="2"/>
    <x v="6"/>
    <n v="112"/>
    <n v="6"/>
    <n v="3"/>
    <n v="13"/>
    <n v="0"/>
    <n v="6"/>
    <n v="51"/>
    <s v="Anais Orozco"/>
    <s v="Collections Group"/>
    <d v="2025-12-22T00:00:00"/>
    <d v="1899-12-30T14:00:08"/>
    <d v="1899-12-30T23:00:24"/>
    <n v="9"/>
    <n v="8.19"/>
    <n v="3.13"/>
    <n v="0.28000000000000003"/>
    <n v="0"/>
    <n v="0.56000000000000005"/>
    <n v="3.18"/>
    <n v="0.6"/>
    <n v="0.43"/>
    <n v="0"/>
    <n v="0"/>
    <n v="0.01"/>
    <n v="8.19"/>
    <n v="38.26"/>
    <n v="3.37"/>
    <n v="0"/>
    <n v="6.9"/>
    <n v="38.83"/>
    <n v="7.28"/>
    <n v="5.25"/>
    <n v="0"/>
    <n v="0"/>
    <n v="0.12"/>
    <n v="2"/>
    <x v="2"/>
  </r>
  <r>
    <x v="1"/>
    <x v="26"/>
    <x v="2"/>
    <x v="14"/>
    <n v="212"/>
    <n v="3"/>
    <n v="11"/>
    <n v="14"/>
    <n v="0"/>
    <n v="4"/>
    <n v="127"/>
    <s v="Derice Warnsley"/>
    <s v="Collections Group"/>
    <d v="2025-12-22T00:00:00"/>
    <d v="1899-12-30T14:00:15"/>
    <d v="1899-12-30T23:00:06"/>
    <n v="9"/>
    <n v="8.94"/>
    <n v="2.25"/>
    <n v="0.06"/>
    <n v="0"/>
    <n v="0.12"/>
    <n v="5.01"/>
    <n v="1.49"/>
    <n v="0"/>
    <n v="0"/>
    <n v="0"/>
    <n v="0.01"/>
    <n v="8.94"/>
    <n v="25.15"/>
    <n v="0.68"/>
    <n v="0"/>
    <n v="1.4"/>
    <n v="56.05"/>
    <n v="16.62"/>
    <n v="0"/>
    <n v="0"/>
    <n v="0"/>
    <n v="0.1"/>
    <n v="2"/>
    <x v="2"/>
  </r>
  <r>
    <x v="2"/>
    <x v="26"/>
    <x v="2"/>
    <x v="19"/>
    <n v="128"/>
    <n v="2"/>
    <n v="3"/>
    <n v="12"/>
    <n v="0"/>
    <n v="2"/>
    <n v="73"/>
    <s v="Isiah Thomas"/>
    <s v="Collections Group"/>
    <d v="2025-12-22T00:00:00"/>
    <d v="1899-12-30T14:00:34"/>
    <d v="1899-12-30T23:00:05"/>
    <n v="9"/>
    <n v="8.99"/>
    <n v="2.2999999999999998"/>
    <n v="0.39"/>
    <n v="0"/>
    <n v="0.52"/>
    <n v="3.4"/>
    <n v="1.52"/>
    <n v="0.77"/>
    <n v="0"/>
    <n v="0.09"/>
    <n v="0.01"/>
    <n v="8.99"/>
    <n v="25.62"/>
    <n v="4.29"/>
    <n v="0"/>
    <n v="5.75"/>
    <n v="37.799999999999997"/>
    <n v="16.91"/>
    <n v="8.5299999999999994"/>
    <n v="0"/>
    <n v="1.04"/>
    <n v="0.06"/>
    <n v="2"/>
    <x v="2"/>
  </r>
  <r>
    <x v="3"/>
    <x v="26"/>
    <x v="2"/>
    <x v="0"/>
    <n v="127"/>
    <n v="5"/>
    <n v="10"/>
    <n v="4"/>
    <n v="0"/>
    <n v="12"/>
    <n v="69"/>
    <s v="Jerrod Coleman"/>
    <s v="Collections Group"/>
    <d v="2025-12-22T00:00:00"/>
    <d v="1899-12-30T14:00:15"/>
    <d v="1899-12-30T19:58:09"/>
    <n v="5.97"/>
    <n v="5.96"/>
    <n v="1.4"/>
    <n v="0.18"/>
    <n v="0"/>
    <n v="0.19"/>
    <n v="2.71"/>
    <n v="1.48"/>
    <n v="0"/>
    <n v="0"/>
    <n v="0"/>
    <n v="0"/>
    <n v="5.96"/>
    <n v="23.5"/>
    <n v="2.99"/>
    <n v="0"/>
    <n v="3.26"/>
    <n v="45.39"/>
    <n v="24.79"/>
    <n v="0"/>
    <n v="0"/>
    <n v="0"/>
    <n v="0.06"/>
    <n v="2"/>
    <x v="2"/>
  </r>
  <r>
    <x v="6"/>
    <x v="26"/>
    <x v="2"/>
    <x v="77"/>
    <n v="0"/>
    <n v="0"/>
    <n v="0"/>
    <n v="0"/>
    <n v="0"/>
    <n v="0"/>
    <n v="0"/>
    <m/>
    <m/>
    <m/>
    <m/>
    <m/>
    <m/>
    <m/>
    <m/>
    <m/>
    <m/>
    <m/>
    <m/>
    <m/>
    <m/>
    <m/>
    <m/>
    <m/>
    <m/>
    <m/>
    <m/>
    <m/>
    <m/>
    <m/>
    <m/>
    <m/>
    <m/>
    <m/>
    <m/>
    <n v="2"/>
    <x v="2"/>
  </r>
  <r>
    <x v="0"/>
    <x v="27"/>
    <x v="2"/>
    <x v="19"/>
    <n v="119"/>
    <n v="2"/>
    <n v="5"/>
    <n v="7"/>
    <n v="0"/>
    <n v="2"/>
    <n v="60"/>
    <s v="Anais Orozco"/>
    <s v="Collections Group"/>
    <d v="2025-12-19T00:00:00"/>
    <d v="1899-12-30T14:00:27"/>
    <d v="1899-12-30T23:00:23"/>
    <n v="9"/>
    <n v="8.25"/>
    <n v="1.72"/>
    <n v="0"/>
    <n v="0"/>
    <n v="0.33"/>
    <n v="5.43"/>
    <n v="0.76"/>
    <n v="0"/>
    <n v="0"/>
    <n v="0"/>
    <n v="0.01"/>
    <n v="8.25"/>
    <n v="20.82"/>
    <n v="0"/>
    <n v="0"/>
    <n v="4.04"/>
    <n v="65.81"/>
    <n v="9.15"/>
    <n v="0"/>
    <n v="0"/>
    <n v="0"/>
    <n v="0.18"/>
    <n v="6"/>
    <x v="3"/>
  </r>
  <r>
    <x v="1"/>
    <x v="27"/>
    <x v="2"/>
    <x v="78"/>
    <n v="82"/>
    <n v="9"/>
    <n v="4"/>
    <n v="7"/>
    <n v="3"/>
    <n v="0"/>
    <n v="39"/>
    <s v="Derice Warnsley"/>
    <s v="Collections Group"/>
    <d v="2025-12-19T00:00:00"/>
    <d v="1899-12-30T14:00:14"/>
    <d v="1899-12-30T23:00:04"/>
    <n v="9"/>
    <n v="9"/>
    <n v="2.11"/>
    <n v="0.16"/>
    <n v="0"/>
    <n v="0.05"/>
    <n v="5.18"/>
    <n v="1.49"/>
    <n v="0"/>
    <n v="0"/>
    <n v="0"/>
    <n v="0.01"/>
    <n v="9"/>
    <n v="23.45"/>
    <n v="1.75"/>
    <n v="0"/>
    <n v="0.56999999999999995"/>
    <n v="57.63"/>
    <n v="16.54"/>
    <n v="0"/>
    <n v="0"/>
    <n v="0"/>
    <n v="0.06"/>
    <n v="6"/>
    <x v="3"/>
  </r>
  <r>
    <x v="2"/>
    <x v="27"/>
    <x v="2"/>
    <x v="65"/>
    <n v="108"/>
    <n v="8"/>
    <n v="4"/>
    <n v="11"/>
    <n v="0"/>
    <n v="1"/>
    <n v="54"/>
    <s v="Isiah Thomas"/>
    <s v="Collections Group"/>
    <d v="2025-12-19T00:00:00"/>
    <d v="1899-12-30T14:01:54"/>
    <d v="1899-12-30T23:00:14"/>
    <n v="8.98"/>
    <n v="8.9700000000000006"/>
    <n v="1.35"/>
    <n v="0.06"/>
    <n v="0"/>
    <n v="0.32"/>
    <n v="5.12"/>
    <n v="1.52"/>
    <n v="0.61"/>
    <n v="0"/>
    <n v="0"/>
    <n v="0"/>
    <n v="8.9700000000000006"/>
    <n v="15.02"/>
    <n v="0.72"/>
    <n v="0"/>
    <n v="3.52"/>
    <n v="57.01"/>
    <n v="16.93"/>
    <n v="6.77"/>
    <n v="0"/>
    <n v="0"/>
    <n v="0.03"/>
    <n v="6"/>
    <x v="3"/>
  </r>
  <r>
    <x v="3"/>
    <x v="27"/>
    <x v="2"/>
    <x v="59"/>
    <n v="122"/>
    <n v="5"/>
    <n v="13"/>
    <n v="9"/>
    <n v="0"/>
    <n v="6"/>
    <n v="67"/>
    <s v="Jerrod Coleman"/>
    <s v="Collections Group"/>
    <d v="2025-12-19T00:00:00"/>
    <d v="1899-12-30T13:59:24"/>
    <d v="1899-12-30T22:59:11"/>
    <n v="9"/>
    <n v="9"/>
    <n v="1.25"/>
    <n v="0.31"/>
    <n v="0"/>
    <n v="0.24"/>
    <n v="5.72"/>
    <n v="1.47"/>
    <n v="0"/>
    <n v="0"/>
    <n v="0"/>
    <n v="0"/>
    <n v="9"/>
    <n v="13.91"/>
    <n v="3.49"/>
    <n v="0"/>
    <n v="2.63"/>
    <n v="63.62"/>
    <n v="16.3"/>
    <n v="0"/>
    <n v="0"/>
    <n v="0"/>
    <n v="0.05"/>
    <n v="6"/>
    <x v="3"/>
  </r>
  <r>
    <x v="5"/>
    <x v="27"/>
    <x v="2"/>
    <x v="61"/>
    <n v="110"/>
    <n v="12"/>
    <n v="8"/>
    <n v="4"/>
    <n v="0"/>
    <n v="1"/>
    <n v="54"/>
    <s v="Sabigh Masood"/>
    <s v="Collections Group"/>
    <d v="2025-12-19T00:00:00"/>
    <d v="1899-12-30T13:59:40"/>
    <d v="1899-12-30T23:01:47"/>
    <n v="9.0299999999999994"/>
    <n v="9.0299999999999994"/>
    <n v="1.38"/>
    <n v="0.11"/>
    <n v="0"/>
    <n v="0.21"/>
    <n v="4.82"/>
    <n v="1.99"/>
    <n v="0.51"/>
    <n v="0"/>
    <n v="0"/>
    <n v="0"/>
    <n v="9.0299999999999994"/>
    <n v="15.32"/>
    <n v="1.21"/>
    <n v="0"/>
    <n v="2.37"/>
    <n v="53.41"/>
    <n v="22.05"/>
    <n v="5.61"/>
    <n v="0"/>
    <n v="0"/>
    <n v="0.03"/>
    <n v="6"/>
    <x v="3"/>
  </r>
  <r>
    <x v="6"/>
    <x v="27"/>
    <x v="2"/>
    <x v="79"/>
    <n v="0"/>
    <n v="0"/>
    <n v="0"/>
    <n v="0"/>
    <n v="0"/>
    <n v="0"/>
    <n v="0"/>
    <m/>
    <m/>
    <m/>
    <m/>
    <m/>
    <m/>
    <m/>
    <m/>
    <m/>
    <m/>
    <m/>
    <m/>
    <m/>
    <m/>
    <m/>
    <m/>
    <m/>
    <m/>
    <m/>
    <m/>
    <m/>
    <m/>
    <m/>
    <m/>
    <m/>
    <m/>
    <m/>
    <m/>
    <n v="6"/>
    <x v="3"/>
  </r>
  <r>
    <x v="0"/>
    <x v="28"/>
    <x v="2"/>
    <x v="65"/>
    <n v="61"/>
    <n v="6"/>
    <n v="3"/>
    <n v="3"/>
    <n v="0"/>
    <n v="0"/>
    <n v="1"/>
    <s v="Anais Orozco"/>
    <s v="Collections Group"/>
    <d v="2025-12-18T00:00:00"/>
    <d v="1899-12-30T14:00:43"/>
    <d v="1899-12-30T23:00:16"/>
    <n v="9"/>
    <n v="8.07"/>
    <n v="1.82"/>
    <n v="0.12"/>
    <n v="0"/>
    <n v="0.35"/>
    <n v="4.29"/>
    <n v="0.56000000000000005"/>
    <n v="0.88"/>
    <n v="0"/>
    <n v="0"/>
    <n v="0.03"/>
    <n v="8.07"/>
    <n v="22.56"/>
    <n v="1.51"/>
    <n v="0"/>
    <n v="4.38"/>
    <n v="53.21"/>
    <n v="7"/>
    <n v="10.95"/>
    <n v="0"/>
    <n v="0"/>
    <n v="0.39"/>
    <n v="5"/>
    <x v="4"/>
  </r>
  <r>
    <x v="1"/>
    <x v="28"/>
    <x v="2"/>
    <x v="32"/>
    <n v="60"/>
    <n v="2"/>
    <n v="5"/>
    <n v="7"/>
    <n v="0"/>
    <n v="1"/>
    <n v="0"/>
    <s v="Derice Warnsley"/>
    <s v="Collections Group"/>
    <d v="2025-12-18T00:00:00"/>
    <d v="1899-12-30T14:00:22"/>
    <d v="1899-12-30T23:03:27"/>
    <n v="9.0500000000000007"/>
    <n v="9.06"/>
    <n v="1.84"/>
    <n v="0.08"/>
    <n v="0"/>
    <n v="0.21"/>
    <n v="4.62"/>
    <n v="1.48"/>
    <n v="0.83"/>
    <n v="0"/>
    <n v="0"/>
    <n v="0"/>
    <n v="9.06"/>
    <n v="20.28"/>
    <n v="0.83"/>
    <n v="0"/>
    <n v="2.34"/>
    <n v="51.01"/>
    <n v="16.37"/>
    <n v="9.1300000000000008"/>
    <n v="0"/>
    <n v="0"/>
    <n v="0.04"/>
    <n v="5"/>
    <x v="4"/>
  </r>
  <r>
    <x v="2"/>
    <x v="28"/>
    <x v="2"/>
    <x v="56"/>
    <n v="41"/>
    <n v="3"/>
    <n v="4"/>
    <n v="9"/>
    <n v="1"/>
    <n v="0"/>
    <n v="0"/>
    <s v="Isiah Thomas"/>
    <s v="Collections Group"/>
    <d v="2025-12-18T00:00:00"/>
    <d v="1899-12-30T14:00:39"/>
    <d v="1899-12-30T23:00:24"/>
    <n v="9"/>
    <n v="8.99"/>
    <n v="1.87"/>
    <n v="0.04"/>
    <n v="0"/>
    <n v="0.27"/>
    <n v="4.4800000000000004"/>
    <n v="1.53"/>
    <n v="0.81"/>
    <n v="0"/>
    <n v="0"/>
    <n v="0"/>
    <n v="8.99"/>
    <n v="20.76"/>
    <n v="0.48"/>
    <n v="0"/>
    <n v="2.97"/>
    <n v="49.8"/>
    <n v="16.97"/>
    <n v="8.98"/>
    <n v="0"/>
    <n v="0"/>
    <n v="0.03"/>
    <n v="5"/>
    <x v="4"/>
  </r>
  <r>
    <x v="3"/>
    <x v="28"/>
    <x v="2"/>
    <x v="78"/>
    <n v="43"/>
    <n v="6"/>
    <n v="4"/>
    <n v="0"/>
    <n v="0"/>
    <n v="3"/>
    <n v="1"/>
    <s v="Jerrod Coleman"/>
    <s v="Collections Group"/>
    <d v="2025-12-18T00:00:00"/>
    <d v="1899-12-30T13:59:03"/>
    <d v="1899-12-30T22:59:02"/>
    <n v="9"/>
    <n v="9"/>
    <n v="1.1100000000000001"/>
    <n v="0.41"/>
    <n v="0"/>
    <n v="0.17"/>
    <n v="4.63"/>
    <n v="1.45"/>
    <n v="1.23"/>
    <n v="0"/>
    <n v="0"/>
    <n v="0"/>
    <n v="9"/>
    <n v="12.38"/>
    <n v="4.5199999999999996"/>
    <n v="0"/>
    <n v="1.84"/>
    <n v="51.44"/>
    <n v="16.079999999999998"/>
    <n v="13.71"/>
    <n v="0"/>
    <n v="0"/>
    <n v="0.04"/>
    <n v="5"/>
    <x v="4"/>
  </r>
  <r>
    <x v="5"/>
    <x v="28"/>
    <x v="2"/>
    <x v="56"/>
    <n v="46"/>
    <n v="4"/>
    <n v="3"/>
    <n v="1"/>
    <n v="3"/>
    <n v="0"/>
    <n v="0"/>
    <s v="Sabigh Masood"/>
    <s v="Collections Group"/>
    <d v="2025-12-18T00:00:00"/>
    <d v="1899-12-30T14:00:17"/>
    <d v="1899-12-30T23:02:11"/>
    <n v="9.0299999999999994"/>
    <n v="9.0299999999999994"/>
    <n v="1.64"/>
    <n v="0.17"/>
    <n v="0"/>
    <n v="0.36"/>
    <n v="4.63"/>
    <n v="1.46"/>
    <n v="0.78"/>
    <n v="0"/>
    <n v="0"/>
    <n v="0"/>
    <n v="9.0299999999999994"/>
    <n v="18.12"/>
    <n v="1.85"/>
    <n v="0"/>
    <n v="3.93"/>
    <n v="51.29"/>
    <n v="16.13"/>
    <n v="8.6300000000000008"/>
    <n v="0"/>
    <n v="0"/>
    <n v="0.04"/>
    <n v="5"/>
    <x v="4"/>
  </r>
  <r>
    <x v="0"/>
    <x v="29"/>
    <x v="2"/>
    <x v="39"/>
    <n v="97"/>
    <n v="5"/>
    <n v="4"/>
    <n v="11"/>
    <n v="1"/>
    <n v="2"/>
    <n v="50"/>
    <s v="Anais Orozco"/>
    <s v="Collections Group"/>
    <d v="2025-12-17T00:00:00"/>
    <d v="1899-12-30T14:00:36"/>
    <d v="1899-12-30T23:01:30"/>
    <n v="9.02"/>
    <n v="7.87"/>
    <n v="2.69"/>
    <n v="0.27"/>
    <n v="0"/>
    <n v="0.28999999999999998"/>
    <n v="4.37"/>
    <n v="0.15"/>
    <n v="0"/>
    <n v="0"/>
    <n v="0"/>
    <n v="0.1"/>
    <n v="7.87"/>
    <n v="34.11"/>
    <n v="3.42"/>
    <n v="0"/>
    <n v="3.67"/>
    <n v="55.55"/>
    <n v="1.95"/>
    <n v="0"/>
    <n v="0"/>
    <n v="0"/>
    <n v="1.3"/>
    <n v="4"/>
    <x v="0"/>
  </r>
  <r>
    <x v="1"/>
    <x v="29"/>
    <x v="2"/>
    <x v="31"/>
    <n v="130"/>
    <n v="10"/>
    <n v="3"/>
    <n v="13"/>
    <n v="0"/>
    <n v="0"/>
    <n v="74"/>
    <s v="Derice Warnsley"/>
    <s v="Collections Group"/>
    <d v="2025-12-17T00:00:00"/>
    <d v="1899-12-30T14:00:18"/>
    <d v="1899-12-30T23:00:04"/>
    <n v="9"/>
    <n v="9"/>
    <n v="1.7"/>
    <n v="0"/>
    <n v="0"/>
    <n v="0.16"/>
    <n v="5.67"/>
    <n v="1.47"/>
    <n v="0"/>
    <n v="0"/>
    <n v="0"/>
    <n v="0"/>
    <n v="9"/>
    <n v="18.850000000000001"/>
    <n v="0"/>
    <n v="0"/>
    <n v="1.79"/>
    <n v="63.01"/>
    <n v="16.3"/>
    <n v="0"/>
    <n v="0"/>
    <n v="0"/>
    <n v="0.05"/>
    <n v="4"/>
    <x v="0"/>
  </r>
  <r>
    <x v="2"/>
    <x v="29"/>
    <x v="2"/>
    <x v="6"/>
    <n v="162"/>
    <n v="4"/>
    <n v="3"/>
    <n v="12"/>
    <n v="0"/>
    <n v="2"/>
    <n v="111"/>
    <s v="Isiah Thomas"/>
    <s v="Collections Group"/>
    <d v="2025-12-17T00:00:00"/>
    <d v="1899-12-30T14:00:32"/>
    <d v="1899-12-30T23:00:24"/>
    <n v="9"/>
    <n v="9"/>
    <n v="1.32"/>
    <n v="0.17"/>
    <n v="0"/>
    <n v="0.38"/>
    <n v="5.61"/>
    <n v="1.51"/>
    <n v="0"/>
    <n v="0"/>
    <n v="0"/>
    <n v="0"/>
    <n v="9"/>
    <n v="14.67"/>
    <n v="1.89"/>
    <n v="0"/>
    <n v="4.25"/>
    <n v="62.39"/>
    <n v="16.760000000000002"/>
    <n v="0"/>
    <n v="0"/>
    <n v="0"/>
    <n v="0.03"/>
    <n v="4"/>
    <x v="0"/>
  </r>
  <r>
    <x v="3"/>
    <x v="29"/>
    <x v="2"/>
    <x v="8"/>
    <n v="170"/>
    <n v="3"/>
    <n v="7"/>
    <n v="6"/>
    <n v="0"/>
    <n v="9"/>
    <n v="111"/>
    <s v="Jerrod Coleman"/>
    <s v="Collections Group"/>
    <d v="2025-12-17T00:00:00"/>
    <d v="1899-12-30T14:00:32"/>
    <d v="1899-12-30T22:59:14"/>
    <n v="8.98"/>
    <n v="8.98"/>
    <n v="1.1200000000000001"/>
    <n v="0.18"/>
    <n v="0"/>
    <n v="0.22"/>
    <n v="5.98"/>
    <n v="1.47"/>
    <n v="0"/>
    <n v="0"/>
    <n v="0"/>
    <n v="0"/>
    <n v="8.98"/>
    <n v="12.52"/>
    <n v="1.99"/>
    <n v="0"/>
    <n v="2.4"/>
    <n v="66.66"/>
    <n v="16.39"/>
    <n v="0"/>
    <n v="0"/>
    <n v="0"/>
    <n v="0.04"/>
    <n v="4"/>
    <x v="0"/>
  </r>
  <r>
    <x v="5"/>
    <x v="29"/>
    <x v="2"/>
    <x v="6"/>
    <n v="172"/>
    <n v="15"/>
    <n v="4"/>
    <n v="11"/>
    <n v="0"/>
    <n v="0"/>
    <n v="95"/>
    <s v="Sabigh Masood"/>
    <s v="Collections Group"/>
    <d v="2025-12-17T00:00:00"/>
    <d v="1899-12-30T14:00:25"/>
    <d v="1899-12-30T23:01:28"/>
    <n v="9.02"/>
    <n v="9.02"/>
    <n v="1.45"/>
    <n v="0.26"/>
    <n v="0"/>
    <n v="0.26"/>
    <n v="5.57"/>
    <n v="1.47"/>
    <n v="0"/>
    <n v="0"/>
    <n v="0"/>
    <n v="0"/>
    <n v="9.02"/>
    <n v="16.100000000000001"/>
    <n v="2.88"/>
    <n v="0"/>
    <n v="2.9"/>
    <n v="61.75"/>
    <n v="16.34"/>
    <n v="0"/>
    <n v="0"/>
    <n v="0"/>
    <n v="0.03"/>
    <n v="4"/>
    <x v="0"/>
  </r>
  <r>
    <x v="6"/>
    <x v="29"/>
    <x v="2"/>
    <x v="80"/>
    <n v="0"/>
    <n v="0"/>
    <n v="0"/>
    <n v="0"/>
    <n v="0"/>
    <n v="0"/>
    <n v="0"/>
    <m/>
    <m/>
    <m/>
    <m/>
    <m/>
    <m/>
    <m/>
    <m/>
    <m/>
    <m/>
    <m/>
    <m/>
    <m/>
    <m/>
    <m/>
    <m/>
    <m/>
    <m/>
    <m/>
    <m/>
    <m/>
    <m/>
    <m/>
    <m/>
    <m/>
    <m/>
    <m/>
    <m/>
    <n v="4"/>
    <x v="0"/>
  </r>
  <r>
    <x v="0"/>
    <x v="30"/>
    <x v="2"/>
    <x v="23"/>
    <n v="94"/>
    <n v="6"/>
    <n v="3"/>
    <n v="9"/>
    <n v="1"/>
    <n v="9"/>
    <n v="46"/>
    <s v="Anais Orozco"/>
    <s v="Collections Group"/>
    <d v="2025-12-16T00:00:00"/>
    <d v="1899-12-30T14:00:54"/>
    <d v="1899-12-30T23:00:21"/>
    <n v="9"/>
    <n v="8.08"/>
    <n v="2.59"/>
    <n v="0.4"/>
    <n v="0"/>
    <n v="0.41"/>
    <n v="4.05"/>
    <n v="0.45"/>
    <n v="0.11"/>
    <n v="0"/>
    <n v="0.05"/>
    <n v="0.02"/>
    <n v="8.08"/>
    <n v="32.01"/>
    <n v="4.99"/>
    <n v="0"/>
    <n v="5.08"/>
    <n v="50.12"/>
    <n v="5.57"/>
    <n v="1.31"/>
    <n v="0"/>
    <n v="0.67"/>
    <n v="0.26"/>
    <n v="3"/>
    <x v="1"/>
  </r>
  <r>
    <x v="1"/>
    <x v="30"/>
    <x v="2"/>
    <x v="14"/>
    <n v="181"/>
    <n v="9"/>
    <n v="13"/>
    <n v="18"/>
    <n v="0"/>
    <n v="2"/>
    <n v="98"/>
    <s v="Derice Warnsley"/>
    <s v="Collections Group"/>
    <d v="2025-12-16T00:00:00"/>
    <d v="1899-12-30T14:00:29"/>
    <d v="1899-12-30T23:06:07"/>
    <n v="9.1"/>
    <n v="9.1"/>
    <n v="2.46"/>
    <n v="0.06"/>
    <n v="0"/>
    <n v="0.19"/>
    <n v="4.8899999999999997"/>
    <n v="1.5"/>
    <n v="0"/>
    <n v="0"/>
    <n v="0"/>
    <n v="0.01"/>
    <n v="9.1"/>
    <n v="27"/>
    <n v="0.62"/>
    <n v="0"/>
    <n v="2.04"/>
    <n v="53.75"/>
    <n v="16.48"/>
    <n v="0"/>
    <n v="0"/>
    <n v="0"/>
    <n v="0.11"/>
    <n v="3"/>
    <x v="1"/>
  </r>
  <r>
    <x v="2"/>
    <x v="30"/>
    <x v="2"/>
    <x v="1"/>
    <n v="175"/>
    <n v="11"/>
    <n v="4"/>
    <n v="11"/>
    <n v="0"/>
    <n v="2"/>
    <n v="108"/>
    <s v="Isiah Thomas"/>
    <s v="Collections Group"/>
    <d v="2025-12-16T00:00:00"/>
    <d v="1899-12-30T14:00:44"/>
    <d v="1899-12-30T23:00:05"/>
    <n v="9"/>
    <n v="8.98"/>
    <n v="1.1000000000000001"/>
    <n v="0.45"/>
    <n v="0"/>
    <n v="0.56000000000000005"/>
    <n v="5.35"/>
    <n v="1.52"/>
    <n v="0"/>
    <n v="0"/>
    <n v="0"/>
    <n v="0.01"/>
    <n v="8.98"/>
    <n v="12.24"/>
    <n v="4.96"/>
    <n v="0"/>
    <n v="6.2"/>
    <n v="59.52"/>
    <n v="16.96"/>
    <n v="0"/>
    <n v="0"/>
    <n v="0.03"/>
    <n v="0.11"/>
    <n v="3"/>
    <x v="1"/>
  </r>
  <r>
    <x v="3"/>
    <x v="30"/>
    <x v="2"/>
    <x v="0"/>
    <n v="118"/>
    <n v="10"/>
    <n v="24"/>
    <n v="12"/>
    <n v="0"/>
    <n v="7"/>
    <n v="47"/>
    <s v="Jerrod Coleman"/>
    <s v="Collections Group"/>
    <d v="2025-12-16T00:00:00"/>
    <d v="1899-12-30T13:59:50"/>
    <d v="1899-12-30T22:59:03"/>
    <n v="9"/>
    <n v="8.9499999999999993"/>
    <n v="2.11"/>
    <n v="0.4"/>
    <n v="0"/>
    <n v="0.39"/>
    <n v="4.57"/>
    <n v="1.47"/>
    <n v="0"/>
    <n v="0"/>
    <n v="0"/>
    <n v="0.01"/>
    <n v="8.9499999999999993"/>
    <n v="23.59"/>
    <n v="4.5"/>
    <n v="0"/>
    <n v="4.3499999999999996"/>
    <n v="51.09"/>
    <n v="16.38"/>
    <n v="0"/>
    <n v="0"/>
    <n v="0"/>
    <n v="0.08"/>
    <n v="3"/>
    <x v="1"/>
  </r>
  <r>
    <x v="5"/>
    <x v="30"/>
    <x v="2"/>
    <x v="66"/>
    <n v="169"/>
    <n v="12"/>
    <n v="11"/>
    <n v="5"/>
    <n v="0"/>
    <n v="0"/>
    <n v="93"/>
    <s v="Sabigh Masood"/>
    <s v="Collections Group"/>
    <d v="2025-12-16T00:00:00"/>
    <d v="1899-12-30T14:01:02"/>
    <d v="1899-12-30T23:01:39"/>
    <n v="9"/>
    <n v="9.01"/>
    <n v="2.0099999999999998"/>
    <n v="0.36"/>
    <n v="0"/>
    <n v="0.34"/>
    <n v="4.8899999999999997"/>
    <n v="1.4"/>
    <n v="0"/>
    <n v="0"/>
    <n v="0"/>
    <n v="0.01"/>
    <n v="9.01"/>
    <n v="22.34"/>
    <n v="3.96"/>
    <n v="0"/>
    <n v="3.78"/>
    <n v="54.3"/>
    <n v="15.55"/>
    <n v="0"/>
    <n v="0"/>
    <n v="0"/>
    <n v="7.0000000000000007E-2"/>
    <n v="3"/>
    <x v="1"/>
  </r>
  <r>
    <x v="6"/>
    <x v="30"/>
    <x v="2"/>
    <x v="81"/>
    <n v="0"/>
    <n v="0"/>
    <n v="0"/>
    <n v="0"/>
    <n v="0"/>
    <n v="0"/>
    <n v="0"/>
    <m/>
    <m/>
    <m/>
    <m/>
    <m/>
    <m/>
    <m/>
    <m/>
    <m/>
    <m/>
    <m/>
    <m/>
    <m/>
    <m/>
    <m/>
    <m/>
    <m/>
    <m/>
    <m/>
    <m/>
    <m/>
    <m/>
    <m/>
    <m/>
    <m/>
    <m/>
    <m/>
    <m/>
    <n v="3"/>
    <x v="1"/>
  </r>
  <r>
    <x v="0"/>
    <x v="31"/>
    <x v="2"/>
    <x v="6"/>
    <n v="145"/>
    <n v="1"/>
    <n v="3"/>
    <n v="6"/>
    <n v="0"/>
    <n v="1"/>
    <n v="86"/>
    <s v="Anais Orozco"/>
    <s v="Collections Group"/>
    <d v="2025-12-15T00:00:00"/>
    <d v="1899-12-30T14:00:38"/>
    <d v="1899-12-30T23:00:03"/>
    <n v="9"/>
    <n v="8.06"/>
    <n v="2.12"/>
    <n v="0.43"/>
    <n v="0"/>
    <n v="0.22"/>
    <n v="4.72"/>
    <n v="0.55000000000000004"/>
    <n v="0"/>
    <n v="0"/>
    <n v="0"/>
    <n v="0.02"/>
    <n v="8.06"/>
    <n v="26.34"/>
    <n v="5.35"/>
    <n v="0"/>
    <n v="2.7"/>
    <n v="58.53"/>
    <n v="6.84"/>
    <n v="0.01"/>
    <n v="0"/>
    <n v="0"/>
    <n v="0.22"/>
    <n v="2"/>
    <x v="2"/>
  </r>
  <r>
    <x v="1"/>
    <x v="31"/>
    <x v="2"/>
    <x v="38"/>
    <n v="115"/>
    <n v="6"/>
    <n v="6"/>
    <n v="20"/>
    <n v="1"/>
    <n v="1"/>
    <n v="52"/>
    <s v="Derice Warnsley"/>
    <s v="Collections Group"/>
    <d v="2025-12-15T00:00:00"/>
    <d v="1899-12-30T14:00:25"/>
    <d v="1899-12-30T23:00:07"/>
    <n v="9"/>
    <n v="9"/>
    <n v="2.56"/>
    <n v="7.0000000000000007E-2"/>
    <n v="0"/>
    <n v="0.18"/>
    <n v="4.7"/>
    <n v="1.47"/>
    <n v="0"/>
    <n v="0"/>
    <n v="0"/>
    <n v="0"/>
    <n v="9"/>
    <n v="28.44"/>
    <n v="0.81"/>
    <n v="0"/>
    <n v="2.0499999999999998"/>
    <n v="52.29"/>
    <n v="16.36"/>
    <n v="0"/>
    <n v="0"/>
    <n v="0"/>
    <n v="0.04"/>
    <n v="2"/>
    <x v="2"/>
  </r>
  <r>
    <x v="2"/>
    <x v="31"/>
    <x v="2"/>
    <x v="38"/>
    <n v="159"/>
    <n v="3"/>
    <n v="4"/>
    <n v="20"/>
    <n v="4"/>
    <n v="3"/>
    <n v="98"/>
    <s v="Isiah Thomas"/>
    <s v="Collections Group"/>
    <d v="2025-12-15T00:00:00"/>
    <d v="1899-12-30T14:00:48"/>
    <d v="1899-12-30T23:08:50"/>
    <n v="9.1300000000000008"/>
    <n v="9.1300000000000008"/>
    <n v="1.81"/>
    <n v="0.16"/>
    <n v="0"/>
    <n v="0.56999999999999995"/>
    <n v="4.8"/>
    <n v="1.51"/>
    <n v="0.28999999999999998"/>
    <n v="0"/>
    <n v="0"/>
    <n v="0"/>
    <n v="9.1300000000000008"/>
    <n v="19.82"/>
    <n v="1.71"/>
    <n v="0"/>
    <n v="6.24"/>
    <n v="52.53"/>
    <n v="16.48"/>
    <n v="3.19"/>
    <n v="0"/>
    <n v="0"/>
    <n v="0.03"/>
    <n v="2"/>
    <x v="2"/>
  </r>
  <r>
    <x v="3"/>
    <x v="31"/>
    <x v="2"/>
    <x v="34"/>
    <n v="127"/>
    <n v="3"/>
    <n v="5"/>
    <n v="17"/>
    <n v="0"/>
    <n v="7"/>
    <n v="66"/>
    <s v="Jerrod Coleman"/>
    <s v="Collections Group"/>
    <d v="2025-12-15T00:00:00"/>
    <d v="1899-12-30T14:02:51"/>
    <d v="1899-12-30T22:59:08"/>
    <n v="8.9499999999999993"/>
    <n v="8.94"/>
    <n v="1.65"/>
    <n v="0.5"/>
    <n v="0"/>
    <n v="0.2"/>
    <n v="5.0999999999999996"/>
    <n v="1.48"/>
    <n v="0"/>
    <n v="0"/>
    <n v="0"/>
    <n v="0"/>
    <n v="8.94"/>
    <n v="18.47"/>
    <n v="5.61"/>
    <n v="0"/>
    <n v="2.2599999999999998"/>
    <n v="57.08"/>
    <n v="16.54"/>
    <n v="0"/>
    <n v="0"/>
    <n v="0"/>
    <n v="0.03"/>
    <n v="2"/>
    <x v="2"/>
  </r>
  <r>
    <x v="5"/>
    <x v="31"/>
    <x v="2"/>
    <x v="34"/>
    <n v="174"/>
    <n v="6"/>
    <n v="28"/>
    <n v="15"/>
    <n v="2"/>
    <n v="0"/>
    <n v="68"/>
    <s v="Sabigh Masood"/>
    <s v="Collections Group"/>
    <d v="2025-12-15T00:00:00"/>
    <d v="1899-12-30T14:01:06"/>
    <d v="1899-12-30T23:01:06"/>
    <n v="9"/>
    <n v="9"/>
    <n v="2.14"/>
    <n v="0.32"/>
    <n v="0"/>
    <n v="0.52"/>
    <n v="4.55"/>
    <n v="1.45"/>
    <n v="0"/>
    <n v="0"/>
    <n v="0"/>
    <n v="0"/>
    <n v="9"/>
    <n v="23.83"/>
    <n v="3.6"/>
    <n v="0"/>
    <n v="5.82"/>
    <n v="50.59"/>
    <n v="16.14"/>
    <n v="0"/>
    <n v="0"/>
    <n v="0"/>
    <n v="0.03"/>
    <n v="2"/>
    <x v="2"/>
  </r>
  <r>
    <x v="6"/>
    <x v="31"/>
    <x v="2"/>
    <x v="82"/>
    <n v="0"/>
    <n v="0"/>
    <n v="0"/>
    <n v="0"/>
    <n v="0"/>
    <n v="0"/>
    <n v="0"/>
    <m/>
    <m/>
    <m/>
    <m/>
    <m/>
    <m/>
    <m/>
    <m/>
    <m/>
    <m/>
    <m/>
    <m/>
    <m/>
    <m/>
    <m/>
    <m/>
    <m/>
    <m/>
    <m/>
    <m/>
    <m/>
    <m/>
    <m/>
    <m/>
    <m/>
    <m/>
    <m/>
    <m/>
    <n v="2"/>
    <x v="2"/>
  </r>
  <r>
    <x v="0"/>
    <x v="32"/>
    <x v="2"/>
    <x v="32"/>
    <n v="119"/>
    <n v="6"/>
    <n v="7"/>
    <n v="6"/>
    <n v="0"/>
    <n v="1"/>
    <n v="58"/>
    <s v="Anais Orozco"/>
    <s v="Collections Group"/>
    <d v="2025-12-12T00:00:00"/>
    <d v="1899-12-30T14:00:40"/>
    <d v="1899-12-30T23:00:03"/>
    <n v="9"/>
    <n v="8.0500000000000007"/>
    <n v="2.54"/>
    <n v="0.4"/>
    <n v="0"/>
    <n v="0.47"/>
    <n v="4.22"/>
    <n v="0.32"/>
    <n v="0"/>
    <n v="0"/>
    <n v="0.06"/>
    <n v="0.04"/>
    <n v="8.0500000000000007"/>
    <n v="31.55"/>
    <n v="4.9800000000000004"/>
    <n v="0"/>
    <n v="5.81"/>
    <n v="52.43"/>
    <n v="4.03"/>
    <n v="0"/>
    <n v="0"/>
    <n v="0.73"/>
    <n v="0.46"/>
    <n v="6"/>
    <x v="3"/>
  </r>
  <r>
    <x v="2"/>
    <x v="32"/>
    <x v="2"/>
    <x v="68"/>
    <n v="116"/>
    <n v="6"/>
    <n v="0"/>
    <n v="10"/>
    <n v="1"/>
    <n v="0"/>
    <n v="75"/>
    <s v="Isiah Thomas"/>
    <s v="Collections Group"/>
    <d v="2025-12-12T00:00:00"/>
    <d v="1899-12-30T13:58:46"/>
    <d v="1899-12-30T23:00:01"/>
    <n v="9.0299999999999994"/>
    <n v="9.02"/>
    <n v="1.1499999999999999"/>
    <n v="0.43"/>
    <n v="0"/>
    <n v="0.45"/>
    <n v="5.45"/>
    <n v="1.51"/>
    <n v="0"/>
    <n v="0"/>
    <n v="0"/>
    <n v="0.02"/>
    <n v="9.02"/>
    <n v="12.8"/>
    <n v="4.72"/>
    <n v="0"/>
    <n v="5.04"/>
    <n v="60.46"/>
    <n v="16.7"/>
    <n v="0"/>
    <n v="0"/>
    <n v="0"/>
    <n v="0.27"/>
    <n v="6"/>
    <x v="3"/>
  </r>
  <r>
    <x v="3"/>
    <x v="32"/>
    <x v="2"/>
    <x v="59"/>
    <n v="120"/>
    <n v="15"/>
    <n v="3"/>
    <n v="12"/>
    <n v="0"/>
    <n v="1"/>
    <n v="53"/>
    <s v="Jerrod Coleman"/>
    <s v="Collections Group"/>
    <d v="2025-12-12T00:00:00"/>
    <d v="1899-12-30T13:59:09"/>
    <d v="1899-12-30T22:59:43"/>
    <n v="9"/>
    <n v="9.01"/>
    <n v="1.7"/>
    <n v="0.4"/>
    <n v="0"/>
    <n v="0.22"/>
    <n v="5.24"/>
    <n v="1.45"/>
    <n v="0"/>
    <n v="0"/>
    <n v="0"/>
    <n v="0"/>
    <n v="9.01"/>
    <n v="18.84"/>
    <n v="4.42"/>
    <n v="0"/>
    <n v="2.44"/>
    <n v="58.11"/>
    <n v="16.14"/>
    <n v="0"/>
    <n v="0"/>
    <n v="0"/>
    <n v="0.04"/>
    <n v="6"/>
    <x v="3"/>
  </r>
  <r>
    <x v="5"/>
    <x v="32"/>
    <x v="2"/>
    <x v="65"/>
    <n v="123"/>
    <n v="8"/>
    <n v="5"/>
    <n v="5"/>
    <n v="0"/>
    <n v="0"/>
    <n v="65"/>
    <s v="Sabigh Masood"/>
    <s v="Collections Group"/>
    <d v="2025-12-12T00:00:00"/>
    <d v="1899-12-30T13:59:57"/>
    <d v="1899-12-30T23:00:39"/>
    <n v="9.02"/>
    <n v="9.01"/>
    <n v="1.61"/>
    <n v="0.12"/>
    <n v="0"/>
    <n v="0.47"/>
    <n v="5.0599999999999996"/>
    <n v="1.74"/>
    <n v="0"/>
    <n v="0"/>
    <n v="0"/>
    <n v="0"/>
    <n v="9.01"/>
    <n v="17.87"/>
    <n v="1.29"/>
    <n v="0"/>
    <n v="5.24"/>
    <n v="56.2"/>
    <n v="19.36"/>
    <n v="0"/>
    <n v="0"/>
    <n v="0"/>
    <n v="0.03"/>
    <n v="6"/>
    <x v="3"/>
  </r>
  <r>
    <x v="6"/>
    <x v="32"/>
    <x v="2"/>
    <x v="83"/>
    <n v="0"/>
    <n v="0"/>
    <n v="0"/>
    <n v="0"/>
    <n v="0"/>
    <n v="0"/>
    <n v="0"/>
    <m/>
    <m/>
    <m/>
    <m/>
    <m/>
    <m/>
    <m/>
    <m/>
    <m/>
    <m/>
    <m/>
    <m/>
    <m/>
    <m/>
    <m/>
    <m/>
    <m/>
    <m/>
    <m/>
    <m/>
    <m/>
    <m/>
    <m/>
    <m/>
    <m/>
    <m/>
    <m/>
    <m/>
    <n v="6"/>
    <x v="3"/>
  </r>
  <r>
    <x v="0"/>
    <x v="33"/>
    <x v="2"/>
    <x v="27"/>
    <n v="128"/>
    <n v="5"/>
    <n v="10"/>
    <n v="14"/>
    <n v="2"/>
    <n v="2"/>
    <n v="63"/>
    <s v="Anais Orozco"/>
    <s v="Collections Group"/>
    <d v="2025-12-11T00:00:00"/>
    <d v="1899-12-30T14:01:08"/>
    <d v="1899-12-30T23:00:34"/>
    <n v="8.98"/>
    <n v="8.0500000000000007"/>
    <n v="2.38"/>
    <n v="0.59"/>
    <n v="0"/>
    <n v="0.76"/>
    <n v="3.53"/>
    <n v="0.28999999999999998"/>
    <n v="0.5"/>
    <n v="0"/>
    <n v="0"/>
    <n v="0.01"/>
    <n v="8.0500000000000007"/>
    <n v="29.58"/>
    <n v="7.3"/>
    <n v="0"/>
    <n v="9.48"/>
    <n v="43.82"/>
    <n v="3.56"/>
    <n v="6.16"/>
    <n v="0"/>
    <n v="0"/>
    <n v="0.11"/>
    <n v="5"/>
    <x v="4"/>
  </r>
  <r>
    <x v="3"/>
    <x v="33"/>
    <x v="2"/>
    <x v="44"/>
    <n v="158"/>
    <n v="10"/>
    <n v="17"/>
    <n v="15"/>
    <n v="0"/>
    <n v="8"/>
    <n v="81"/>
    <s v="Jerrod Coleman"/>
    <s v="Collections Group"/>
    <d v="2025-12-11T00:00:00"/>
    <d v="1899-12-30T13:59:52"/>
    <d v="1899-12-30T22:59:01"/>
    <n v="9"/>
    <n v="8.98"/>
    <n v="2.33"/>
    <n v="0.28000000000000003"/>
    <n v="0"/>
    <n v="0.44"/>
    <n v="4.07"/>
    <n v="1.44"/>
    <n v="0.43"/>
    <n v="0"/>
    <n v="0"/>
    <n v="0"/>
    <n v="8.98"/>
    <n v="25.91"/>
    <n v="3.09"/>
    <n v="0"/>
    <n v="4.8600000000000003"/>
    <n v="45.29"/>
    <n v="16.010000000000002"/>
    <n v="4.8"/>
    <n v="0"/>
    <n v="0"/>
    <n v="0.05"/>
    <n v="5"/>
    <x v="4"/>
  </r>
  <r>
    <x v="5"/>
    <x v="33"/>
    <x v="2"/>
    <x v="37"/>
    <n v="178"/>
    <n v="13"/>
    <n v="9"/>
    <n v="9"/>
    <n v="0"/>
    <n v="4"/>
    <n v="87"/>
    <s v="Sabigh Masood"/>
    <s v="Collections Group"/>
    <d v="2025-12-11T00:00:00"/>
    <d v="1899-12-30T14:06:09"/>
    <d v="1899-12-30T23:04:09"/>
    <n v="8.9700000000000006"/>
    <n v="8.9700000000000006"/>
    <n v="2.91"/>
    <n v="0.37"/>
    <n v="0"/>
    <n v="0.55000000000000004"/>
    <n v="3.29"/>
    <n v="1.31"/>
    <n v="0.53"/>
    <n v="0"/>
    <n v="0"/>
    <n v="0"/>
    <n v="8.9700000000000006"/>
    <n v="32.51"/>
    <n v="4.1399999999999997"/>
    <n v="0"/>
    <n v="6.09"/>
    <n v="36.74"/>
    <n v="14.56"/>
    <n v="5.93"/>
    <n v="0"/>
    <n v="0"/>
    <n v="0.04"/>
    <n v="5"/>
    <x v="4"/>
  </r>
  <r>
    <x v="6"/>
    <x v="33"/>
    <x v="2"/>
    <x v="84"/>
    <n v="0"/>
    <n v="0"/>
    <n v="0"/>
    <n v="0"/>
    <n v="0"/>
    <n v="0"/>
    <n v="0"/>
    <m/>
    <m/>
    <m/>
    <m/>
    <m/>
    <m/>
    <m/>
    <m/>
    <m/>
    <m/>
    <m/>
    <m/>
    <m/>
    <m/>
    <m/>
    <m/>
    <m/>
    <m/>
    <m/>
    <m/>
    <m/>
    <m/>
    <m/>
    <m/>
    <m/>
    <m/>
    <m/>
    <m/>
    <n v="5"/>
    <x v="4"/>
  </r>
  <r>
    <x v="0"/>
    <x v="34"/>
    <x v="2"/>
    <x v="38"/>
    <n v="117"/>
    <n v="9"/>
    <n v="8"/>
    <n v="18"/>
    <n v="0"/>
    <n v="1"/>
    <n v="54"/>
    <s v="Anais Orozco"/>
    <s v="Collections Group"/>
    <d v="2025-12-10T00:00:00"/>
    <d v="1899-12-30T13:59:47"/>
    <d v="1899-12-30T23:00:04"/>
    <n v="9.02"/>
    <n v="8"/>
    <n v="2.36"/>
    <n v="0.35"/>
    <n v="0"/>
    <n v="0.69"/>
    <n v="3.61"/>
    <n v="0.24"/>
    <n v="0.73"/>
    <n v="0"/>
    <n v="0"/>
    <n v="0.03"/>
    <n v="8"/>
    <n v="29.52"/>
    <n v="4.34"/>
    <n v="0"/>
    <n v="8.58"/>
    <n v="45.13"/>
    <n v="2.96"/>
    <n v="9.09"/>
    <n v="0"/>
    <n v="0"/>
    <n v="0.37"/>
    <n v="4"/>
    <x v="0"/>
  </r>
  <r>
    <x v="1"/>
    <x v="34"/>
    <x v="2"/>
    <x v="0"/>
    <n v="130"/>
    <n v="15"/>
    <n v="5"/>
    <n v="14"/>
    <n v="4"/>
    <n v="1"/>
    <n v="66"/>
    <s v="Derice Warnsley"/>
    <s v="Collections Group"/>
    <d v="2025-12-10T00:00:00"/>
    <d v="1899-12-30T14:00:13"/>
    <d v="1899-12-30T23:01:58"/>
    <n v="9.02"/>
    <n v="8.92"/>
    <n v="2.5099999999999998"/>
    <n v="0.13"/>
    <n v="0"/>
    <n v="0.09"/>
    <n v="4.28"/>
    <n v="1.49"/>
    <n v="0.41"/>
    <n v="0"/>
    <n v="0"/>
    <n v="0.01"/>
    <n v="8.92"/>
    <n v="28.13"/>
    <n v="1.44"/>
    <n v="0"/>
    <n v="1.06"/>
    <n v="48"/>
    <n v="16.690000000000001"/>
    <n v="4.59"/>
    <n v="0"/>
    <n v="0"/>
    <n v="0.1"/>
    <n v="4"/>
    <x v="0"/>
  </r>
  <r>
    <x v="3"/>
    <x v="34"/>
    <x v="2"/>
    <x v="4"/>
    <n v="157"/>
    <n v="0"/>
    <n v="18"/>
    <n v="13"/>
    <n v="1"/>
    <n v="2"/>
    <n v="89"/>
    <s v="Jerrod Coleman"/>
    <s v="Collections Group"/>
    <d v="2025-12-10T00:00:00"/>
    <d v="1899-12-30T14:00:11"/>
    <d v="1899-12-30T22:58:16"/>
    <n v="8.9700000000000006"/>
    <n v="8.9499999999999993"/>
    <n v="2.0299999999999998"/>
    <n v="0.22"/>
    <n v="0"/>
    <n v="0.41"/>
    <n v="4.8"/>
    <n v="1.49"/>
    <n v="0"/>
    <n v="0"/>
    <n v="0"/>
    <n v="0.01"/>
    <n v="8.9499999999999993"/>
    <n v="22.66"/>
    <n v="2.4300000000000002"/>
    <n v="0"/>
    <n v="4.54"/>
    <n v="53.59"/>
    <n v="16.7"/>
    <n v="0"/>
    <n v="0"/>
    <n v="0"/>
    <n v="0.08"/>
    <n v="4"/>
    <x v="0"/>
  </r>
  <r>
    <x v="5"/>
    <x v="34"/>
    <x v="2"/>
    <x v="41"/>
    <n v="141"/>
    <n v="5"/>
    <n v="5"/>
    <n v="7"/>
    <n v="2"/>
    <n v="0"/>
    <n v="67"/>
    <s v="Sabigh Masood"/>
    <s v="Collections Group"/>
    <d v="2025-12-10T00:00:00"/>
    <d v="1899-12-30T14:00:26"/>
    <d v="1899-12-30T23:01:38"/>
    <n v="9.02"/>
    <n v="9.02"/>
    <n v="2.09"/>
    <n v="0.33"/>
    <n v="0"/>
    <n v="0.73"/>
    <n v="3.65"/>
    <n v="1.45"/>
    <n v="0.77"/>
    <n v="0"/>
    <n v="0"/>
    <n v="0"/>
    <n v="9.02"/>
    <n v="23.18"/>
    <n v="3.62"/>
    <n v="0"/>
    <n v="8.1199999999999992"/>
    <n v="40.450000000000003"/>
    <n v="16.09"/>
    <n v="8.51"/>
    <n v="0"/>
    <n v="0"/>
    <n v="0.03"/>
    <n v="4"/>
    <x v="0"/>
  </r>
  <r>
    <x v="6"/>
    <x v="34"/>
    <x v="2"/>
    <x v="85"/>
    <n v="0"/>
    <n v="0"/>
    <n v="0"/>
    <n v="0"/>
    <n v="0"/>
    <n v="0"/>
    <n v="0"/>
    <m/>
    <m/>
    <m/>
    <m/>
    <m/>
    <m/>
    <m/>
    <m/>
    <m/>
    <m/>
    <m/>
    <m/>
    <m/>
    <m/>
    <m/>
    <m/>
    <m/>
    <m/>
    <m/>
    <m/>
    <m/>
    <m/>
    <m/>
    <m/>
    <m/>
    <m/>
    <m/>
    <m/>
    <n v="4"/>
    <x v="0"/>
  </r>
  <r>
    <x v="0"/>
    <x v="35"/>
    <x v="2"/>
    <x v="0"/>
    <n v="124"/>
    <n v="7"/>
    <n v="11"/>
    <n v="12"/>
    <n v="0"/>
    <n v="1"/>
    <n v="57"/>
    <s v="Anais Orozco"/>
    <s v="Collections Group"/>
    <d v="2025-12-09T00:00:00"/>
    <d v="1899-12-30T14:01:15"/>
    <d v="1899-12-30T23:00:09"/>
    <n v="8.98"/>
    <n v="8.07"/>
    <n v="2.57"/>
    <n v="0.46"/>
    <n v="0"/>
    <n v="0.82"/>
    <n v="3.57"/>
    <n v="0.62"/>
    <n v="0"/>
    <n v="0"/>
    <n v="0"/>
    <n v="0.03"/>
    <n v="8.07"/>
    <n v="31.81"/>
    <n v="5.7"/>
    <n v="0"/>
    <n v="10.14"/>
    <n v="44.3"/>
    <n v="7.72"/>
    <n v="0"/>
    <n v="0"/>
    <n v="0"/>
    <n v="0.32"/>
    <n v="3"/>
    <x v="1"/>
  </r>
  <r>
    <x v="1"/>
    <x v="35"/>
    <x v="2"/>
    <x v="34"/>
    <n v="139"/>
    <n v="11"/>
    <n v="4"/>
    <n v="5"/>
    <n v="3"/>
    <n v="0"/>
    <n v="72"/>
    <s v="Derice Warnsley"/>
    <s v="Collections Group"/>
    <d v="2025-12-09T00:00:00"/>
    <d v="1899-12-30T14:00:19"/>
    <d v="1899-12-30T22:45:06"/>
    <n v="8.75"/>
    <n v="8.43"/>
    <n v="2.5"/>
    <n v="0.26"/>
    <n v="0"/>
    <n v="0.13"/>
    <n v="3.83"/>
    <n v="1.38"/>
    <n v="0.31"/>
    <n v="0"/>
    <n v="0"/>
    <n v="0.03"/>
    <n v="8.43"/>
    <n v="29.62"/>
    <n v="3.09"/>
    <n v="0"/>
    <n v="1.55"/>
    <n v="45.47"/>
    <n v="16.3"/>
    <n v="3.66"/>
    <n v="0"/>
    <n v="0"/>
    <n v="0.31"/>
    <n v="3"/>
    <x v="1"/>
  </r>
  <r>
    <x v="2"/>
    <x v="35"/>
    <x v="2"/>
    <x v="68"/>
    <n v="123"/>
    <n v="19"/>
    <n v="1"/>
    <n v="14"/>
    <n v="0"/>
    <n v="1"/>
    <n v="63"/>
    <s v="Isiah Thomas"/>
    <s v="Collections Group"/>
    <d v="2025-12-09T00:00:00"/>
    <d v="1899-12-30T14:05:21"/>
    <d v="1899-12-30T22:45:02"/>
    <n v="8.67"/>
    <n v="7.98"/>
    <n v="1.7"/>
    <n v="0.7"/>
    <n v="0"/>
    <n v="0.7"/>
    <n v="3.28"/>
    <n v="1.51"/>
    <n v="0.09"/>
    <n v="0"/>
    <n v="0"/>
    <n v="0.01"/>
    <n v="7.98"/>
    <n v="21.27"/>
    <n v="8.76"/>
    <n v="0"/>
    <n v="8.7200000000000006"/>
    <n v="41.07"/>
    <n v="18.920000000000002"/>
    <n v="1.18"/>
    <n v="0"/>
    <n v="0"/>
    <n v="7.0000000000000007E-2"/>
    <n v="3"/>
    <x v="1"/>
  </r>
  <r>
    <x v="3"/>
    <x v="35"/>
    <x v="2"/>
    <x v="66"/>
    <n v="153"/>
    <n v="10"/>
    <n v="5"/>
    <n v="19"/>
    <n v="0"/>
    <n v="5"/>
    <n v="79"/>
    <s v="Jerrod Coleman"/>
    <s v="Collections Group"/>
    <d v="2025-12-09T00:00:00"/>
    <d v="1899-12-30T14:00:35"/>
    <d v="1899-12-30T22:59:03"/>
    <n v="8.98"/>
    <n v="7.56"/>
    <n v="2.1"/>
    <n v="0.37"/>
    <n v="0"/>
    <n v="0.45"/>
    <n v="3.66"/>
    <n v="0.97"/>
    <n v="0"/>
    <n v="0"/>
    <n v="0"/>
    <n v="0.01"/>
    <n v="7.56"/>
    <n v="27.82"/>
    <n v="4.91"/>
    <n v="0"/>
    <n v="5.95"/>
    <n v="48.36"/>
    <n v="12.84"/>
    <n v="0"/>
    <n v="0"/>
    <n v="0"/>
    <n v="0.13"/>
    <n v="3"/>
    <x v="1"/>
  </r>
  <r>
    <x v="7"/>
    <x v="35"/>
    <x v="2"/>
    <x v="13"/>
    <n v="1"/>
    <n v="0"/>
    <n v="0"/>
    <n v="0"/>
    <n v="0"/>
    <n v="0"/>
    <n v="0"/>
    <m/>
    <m/>
    <m/>
    <m/>
    <m/>
    <m/>
    <m/>
    <m/>
    <m/>
    <m/>
    <m/>
    <m/>
    <m/>
    <m/>
    <m/>
    <m/>
    <m/>
    <m/>
    <m/>
    <m/>
    <m/>
    <m/>
    <m/>
    <m/>
    <m/>
    <m/>
    <m/>
    <m/>
    <n v="3"/>
    <x v="1"/>
  </r>
  <r>
    <x v="5"/>
    <x v="35"/>
    <x v="2"/>
    <x v="59"/>
    <n v="174"/>
    <n v="10"/>
    <n v="10"/>
    <n v="9"/>
    <n v="3"/>
    <n v="0"/>
    <n v="79"/>
    <s v="Sabigh Masood"/>
    <s v="Collections Group"/>
    <d v="2025-12-09T00:00:00"/>
    <d v="1899-12-30T14:03:08"/>
    <d v="1899-12-30T23:05:32"/>
    <n v="9.0299999999999994"/>
    <n v="9.0399999999999991"/>
    <n v="3.02"/>
    <n v="0.23"/>
    <n v="0"/>
    <n v="0.53"/>
    <n v="2.77"/>
    <n v="1.47"/>
    <n v="1.03"/>
    <n v="0"/>
    <n v="0"/>
    <n v="0"/>
    <n v="9.0399999999999991"/>
    <n v="33.39"/>
    <n v="2.52"/>
    <n v="0"/>
    <n v="5.82"/>
    <n v="30.61"/>
    <n v="16.260000000000002"/>
    <n v="11.38"/>
    <n v="0"/>
    <n v="0"/>
    <n v="0.03"/>
    <n v="3"/>
    <x v="1"/>
  </r>
  <r>
    <x v="9"/>
    <x v="35"/>
    <x v="2"/>
    <x v="13"/>
    <n v="3"/>
    <n v="1"/>
    <n v="0"/>
    <n v="1"/>
    <n v="0"/>
    <n v="0"/>
    <n v="0"/>
    <m/>
    <m/>
    <m/>
    <m/>
    <m/>
    <m/>
    <m/>
    <m/>
    <m/>
    <m/>
    <m/>
    <m/>
    <m/>
    <m/>
    <m/>
    <m/>
    <m/>
    <m/>
    <m/>
    <m/>
    <m/>
    <m/>
    <m/>
    <m/>
    <m/>
    <m/>
    <m/>
    <m/>
    <n v="3"/>
    <x v="1"/>
  </r>
  <r>
    <x v="6"/>
    <x v="35"/>
    <x v="2"/>
    <x v="86"/>
    <n v="0"/>
    <n v="0"/>
    <n v="0"/>
    <n v="0"/>
    <n v="0"/>
    <n v="0"/>
    <n v="0"/>
    <m/>
    <m/>
    <m/>
    <m/>
    <m/>
    <m/>
    <m/>
    <m/>
    <m/>
    <m/>
    <m/>
    <m/>
    <m/>
    <m/>
    <m/>
    <m/>
    <m/>
    <m/>
    <m/>
    <m/>
    <m/>
    <m/>
    <m/>
    <m/>
    <m/>
    <m/>
    <m/>
    <m/>
    <n v="3"/>
    <x v="1"/>
  </r>
  <r>
    <x v="0"/>
    <x v="36"/>
    <x v="2"/>
    <x v="61"/>
    <n v="98"/>
    <n v="10"/>
    <n v="8"/>
    <n v="9"/>
    <n v="2"/>
    <n v="1"/>
    <n v="39"/>
    <s v="Anais Orozco"/>
    <s v="Collections Group"/>
    <d v="2025-12-08T00:00:00"/>
    <d v="1899-12-30T14:00:27"/>
    <d v="1899-12-30T23:00:29"/>
    <n v="9"/>
    <n v="8.6999999999999993"/>
    <n v="3.13"/>
    <n v="0.51"/>
    <n v="0"/>
    <n v="0.56000000000000005"/>
    <n v="3.46"/>
    <n v="0.94"/>
    <n v="0"/>
    <n v="0"/>
    <n v="0.11"/>
    <n v="0.01"/>
    <n v="8.6999999999999993"/>
    <n v="35.97"/>
    <n v="5.82"/>
    <n v="0"/>
    <n v="6.42"/>
    <n v="39.71"/>
    <n v="10.75"/>
    <n v="0"/>
    <n v="0"/>
    <n v="1.22"/>
    <n v="0.1"/>
    <n v="2"/>
    <x v="2"/>
  </r>
  <r>
    <x v="1"/>
    <x v="36"/>
    <x v="2"/>
    <x v="56"/>
    <n v="92"/>
    <n v="3"/>
    <n v="11"/>
    <n v="12"/>
    <n v="0"/>
    <n v="1"/>
    <n v="35"/>
    <s v="Derice Warnsley"/>
    <s v="Collections Group"/>
    <d v="2025-12-08T00:00:00"/>
    <d v="1899-12-30T14:00:19"/>
    <d v="1899-12-30T19:00:06"/>
    <n v="5"/>
    <n v="5"/>
    <n v="2.27"/>
    <n v="0.04"/>
    <n v="0"/>
    <n v="0.1"/>
    <n v="2.34"/>
    <n v="0.24"/>
    <n v="0"/>
    <n v="0"/>
    <n v="0"/>
    <n v="0.01"/>
    <n v="5"/>
    <n v="45.43"/>
    <n v="0.77"/>
    <n v="0"/>
    <n v="2.04"/>
    <n v="46.81"/>
    <n v="4.8"/>
    <n v="0"/>
    <n v="0"/>
    <n v="0"/>
    <n v="0.16"/>
    <n v="2"/>
    <x v="2"/>
  </r>
  <r>
    <x v="2"/>
    <x v="36"/>
    <x v="2"/>
    <x v="21"/>
    <n v="60"/>
    <n v="6"/>
    <n v="3"/>
    <n v="8"/>
    <n v="0"/>
    <n v="0"/>
    <n v="31"/>
    <s v="Isiah Thomas"/>
    <s v="Collections Group"/>
    <d v="2025-12-08T00:00:00"/>
    <d v="1899-12-30T17:00:31"/>
    <d v="1899-12-30T23:01:39"/>
    <n v="6.02"/>
    <n v="6.02"/>
    <n v="1.32"/>
    <n v="0.46"/>
    <n v="0"/>
    <n v="0.25"/>
    <n v="2.0099999999999998"/>
    <n v="1.53"/>
    <n v="0.44"/>
    <n v="0"/>
    <n v="0"/>
    <n v="0"/>
    <n v="6.02"/>
    <n v="21.93"/>
    <n v="7.59"/>
    <n v="0"/>
    <n v="4.24"/>
    <n v="33.42"/>
    <n v="25.46"/>
    <n v="7.31"/>
    <n v="0"/>
    <n v="0"/>
    <n v="0.05"/>
    <n v="2"/>
    <x v="2"/>
  </r>
  <r>
    <x v="5"/>
    <x v="36"/>
    <x v="2"/>
    <x v="9"/>
    <n v="164"/>
    <n v="12"/>
    <n v="7"/>
    <n v="19"/>
    <n v="1"/>
    <n v="0"/>
    <n v="76"/>
    <s v="Sabigh Masood"/>
    <s v="Collections Group"/>
    <d v="2025-12-08T00:00:00"/>
    <d v="1899-12-30T13:59:53"/>
    <d v="1899-12-30T23:04:29"/>
    <n v="9.08"/>
    <n v="9.08"/>
    <n v="2.82"/>
    <n v="0.38"/>
    <n v="0"/>
    <n v="0.43"/>
    <n v="4.04"/>
    <n v="1.41"/>
    <n v="0"/>
    <n v="0"/>
    <n v="0"/>
    <n v="0"/>
    <n v="9.08"/>
    <n v="31.03"/>
    <n v="4.17"/>
    <n v="0"/>
    <n v="4.79"/>
    <n v="44.48"/>
    <n v="15.5"/>
    <n v="0"/>
    <n v="0"/>
    <n v="0"/>
    <n v="0.03"/>
    <n v="2"/>
    <x v="2"/>
  </r>
  <r>
    <x v="6"/>
    <x v="36"/>
    <x v="2"/>
    <x v="87"/>
    <n v="0"/>
    <n v="0"/>
    <n v="0"/>
    <n v="0"/>
    <n v="0"/>
    <n v="0"/>
    <n v="0"/>
    <m/>
    <m/>
    <m/>
    <m/>
    <m/>
    <m/>
    <m/>
    <m/>
    <m/>
    <m/>
    <m/>
    <m/>
    <m/>
    <m/>
    <m/>
    <m/>
    <m/>
    <m/>
    <m/>
    <m/>
    <m/>
    <m/>
    <m/>
    <m/>
    <m/>
    <m/>
    <m/>
    <m/>
    <n v="2"/>
    <x v="2"/>
  </r>
  <r>
    <x v="1"/>
    <x v="37"/>
    <x v="2"/>
    <x v="6"/>
    <n v="139"/>
    <n v="8"/>
    <n v="11"/>
    <n v="4"/>
    <n v="0"/>
    <n v="1"/>
    <n v="77"/>
    <s v="Derice Warnsley"/>
    <s v="Collections Group"/>
    <d v="2025-12-05T00:00:00"/>
    <d v="1899-12-30T13:59:15"/>
    <d v="1899-12-30T23:00:02"/>
    <n v="9.02"/>
    <n v="9.01"/>
    <n v="2.02"/>
    <n v="0"/>
    <n v="0"/>
    <n v="0.11"/>
    <n v="5.38"/>
    <n v="1.49"/>
    <n v="0"/>
    <n v="0"/>
    <n v="0"/>
    <n v="0.01"/>
    <n v="9.01"/>
    <n v="22.38"/>
    <n v="0"/>
    <n v="0"/>
    <n v="1.25"/>
    <n v="59.7"/>
    <n v="16.5"/>
    <n v="0"/>
    <n v="0"/>
    <n v="0"/>
    <n v="0.16"/>
    <n v="6"/>
    <x v="3"/>
  </r>
  <r>
    <x v="2"/>
    <x v="37"/>
    <x v="2"/>
    <x v="78"/>
    <n v="107"/>
    <n v="7"/>
    <n v="6"/>
    <n v="15"/>
    <n v="0"/>
    <n v="2"/>
    <n v="55"/>
    <s v="Isiah Thomas"/>
    <s v="Collections Group"/>
    <d v="2025-12-05T00:00:00"/>
    <d v="1899-12-30T14:00:23"/>
    <d v="1899-12-30T21:30:41"/>
    <n v="7.5"/>
    <n v="7.5"/>
    <n v="1.5"/>
    <n v="0.5"/>
    <n v="0"/>
    <n v="0.63"/>
    <n v="3.8"/>
    <n v="1.01"/>
    <n v="7.0000000000000007E-2"/>
    <n v="0"/>
    <n v="0"/>
    <n v="0"/>
    <n v="7.5"/>
    <n v="20.02"/>
    <n v="6.6"/>
    <n v="0"/>
    <n v="8.3699999999999992"/>
    <n v="50.59"/>
    <n v="13.43"/>
    <n v="0.93"/>
    <n v="0"/>
    <n v="0"/>
    <n v="0.06"/>
    <n v="6"/>
    <x v="3"/>
  </r>
  <r>
    <x v="3"/>
    <x v="37"/>
    <x v="2"/>
    <x v="56"/>
    <n v="64"/>
    <n v="9"/>
    <n v="5"/>
    <n v="6"/>
    <n v="2"/>
    <n v="2"/>
    <n v="29"/>
    <s v="Jerrod Coleman"/>
    <s v="Collections Group"/>
    <d v="2025-12-05T00:00:00"/>
    <d v="1899-12-30T14:01:27"/>
    <d v="1899-12-30T22:59:29"/>
    <n v="8.9700000000000006"/>
    <n v="8.9700000000000006"/>
    <n v="1.31"/>
    <n v="0.4"/>
    <n v="0"/>
    <n v="0.39"/>
    <n v="4.63"/>
    <n v="1.48"/>
    <n v="0.75"/>
    <n v="0"/>
    <n v="0"/>
    <n v="0"/>
    <n v="8.9700000000000006"/>
    <n v="14.61"/>
    <n v="4.43"/>
    <n v="0"/>
    <n v="4.4000000000000004"/>
    <n v="51.68"/>
    <n v="16.5"/>
    <n v="8.35"/>
    <n v="0"/>
    <n v="0"/>
    <n v="0.03"/>
    <n v="6"/>
    <x v="3"/>
  </r>
  <r>
    <x v="5"/>
    <x v="37"/>
    <x v="2"/>
    <x v="32"/>
    <n v="130"/>
    <n v="9"/>
    <n v="7"/>
    <n v="9"/>
    <n v="1"/>
    <n v="0"/>
    <n v="65"/>
    <s v="Sabigh Masood"/>
    <s v="Collections Group"/>
    <d v="2025-12-05T00:00:00"/>
    <d v="1899-12-30T14:00:05"/>
    <d v="1899-12-30T23:01:06"/>
    <n v="9.02"/>
    <n v="9.02"/>
    <n v="2.14"/>
    <n v="0.25"/>
    <n v="0"/>
    <n v="0.61"/>
    <n v="4.1399999999999997"/>
    <n v="1.88"/>
    <n v="0"/>
    <n v="0"/>
    <n v="0"/>
    <n v="0"/>
    <n v="9.02"/>
    <n v="23.77"/>
    <n v="2.75"/>
    <n v="0"/>
    <n v="6.73"/>
    <n v="45.91"/>
    <n v="20.81"/>
    <n v="0"/>
    <n v="0"/>
    <n v="0"/>
    <n v="0.03"/>
    <n v="6"/>
    <x v="3"/>
  </r>
  <r>
    <x v="6"/>
    <x v="37"/>
    <x v="2"/>
    <x v="88"/>
    <n v="0"/>
    <n v="0"/>
    <n v="0"/>
    <n v="0"/>
    <n v="0"/>
    <n v="0"/>
    <n v="0"/>
    <m/>
    <m/>
    <m/>
    <m/>
    <m/>
    <m/>
    <m/>
    <m/>
    <m/>
    <m/>
    <m/>
    <m/>
    <m/>
    <m/>
    <m/>
    <m/>
    <m/>
    <m/>
    <m/>
    <m/>
    <m/>
    <m/>
    <m/>
    <m/>
    <m/>
    <m/>
    <m/>
    <m/>
    <n v="6"/>
    <x v="3"/>
  </r>
  <r>
    <x v="0"/>
    <x v="38"/>
    <x v="2"/>
    <x v="89"/>
    <n v="76"/>
    <n v="1"/>
    <n v="6"/>
    <n v="7"/>
    <n v="0"/>
    <n v="5"/>
    <n v="35"/>
    <s v="Anais Orozco"/>
    <s v="Collections Group"/>
    <d v="2025-12-04T00:00:00"/>
    <d v="1899-12-30T14:00:23"/>
    <d v="1899-12-30T23:00:52"/>
    <n v="9"/>
    <n v="8.14"/>
    <n v="2.04"/>
    <n v="0.4"/>
    <n v="0"/>
    <n v="0.33"/>
    <n v="3.53"/>
    <n v="0.39"/>
    <n v="1.4"/>
    <n v="0"/>
    <n v="0"/>
    <n v="0.05"/>
    <n v="8.14"/>
    <n v="25.06"/>
    <n v="4.8600000000000003"/>
    <n v="0"/>
    <n v="4.07"/>
    <n v="43.3"/>
    <n v="4.84"/>
    <n v="17.23"/>
    <n v="0"/>
    <n v="0"/>
    <n v="0.64"/>
    <n v="5"/>
    <x v="4"/>
  </r>
  <r>
    <x v="1"/>
    <x v="38"/>
    <x v="2"/>
    <x v="40"/>
    <n v="91"/>
    <n v="10"/>
    <n v="10"/>
    <n v="12"/>
    <n v="0"/>
    <n v="1"/>
    <n v="38"/>
    <s v="Derice Warnsley"/>
    <s v="Collections Group"/>
    <d v="2025-12-04T00:00:00"/>
    <d v="1899-12-30T14:00:11"/>
    <d v="1899-12-30T23:00:34"/>
    <n v="9"/>
    <n v="9.01"/>
    <n v="1.65"/>
    <n v="0.06"/>
    <n v="0"/>
    <n v="0.1"/>
    <n v="3.51"/>
    <n v="1.47"/>
    <n v="2.21"/>
    <n v="0"/>
    <n v="0"/>
    <n v="0.01"/>
    <n v="9.01"/>
    <n v="18.329999999999998"/>
    <n v="0.66"/>
    <n v="0"/>
    <n v="1.1000000000000001"/>
    <n v="38.96"/>
    <n v="16.309999999999999"/>
    <n v="24.59"/>
    <n v="0"/>
    <n v="0"/>
    <n v="7.0000000000000007E-2"/>
    <n v="5"/>
    <x v="4"/>
  </r>
  <r>
    <x v="2"/>
    <x v="38"/>
    <x v="2"/>
    <x v="90"/>
    <n v="59"/>
    <n v="3"/>
    <n v="0"/>
    <n v="7"/>
    <n v="0"/>
    <n v="2"/>
    <n v="33"/>
    <s v="Isiah Thomas"/>
    <s v="Collections Group"/>
    <d v="2025-12-04T00:00:00"/>
    <d v="1899-12-30T14:00:14"/>
    <d v="1899-12-30T23:00:36"/>
    <n v="9"/>
    <n v="9.01"/>
    <n v="1.18"/>
    <n v="0.83"/>
    <n v="0"/>
    <n v="0.28000000000000003"/>
    <n v="2.98"/>
    <n v="1.53"/>
    <n v="2.2000000000000002"/>
    <n v="0"/>
    <n v="0"/>
    <n v="0"/>
    <n v="9.01"/>
    <n v="13.15"/>
    <n v="9.18"/>
    <n v="0"/>
    <n v="3.12"/>
    <n v="33.119999999999997"/>
    <n v="16.95"/>
    <n v="24.45"/>
    <n v="0"/>
    <n v="0"/>
    <n v="0.04"/>
    <n v="5"/>
    <x v="4"/>
  </r>
  <r>
    <x v="3"/>
    <x v="38"/>
    <x v="2"/>
    <x v="40"/>
    <n v="86"/>
    <n v="6"/>
    <n v="3"/>
    <n v="5"/>
    <n v="0"/>
    <n v="3"/>
    <n v="38"/>
    <s v="Jerrod Coleman"/>
    <s v="Collections Group"/>
    <d v="2025-12-04T00:00:00"/>
    <d v="1899-12-30T14:00:16"/>
    <d v="1899-12-30T22:59:36"/>
    <n v="8.98"/>
    <n v="8.99"/>
    <n v="1.2"/>
    <n v="0.17"/>
    <n v="0"/>
    <n v="0.3"/>
    <n v="4.43"/>
    <n v="1.47"/>
    <n v="1.41"/>
    <n v="0"/>
    <n v="0"/>
    <n v="0"/>
    <n v="8.99"/>
    <n v="13.4"/>
    <n v="1.95"/>
    <n v="0"/>
    <n v="3.29"/>
    <n v="49.31"/>
    <n v="16.34"/>
    <n v="15.69"/>
    <n v="0"/>
    <n v="0"/>
    <n v="0.04"/>
    <n v="5"/>
    <x v="4"/>
  </r>
  <r>
    <x v="5"/>
    <x v="38"/>
    <x v="2"/>
    <x v="31"/>
    <n v="149"/>
    <n v="16"/>
    <n v="8"/>
    <n v="1"/>
    <n v="0"/>
    <n v="0"/>
    <n v="62"/>
    <s v="Sabigh Masood"/>
    <s v="Collections Group"/>
    <d v="2025-12-04T00:00:00"/>
    <d v="1899-12-30T14:01:20"/>
    <d v="1899-12-30T23:00:48"/>
    <n v="8.98"/>
    <n v="8.99"/>
    <n v="2.0499999999999998"/>
    <n v="0.19"/>
    <n v="0"/>
    <n v="0.34"/>
    <n v="3.52"/>
    <n v="1.48"/>
    <n v="1.41"/>
    <n v="0"/>
    <n v="0"/>
    <n v="0"/>
    <n v="8.99"/>
    <n v="22.8"/>
    <n v="2.08"/>
    <n v="0"/>
    <n v="3.8"/>
    <n v="39.130000000000003"/>
    <n v="16.5"/>
    <n v="15.66"/>
    <n v="0"/>
    <n v="0"/>
    <n v="0.03"/>
    <n v="5"/>
    <x v="4"/>
  </r>
  <r>
    <x v="6"/>
    <x v="38"/>
    <x v="2"/>
    <x v="91"/>
    <n v="0"/>
    <n v="0"/>
    <n v="0"/>
    <n v="0"/>
    <n v="0"/>
    <n v="0"/>
    <n v="0"/>
    <m/>
    <m/>
    <m/>
    <m/>
    <m/>
    <m/>
    <m/>
    <m/>
    <m/>
    <m/>
    <m/>
    <m/>
    <m/>
    <m/>
    <m/>
    <m/>
    <m/>
    <m/>
    <m/>
    <m/>
    <m/>
    <m/>
    <m/>
    <m/>
    <m/>
    <m/>
    <m/>
    <m/>
    <n v="5"/>
    <x v="4"/>
  </r>
  <r>
    <x v="0"/>
    <x v="39"/>
    <x v="2"/>
    <x v="23"/>
    <n v="125"/>
    <n v="9"/>
    <n v="10"/>
    <n v="7"/>
    <n v="0"/>
    <n v="6"/>
    <n v="53"/>
    <s v="Anais Orozco"/>
    <s v="Collections Group"/>
    <d v="2025-12-03T00:00:00"/>
    <d v="1899-12-30T14:00:40"/>
    <d v="1899-12-30T23:00:23"/>
    <n v="9"/>
    <n v="8.1199999999999992"/>
    <n v="2.44"/>
    <n v="0.63"/>
    <n v="0"/>
    <n v="0.53"/>
    <n v="3.07"/>
    <n v="0.36"/>
    <n v="1.07"/>
    <n v="0"/>
    <n v="0"/>
    <n v="0.02"/>
    <n v="8.1199999999999992"/>
    <n v="30.01"/>
    <n v="7.77"/>
    <n v="0"/>
    <n v="6.52"/>
    <n v="37.79"/>
    <n v="4.45"/>
    <n v="13.18"/>
    <n v="0"/>
    <n v="0"/>
    <n v="0.28000000000000003"/>
    <n v="4"/>
    <x v="0"/>
  </r>
  <r>
    <x v="1"/>
    <x v="39"/>
    <x v="2"/>
    <x v="6"/>
    <n v="123"/>
    <n v="25"/>
    <n v="15"/>
    <n v="10"/>
    <n v="3"/>
    <n v="1"/>
    <n v="46"/>
    <s v="Derice Warnsley"/>
    <s v="Collections Group"/>
    <d v="2025-12-03T00:00:00"/>
    <d v="1899-12-30T14:00:26"/>
    <d v="1899-12-30T23:01:59"/>
    <n v="9.02"/>
    <n v="9.02"/>
    <n v="2.83"/>
    <n v="0.21"/>
    <n v="0"/>
    <n v="0.09"/>
    <n v="3.36"/>
    <n v="1.45"/>
    <n v="1.08"/>
    <n v="0"/>
    <n v="0"/>
    <n v="0"/>
    <n v="9.02"/>
    <n v="31.37"/>
    <n v="2.38"/>
    <n v="0"/>
    <n v="1.01"/>
    <n v="37.24"/>
    <n v="16.010000000000002"/>
    <n v="11.95"/>
    <n v="0"/>
    <n v="0"/>
    <n v="0.04"/>
    <n v="4"/>
    <x v="0"/>
  </r>
  <r>
    <x v="2"/>
    <x v="39"/>
    <x v="2"/>
    <x v="61"/>
    <n v="110"/>
    <n v="16"/>
    <n v="5"/>
    <n v="12"/>
    <n v="0"/>
    <n v="0"/>
    <n v="50"/>
    <s v="Isiah Thomas"/>
    <s v="Collections Group"/>
    <d v="2025-12-03T00:00:00"/>
    <d v="1899-12-30T14:00:39"/>
    <d v="1899-12-30T23:00:01"/>
    <n v="9"/>
    <n v="8.99"/>
    <n v="1.96"/>
    <n v="1.84"/>
    <n v="0"/>
    <n v="0.59"/>
    <n v="3.09"/>
    <n v="1.51"/>
    <n v="0"/>
    <n v="0"/>
    <n v="0"/>
    <n v="0"/>
    <n v="8.99"/>
    <n v="21.82"/>
    <n v="20.51"/>
    <n v="0"/>
    <n v="6.53"/>
    <n v="34.33"/>
    <n v="16.78"/>
    <n v="0"/>
    <n v="0"/>
    <n v="0"/>
    <n v="0.03"/>
    <n v="4"/>
    <x v="0"/>
  </r>
  <r>
    <x v="3"/>
    <x v="39"/>
    <x v="2"/>
    <x v="16"/>
    <n v="115"/>
    <n v="17"/>
    <n v="16"/>
    <n v="11"/>
    <n v="0"/>
    <n v="5"/>
    <n v="41"/>
    <s v="Jerrod Coleman"/>
    <s v="Collections Group"/>
    <d v="2025-12-03T00:00:00"/>
    <d v="1899-12-30T14:00:13"/>
    <d v="1899-12-30T22:59:04"/>
    <n v="8.98"/>
    <n v="8.98"/>
    <n v="2.52"/>
    <n v="0.33"/>
    <n v="0"/>
    <n v="0.65"/>
    <n v="2.9"/>
    <n v="1.47"/>
    <n v="1.1200000000000001"/>
    <n v="0"/>
    <n v="0"/>
    <n v="0.01"/>
    <n v="8.98"/>
    <n v="28.07"/>
    <n v="3.64"/>
    <n v="0"/>
    <n v="7.22"/>
    <n v="32.25"/>
    <n v="16.34"/>
    <n v="12.41"/>
    <n v="0"/>
    <n v="0"/>
    <n v="7.0000000000000007E-2"/>
    <n v="4"/>
    <x v="0"/>
  </r>
  <r>
    <x v="5"/>
    <x v="39"/>
    <x v="2"/>
    <x v="50"/>
    <n v="250"/>
    <n v="19"/>
    <n v="10"/>
    <n v="26"/>
    <n v="0"/>
    <n v="0"/>
    <n v="128"/>
    <s v="Sabigh Masood"/>
    <s v="Collections Group"/>
    <d v="2025-12-03T00:00:00"/>
    <d v="1899-12-30T14:00:13"/>
    <d v="1899-12-30T23:00:21"/>
    <n v="9"/>
    <n v="9"/>
    <n v="2.12"/>
    <n v="0.24"/>
    <n v="0"/>
    <n v="0.52"/>
    <n v="3.58"/>
    <n v="1.44"/>
    <n v="1.1000000000000001"/>
    <n v="0"/>
    <n v="0"/>
    <n v="0"/>
    <n v="9"/>
    <n v="23.55"/>
    <n v="2.64"/>
    <n v="0"/>
    <n v="5.75"/>
    <n v="39.78"/>
    <n v="16"/>
    <n v="12.26"/>
    <n v="0"/>
    <n v="0"/>
    <n v="0.03"/>
    <n v="4"/>
    <x v="0"/>
  </r>
  <r>
    <x v="6"/>
    <x v="39"/>
    <x v="2"/>
    <x v="92"/>
    <n v="0"/>
    <n v="0"/>
    <n v="0"/>
    <n v="0"/>
    <n v="0"/>
    <n v="0"/>
    <n v="0"/>
    <m/>
    <m/>
    <m/>
    <m/>
    <m/>
    <m/>
    <m/>
    <m/>
    <m/>
    <m/>
    <m/>
    <m/>
    <m/>
    <m/>
    <m/>
    <m/>
    <m/>
    <m/>
    <m/>
    <m/>
    <m/>
    <m/>
    <m/>
    <m/>
    <m/>
    <m/>
    <m/>
    <m/>
    <n v="4"/>
    <x v="0"/>
  </r>
  <r>
    <x v="0"/>
    <x v="40"/>
    <x v="2"/>
    <x v="38"/>
    <n v="118"/>
    <n v="2"/>
    <n v="12"/>
    <n v="12"/>
    <n v="1"/>
    <n v="2"/>
    <n v="49"/>
    <s v="Anais Orozco"/>
    <s v="Collections Group"/>
    <d v="2025-12-02T00:00:00"/>
    <d v="1899-12-30T14:00:59"/>
    <d v="1899-12-30T23:00:17"/>
    <n v="9"/>
    <n v="8.1300000000000008"/>
    <n v="2.96"/>
    <n v="0.84"/>
    <n v="0"/>
    <n v="0.45"/>
    <n v="3.48"/>
    <n v="0.36"/>
    <n v="0"/>
    <n v="0"/>
    <n v="0"/>
    <n v="0.05"/>
    <n v="8.1300000000000008"/>
    <n v="36.44"/>
    <n v="10.29"/>
    <n v="0"/>
    <n v="5.48"/>
    <n v="42.79"/>
    <n v="4.45"/>
    <n v="0"/>
    <n v="0"/>
    <n v="0"/>
    <n v="0.56000000000000005"/>
    <n v="3"/>
    <x v="1"/>
  </r>
  <r>
    <x v="1"/>
    <x v="40"/>
    <x v="2"/>
    <x v="41"/>
    <n v="100"/>
    <n v="7"/>
    <n v="6"/>
    <n v="14"/>
    <n v="2"/>
    <n v="2"/>
    <n v="36"/>
    <s v="Derice Warnsley"/>
    <s v="Collections Group"/>
    <d v="2025-12-02T00:00:00"/>
    <d v="1899-12-30T13:59:13"/>
    <d v="1899-12-30T23:00:51"/>
    <n v="9.02"/>
    <n v="9.0299999999999994"/>
    <n v="2.7"/>
    <n v="0.11"/>
    <n v="0"/>
    <n v="0.08"/>
    <n v="4.5199999999999996"/>
    <n v="1.42"/>
    <n v="0.17"/>
    <n v="0"/>
    <n v="0"/>
    <n v="0.02"/>
    <n v="9.0299999999999994"/>
    <n v="29.94"/>
    <n v="1.21"/>
    <n v="0"/>
    <n v="0.9"/>
    <n v="50.11"/>
    <n v="15.76"/>
    <n v="1.89"/>
    <n v="0"/>
    <n v="0"/>
    <n v="0.19"/>
    <n v="3"/>
    <x v="1"/>
  </r>
  <r>
    <x v="2"/>
    <x v="40"/>
    <x v="2"/>
    <x v="16"/>
    <n v="141"/>
    <n v="18"/>
    <n v="1"/>
    <n v="25"/>
    <n v="1"/>
    <n v="0"/>
    <n v="57"/>
    <s v="Isiah Thomas"/>
    <s v="Collections Group"/>
    <d v="2025-12-02T00:00:00"/>
    <d v="1899-12-30T13:59:53"/>
    <d v="1899-12-30T23:00:02"/>
    <n v="9.02"/>
    <n v="9"/>
    <n v="2.4500000000000002"/>
    <n v="0.94"/>
    <n v="0"/>
    <n v="0.76"/>
    <n v="3.33"/>
    <n v="1.52"/>
    <n v="0"/>
    <n v="0"/>
    <n v="0"/>
    <n v="0"/>
    <n v="9"/>
    <n v="27.23"/>
    <n v="10.4"/>
    <n v="0"/>
    <n v="8.4600000000000009"/>
    <n v="37.020000000000003"/>
    <n v="16.87"/>
    <n v="0"/>
    <n v="0"/>
    <n v="0"/>
    <n v="0.03"/>
    <n v="3"/>
    <x v="1"/>
  </r>
  <r>
    <x v="3"/>
    <x v="40"/>
    <x v="2"/>
    <x v="66"/>
    <n v="150"/>
    <n v="5"/>
    <n v="10"/>
    <n v="17"/>
    <n v="3"/>
    <n v="1"/>
    <n v="72"/>
    <s v="Jerrod Coleman"/>
    <s v="Collections Group"/>
    <d v="2025-12-02T00:00:00"/>
    <d v="1899-12-30T14:00:10"/>
    <d v="1899-12-30T22:59:03"/>
    <n v="8.98"/>
    <n v="8.98"/>
    <n v="2.7"/>
    <n v="0.61"/>
    <n v="0"/>
    <n v="0.59"/>
    <n v="3.59"/>
    <n v="1.48"/>
    <n v="0"/>
    <n v="0"/>
    <n v="0"/>
    <n v="0"/>
    <n v="8.98"/>
    <n v="30.11"/>
    <n v="6.81"/>
    <n v="0"/>
    <n v="6.61"/>
    <n v="39.950000000000003"/>
    <n v="16.48"/>
    <n v="0"/>
    <n v="0"/>
    <n v="0"/>
    <n v="0.04"/>
    <n v="3"/>
    <x v="1"/>
  </r>
  <r>
    <x v="5"/>
    <x v="40"/>
    <x v="2"/>
    <x v="37"/>
    <n v="178"/>
    <n v="16"/>
    <n v="3"/>
    <n v="17"/>
    <n v="0"/>
    <n v="1"/>
    <n v="79"/>
    <s v="Sabigh Masood"/>
    <s v="Collections Group"/>
    <d v="2025-12-02T00:00:00"/>
    <d v="1899-12-30T13:59:46"/>
    <d v="1899-12-30T23:01:32"/>
    <n v="9.0299999999999994"/>
    <n v="9.0299999999999994"/>
    <n v="2.88"/>
    <n v="0.12"/>
    <n v="0"/>
    <n v="1.03"/>
    <n v="3.55"/>
    <n v="1.46"/>
    <n v="0"/>
    <n v="0"/>
    <n v="0"/>
    <n v="0"/>
    <n v="9.0299999999999994"/>
    <n v="31.85"/>
    <n v="1.3"/>
    <n v="0"/>
    <n v="11.38"/>
    <n v="39.270000000000003"/>
    <n v="16.18"/>
    <n v="0"/>
    <n v="0"/>
    <n v="0"/>
    <n v="0.03"/>
    <n v="3"/>
    <x v="1"/>
  </r>
  <r>
    <x v="6"/>
    <x v="40"/>
    <x v="2"/>
    <x v="93"/>
    <n v="0"/>
    <n v="0"/>
    <n v="0"/>
    <n v="0"/>
    <n v="0"/>
    <n v="0"/>
    <n v="0"/>
    <m/>
    <m/>
    <m/>
    <m/>
    <m/>
    <m/>
    <m/>
    <m/>
    <m/>
    <m/>
    <m/>
    <m/>
    <m/>
    <m/>
    <m/>
    <m/>
    <m/>
    <m/>
    <m/>
    <m/>
    <m/>
    <m/>
    <m/>
    <m/>
    <m/>
    <m/>
    <m/>
    <m/>
    <n v="3"/>
    <x v="1"/>
  </r>
  <r>
    <x v="0"/>
    <x v="41"/>
    <x v="2"/>
    <x v="65"/>
    <n v="137"/>
    <n v="10"/>
    <n v="1"/>
    <n v="13"/>
    <n v="0"/>
    <n v="1"/>
    <n v="57"/>
    <s v="Anais Orozco"/>
    <s v="Collections Group"/>
    <d v="2025-12-01T00:00:00"/>
    <d v="1899-12-30T14:00:16"/>
    <d v="1899-12-30T23:00:04"/>
    <n v="9"/>
    <n v="8.1"/>
    <n v="3.48"/>
    <n v="0.2"/>
    <n v="0"/>
    <n v="0.5"/>
    <n v="3.33"/>
    <n v="0.56999999999999995"/>
    <n v="0"/>
    <n v="0"/>
    <n v="0"/>
    <n v="0.01"/>
    <n v="8.1"/>
    <n v="42.96"/>
    <n v="2.52"/>
    <n v="0"/>
    <n v="6.2"/>
    <n v="41.13"/>
    <n v="7.04"/>
    <n v="0"/>
    <n v="0"/>
    <n v="0"/>
    <n v="0.15"/>
    <n v="2"/>
    <x v="2"/>
  </r>
  <r>
    <x v="2"/>
    <x v="41"/>
    <x v="2"/>
    <x v="34"/>
    <n v="133"/>
    <n v="6"/>
    <n v="0"/>
    <n v="21"/>
    <n v="0"/>
    <n v="3"/>
    <n v="60"/>
    <s v="Isiah Thomas"/>
    <s v="Collections Group"/>
    <d v="2025-12-01T00:00:00"/>
    <d v="1899-12-30T14:01:43"/>
    <d v="1899-12-30T23:00:04"/>
    <n v="8.98"/>
    <n v="8.9700000000000006"/>
    <n v="1.69"/>
    <n v="1.01"/>
    <n v="0"/>
    <n v="0.56999999999999995"/>
    <n v="3.4"/>
    <n v="1.5"/>
    <n v="0.81"/>
    <n v="0"/>
    <n v="0"/>
    <n v="0"/>
    <n v="8.9700000000000006"/>
    <n v="18.82"/>
    <n v="11.29"/>
    <n v="0"/>
    <n v="6.3"/>
    <n v="37.869999999999997"/>
    <n v="16.7"/>
    <n v="9"/>
    <n v="0"/>
    <n v="0"/>
    <n v="0.03"/>
    <n v="2"/>
    <x v="2"/>
  </r>
  <r>
    <x v="3"/>
    <x v="41"/>
    <x v="2"/>
    <x v="16"/>
    <n v="124"/>
    <n v="9"/>
    <n v="11"/>
    <n v="24"/>
    <n v="0"/>
    <n v="4"/>
    <n v="47"/>
    <s v="Jerrod Coleman"/>
    <s v="Collections Group"/>
    <d v="2025-12-01T00:00:00"/>
    <d v="1899-12-30T14:00:14"/>
    <d v="1899-12-30T21:28:39"/>
    <n v="7.47"/>
    <n v="7.47"/>
    <n v="2.21"/>
    <n v="0.28999999999999998"/>
    <n v="0"/>
    <n v="0.4"/>
    <n v="3.13"/>
    <n v="1.43"/>
    <n v="0"/>
    <n v="0"/>
    <n v="0"/>
    <n v="0.01"/>
    <n v="7.47"/>
    <n v="29.58"/>
    <n v="3.82"/>
    <n v="0"/>
    <n v="5.33"/>
    <n v="41.92"/>
    <n v="19.170000000000002"/>
    <n v="0"/>
    <n v="0"/>
    <n v="0"/>
    <n v="0.19"/>
    <n v="2"/>
    <x v="2"/>
  </r>
  <r>
    <x v="5"/>
    <x v="41"/>
    <x v="2"/>
    <x v="94"/>
    <n v="251"/>
    <n v="16"/>
    <n v="6"/>
    <n v="7"/>
    <n v="1"/>
    <n v="3"/>
    <n v="141"/>
    <s v="Sabigh Masood"/>
    <s v="Collections Group"/>
    <d v="2025-12-01T00:00:00"/>
    <d v="1899-12-30T14:00:03"/>
    <d v="1899-12-30T23:01:13"/>
    <n v="9.02"/>
    <n v="9.02"/>
    <n v="2.91"/>
    <n v="0.39"/>
    <n v="0"/>
    <n v="0.63"/>
    <n v="3.69"/>
    <n v="1.39"/>
    <n v="0"/>
    <n v="0"/>
    <n v="0"/>
    <n v="0"/>
    <n v="9.02"/>
    <n v="32.270000000000003"/>
    <n v="4.3099999999999996"/>
    <n v="0"/>
    <n v="6.98"/>
    <n v="40.94"/>
    <n v="15.46"/>
    <n v="0"/>
    <n v="0"/>
    <n v="0"/>
    <n v="0.03"/>
    <n v="2"/>
    <x v="2"/>
  </r>
  <r>
    <x v="6"/>
    <x v="41"/>
    <x v="2"/>
    <x v="95"/>
    <n v="0"/>
    <n v="0"/>
    <n v="0"/>
    <n v="0"/>
    <n v="0"/>
    <n v="0"/>
    <n v="0"/>
    <m/>
    <m/>
    <m/>
    <m/>
    <m/>
    <m/>
    <m/>
    <m/>
    <m/>
    <m/>
    <m/>
    <m/>
    <m/>
    <m/>
    <m/>
    <m/>
    <m/>
    <m/>
    <m/>
    <m/>
    <m/>
    <m/>
    <m/>
    <m/>
    <m/>
    <m/>
    <m/>
    <m/>
    <n v="2"/>
    <x v="2"/>
  </r>
  <r>
    <x v="0"/>
    <x v="42"/>
    <x v="3"/>
    <x v="40"/>
    <n v="106"/>
    <n v="11"/>
    <n v="6"/>
    <n v="4"/>
    <n v="2"/>
    <n v="2"/>
    <n v="46"/>
    <s v="Anais Orozco"/>
    <s v="Collections Group"/>
    <d v="2025-11-26T00:00:00"/>
    <d v="1899-12-30T14:00:29"/>
    <d v="1899-12-30T23:04:19"/>
    <n v="9.07"/>
    <n v="8.1"/>
    <n v="2.09"/>
    <n v="7.0000000000000007E-2"/>
    <n v="0"/>
    <n v="0.21"/>
    <n v="5.09"/>
    <n v="0.55000000000000004"/>
    <n v="0"/>
    <n v="0"/>
    <n v="0.06"/>
    <n v="0.02"/>
    <n v="8.1"/>
    <n v="25.84"/>
    <n v="0.84"/>
    <n v="0"/>
    <n v="2.62"/>
    <n v="62.88"/>
    <n v="6.79"/>
    <n v="0"/>
    <n v="0"/>
    <n v="0.8"/>
    <n v="0.23"/>
    <n v="4"/>
    <x v="0"/>
  </r>
  <r>
    <x v="2"/>
    <x v="42"/>
    <x v="3"/>
    <x v="21"/>
    <n v="92"/>
    <n v="5"/>
    <n v="4"/>
    <n v="15"/>
    <n v="0"/>
    <n v="0"/>
    <n v="48"/>
    <s v="Isiah Thomas"/>
    <s v="Collections Group"/>
    <d v="2025-11-26T00:00:00"/>
    <d v="1899-12-30T14:00:22"/>
    <d v="1899-12-30T23:00:02"/>
    <n v="9"/>
    <n v="8.98"/>
    <n v="1.61"/>
    <n v="0.42"/>
    <n v="0"/>
    <n v="0.64"/>
    <n v="4.8099999999999996"/>
    <n v="1.5"/>
    <n v="0"/>
    <n v="0"/>
    <n v="0"/>
    <n v="0.01"/>
    <n v="8.98"/>
    <n v="17.93"/>
    <n v="4.68"/>
    <n v="0"/>
    <n v="7.11"/>
    <n v="53.55"/>
    <n v="16.68"/>
    <n v="0"/>
    <n v="0"/>
    <n v="0"/>
    <n v="0.06"/>
    <n v="4"/>
    <x v="0"/>
  </r>
  <r>
    <x v="3"/>
    <x v="42"/>
    <x v="3"/>
    <x v="61"/>
    <n v="119"/>
    <n v="11"/>
    <n v="13"/>
    <n v="21"/>
    <n v="4"/>
    <n v="2"/>
    <n v="43"/>
    <s v="Jerrod Coleman"/>
    <s v="Collections Group"/>
    <d v="2025-11-26T00:00:00"/>
    <d v="1899-12-30T14:00:10"/>
    <d v="1899-12-30T22:58:23"/>
    <n v="8.9700000000000006"/>
    <n v="8.9700000000000006"/>
    <n v="2"/>
    <n v="0.43"/>
    <n v="0"/>
    <n v="0.28999999999999998"/>
    <n v="4.7699999999999996"/>
    <n v="1.48"/>
    <n v="0"/>
    <n v="0"/>
    <n v="0"/>
    <n v="0"/>
    <n v="8.9700000000000006"/>
    <n v="22.27"/>
    <n v="4.7699999999999996"/>
    <n v="0"/>
    <n v="3.23"/>
    <n v="53.18"/>
    <n v="16.510000000000002"/>
    <n v="0"/>
    <n v="0"/>
    <n v="0"/>
    <n v="0.04"/>
    <n v="4"/>
    <x v="0"/>
  </r>
  <r>
    <x v="5"/>
    <x v="42"/>
    <x v="3"/>
    <x v="61"/>
    <n v="163"/>
    <n v="4"/>
    <n v="6"/>
    <n v="13"/>
    <n v="0"/>
    <n v="0"/>
    <n v="61"/>
    <s v="Sabigh Masood"/>
    <s v="Collections Group"/>
    <d v="2025-11-26T00:00:00"/>
    <d v="1899-12-30T13:59:44"/>
    <d v="1899-12-30T23:07:17"/>
    <n v="9.1300000000000008"/>
    <n v="9.1300000000000008"/>
    <n v="1.61"/>
    <n v="0.26"/>
    <n v="0"/>
    <n v="0.56999999999999995"/>
    <n v="5.18"/>
    <n v="1.45"/>
    <n v="0"/>
    <n v="0"/>
    <n v="0.06"/>
    <n v="0"/>
    <n v="9.1300000000000008"/>
    <n v="17.649999999999999"/>
    <n v="2.89"/>
    <n v="0"/>
    <n v="6.23"/>
    <n v="56.76"/>
    <n v="15.84"/>
    <n v="0"/>
    <n v="0"/>
    <n v="0.62"/>
    <n v="0.03"/>
    <n v="4"/>
    <x v="0"/>
  </r>
  <r>
    <x v="6"/>
    <x v="42"/>
    <x v="3"/>
    <x v="96"/>
    <n v="0"/>
    <n v="0"/>
    <n v="0"/>
    <n v="0"/>
    <n v="0"/>
    <n v="0"/>
    <n v="0"/>
    <m/>
    <m/>
    <m/>
    <m/>
    <m/>
    <m/>
    <m/>
    <m/>
    <m/>
    <m/>
    <m/>
    <m/>
    <m/>
    <m/>
    <m/>
    <m/>
    <m/>
    <m/>
    <m/>
    <m/>
    <m/>
    <m/>
    <m/>
    <m/>
    <m/>
    <m/>
    <m/>
    <m/>
    <n v="4"/>
    <x v="0"/>
  </r>
  <r>
    <x v="0"/>
    <x v="43"/>
    <x v="3"/>
    <x v="27"/>
    <n v="91"/>
    <n v="6"/>
    <n v="20"/>
    <n v="14"/>
    <n v="0"/>
    <n v="1"/>
    <n v="12"/>
    <s v="Anais Orozco"/>
    <s v="Collections Group"/>
    <d v="2025-11-25T00:00:00"/>
    <d v="1899-12-30T14:00:43"/>
    <d v="1899-12-30T23:00:44"/>
    <n v="9"/>
    <n v="7.82"/>
    <n v="3.83"/>
    <n v="0.17"/>
    <n v="0"/>
    <n v="0.6"/>
    <n v="2.94"/>
    <n v="0.2"/>
    <n v="0"/>
    <n v="0"/>
    <n v="0"/>
    <n v="0.08"/>
    <n v="7.82"/>
    <n v="48.95"/>
    <n v="2.17"/>
    <n v="0"/>
    <n v="7.66"/>
    <n v="37.65"/>
    <n v="2.5"/>
    <n v="0"/>
    <n v="0"/>
    <n v="0"/>
    <n v="1.07"/>
    <n v="3"/>
    <x v="1"/>
  </r>
  <r>
    <x v="2"/>
    <x v="43"/>
    <x v="3"/>
    <x v="39"/>
    <n v="46"/>
    <n v="2"/>
    <n v="0"/>
    <n v="18"/>
    <n v="0"/>
    <n v="3"/>
    <n v="2"/>
    <s v="Isiah Thomas"/>
    <s v="Collections Group"/>
    <d v="2025-11-25T00:00:00"/>
    <d v="1899-12-30T14:00:49"/>
    <d v="1899-12-30T23:00:01"/>
    <n v="9"/>
    <n v="8.99"/>
    <n v="1.5"/>
    <n v="1.35"/>
    <n v="0"/>
    <n v="0.73"/>
    <n v="3.89"/>
    <n v="1.51"/>
    <n v="0"/>
    <n v="0"/>
    <n v="0"/>
    <n v="0.01"/>
    <n v="8.99"/>
    <n v="16.71"/>
    <n v="15.05"/>
    <n v="0"/>
    <n v="8.1300000000000008"/>
    <n v="43.26"/>
    <n v="16.78"/>
    <n v="0"/>
    <n v="0"/>
    <n v="0"/>
    <n v="7.0000000000000007E-2"/>
    <n v="3"/>
    <x v="1"/>
  </r>
  <r>
    <x v="3"/>
    <x v="43"/>
    <x v="3"/>
    <x v="16"/>
    <n v="71"/>
    <n v="6"/>
    <n v="11"/>
    <n v="7"/>
    <n v="0"/>
    <n v="1"/>
    <n v="14"/>
    <s v="Jerrod Coleman"/>
    <s v="Collections Group"/>
    <d v="2025-11-25T00:00:00"/>
    <d v="1899-12-30T14:00:46"/>
    <d v="1899-12-30T22:59:09"/>
    <n v="8.98"/>
    <n v="8.9700000000000006"/>
    <n v="2.5"/>
    <n v="0.49"/>
    <n v="0"/>
    <n v="0.42"/>
    <n v="4.09"/>
    <n v="1.47"/>
    <n v="0"/>
    <n v="0"/>
    <n v="0"/>
    <n v="0"/>
    <n v="8.9700000000000006"/>
    <n v="27.84"/>
    <n v="5.48"/>
    <n v="0"/>
    <n v="4.6500000000000004"/>
    <n v="45.61"/>
    <n v="16.38"/>
    <n v="0"/>
    <n v="0"/>
    <n v="0"/>
    <n v="0.04"/>
    <n v="3"/>
    <x v="1"/>
  </r>
  <r>
    <x v="5"/>
    <x v="43"/>
    <x v="3"/>
    <x v="65"/>
    <n v="78"/>
    <n v="9"/>
    <n v="3"/>
    <n v="11"/>
    <n v="1"/>
    <n v="1"/>
    <n v="7"/>
    <s v="Sabigh Masood"/>
    <s v="Collections Group"/>
    <d v="2025-11-25T00:00:00"/>
    <d v="1899-12-30T14:01:43"/>
    <d v="1899-12-30T23:01:46"/>
    <n v="9"/>
    <n v="9"/>
    <n v="2.68"/>
    <n v="0.36"/>
    <n v="0"/>
    <n v="0.8"/>
    <n v="3.74"/>
    <n v="1.43"/>
    <n v="0"/>
    <n v="0"/>
    <n v="0"/>
    <n v="0"/>
    <n v="9"/>
    <n v="29.76"/>
    <n v="3.95"/>
    <n v="0"/>
    <n v="8.86"/>
    <n v="41.53"/>
    <n v="15.86"/>
    <n v="0"/>
    <n v="0"/>
    <n v="0"/>
    <n v="0.03"/>
    <n v="3"/>
    <x v="1"/>
  </r>
  <r>
    <x v="6"/>
    <x v="43"/>
    <x v="3"/>
    <x v="97"/>
    <n v="0"/>
    <n v="0"/>
    <n v="0"/>
    <n v="0"/>
    <n v="0"/>
    <n v="0"/>
    <n v="0"/>
    <m/>
    <m/>
    <m/>
    <m/>
    <m/>
    <m/>
    <m/>
    <m/>
    <m/>
    <m/>
    <m/>
    <m/>
    <m/>
    <m/>
    <m/>
    <m/>
    <m/>
    <m/>
    <m/>
    <m/>
    <m/>
    <m/>
    <m/>
    <m/>
    <m/>
    <m/>
    <m/>
    <m/>
    <n v="3"/>
    <x v="1"/>
  </r>
  <r>
    <x v="0"/>
    <x v="44"/>
    <x v="3"/>
    <x v="51"/>
    <n v="76"/>
    <n v="5"/>
    <n v="6"/>
    <n v="4"/>
    <n v="0"/>
    <n v="6"/>
    <n v="30"/>
    <s v="Anais Orozco"/>
    <s v="Collections Group"/>
    <d v="2025-11-24T00:00:00"/>
    <d v="1899-12-30T13:58:07"/>
    <d v="1899-12-30T23:00:02"/>
    <n v="9.0299999999999994"/>
    <n v="8.19"/>
    <n v="2.72"/>
    <n v="0.25"/>
    <n v="0"/>
    <n v="0.35"/>
    <n v="3.61"/>
    <n v="0.56000000000000005"/>
    <n v="0.59"/>
    <n v="0"/>
    <n v="0"/>
    <n v="0.12"/>
    <n v="8.19"/>
    <n v="33.25"/>
    <n v="3.04"/>
    <n v="0"/>
    <n v="4.25"/>
    <n v="44"/>
    <n v="6.86"/>
    <n v="7.17"/>
    <n v="0"/>
    <n v="0"/>
    <n v="1.43"/>
    <n v="2"/>
    <x v="2"/>
  </r>
  <r>
    <x v="2"/>
    <x v="44"/>
    <x v="3"/>
    <x v="89"/>
    <n v="82"/>
    <n v="6"/>
    <n v="7"/>
    <n v="13"/>
    <n v="0"/>
    <n v="3"/>
    <n v="31"/>
    <s v="Isiah Thomas"/>
    <s v="Collections Group"/>
    <d v="2025-11-24T00:00:00"/>
    <d v="1899-12-30T14:00:38"/>
    <d v="1899-12-30T23:00:02"/>
    <n v="9"/>
    <n v="8.99"/>
    <n v="2.06"/>
    <n v="0.5"/>
    <n v="0"/>
    <n v="0.44"/>
    <n v="3.95"/>
    <n v="1.52"/>
    <n v="0.52"/>
    <n v="0"/>
    <n v="0"/>
    <n v="0"/>
    <n v="8.99"/>
    <n v="22.94"/>
    <n v="5.52"/>
    <n v="0"/>
    <n v="4.8600000000000003"/>
    <n v="43.99"/>
    <n v="16.850000000000001"/>
    <n v="5.8"/>
    <n v="0"/>
    <n v="0"/>
    <n v="0.04"/>
    <n v="2"/>
    <x v="2"/>
  </r>
  <r>
    <x v="3"/>
    <x v="44"/>
    <x v="3"/>
    <x v="6"/>
    <n v="159"/>
    <n v="16"/>
    <n v="21"/>
    <n v="8"/>
    <n v="0"/>
    <n v="18"/>
    <n v="67"/>
    <s v="Jerrod Coleman"/>
    <s v="Collections Group"/>
    <d v="2025-11-24T00:00:00"/>
    <d v="1899-12-30T14:00:49"/>
    <d v="1899-12-30T22:58:49"/>
    <n v="8.9700000000000006"/>
    <n v="8.9700000000000006"/>
    <n v="1.81"/>
    <n v="0.42"/>
    <n v="0"/>
    <n v="0.36"/>
    <n v="4.9000000000000004"/>
    <n v="1.47"/>
    <n v="0"/>
    <n v="0"/>
    <n v="0"/>
    <n v="0"/>
    <n v="8.9700000000000006"/>
    <n v="20.13"/>
    <n v="4.6399999999999997"/>
    <n v="0"/>
    <n v="4.05"/>
    <n v="54.7"/>
    <n v="16.440000000000001"/>
    <n v="0"/>
    <n v="0"/>
    <n v="0"/>
    <n v="0.04"/>
    <n v="2"/>
    <x v="2"/>
  </r>
  <r>
    <x v="4"/>
    <x v="44"/>
    <x v="3"/>
    <x v="13"/>
    <n v="1"/>
    <n v="0"/>
    <n v="0"/>
    <n v="0"/>
    <n v="0"/>
    <n v="0"/>
    <n v="0"/>
    <s v="Rosette Rwabugahya"/>
    <s v="Collections Group"/>
    <d v="2025-11-24T00:00:00"/>
    <d v="1899-12-30T19:24:18"/>
    <m/>
    <m/>
    <n v="4.59"/>
    <n v="4.59"/>
    <n v="0"/>
    <n v="0"/>
    <n v="0"/>
    <n v="0"/>
    <n v="0"/>
    <n v="0"/>
    <n v="0"/>
    <n v="0"/>
    <n v="0.01"/>
    <n v="4.59"/>
    <n v="99.79"/>
    <n v="0"/>
    <n v="0"/>
    <n v="0.09"/>
    <n v="0"/>
    <n v="0"/>
    <n v="0"/>
    <n v="0"/>
    <n v="0"/>
    <n v="0.11"/>
    <n v="2"/>
    <x v="2"/>
  </r>
  <r>
    <x v="5"/>
    <x v="44"/>
    <x v="3"/>
    <x v="38"/>
    <n v="134"/>
    <n v="2"/>
    <n v="7"/>
    <n v="6"/>
    <n v="1"/>
    <n v="2"/>
    <n v="64"/>
    <s v="Sabigh Masood"/>
    <s v="Collections Group"/>
    <d v="2025-11-24T00:00:00"/>
    <d v="1899-12-30T14:01:15"/>
    <d v="1899-12-30T23:25:29"/>
    <n v="9.4"/>
    <n v="9.4"/>
    <n v="2.88"/>
    <n v="0.25"/>
    <n v="0"/>
    <n v="0.84"/>
    <n v="3.77"/>
    <n v="1.61"/>
    <n v="0"/>
    <n v="0"/>
    <n v="0.06"/>
    <n v="0"/>
    <n v="9.4"/>
    <n v="30.63"/>
    <n v="2.66"/>
    <n v="0"/>
    <n v="8.99"/>
    <n v="40.04"/>
    <n v="17.07"/>
    <n v="0"/>
    <n v="0"/>
    <n v="0.59"/>
    <n v="0.03"/>
    <n v="2"/>
    <x v="2"/>
  </r>
  <r>
    <x v="6"/>
    <x v="44"/>
    <x v="3"/>
    <x v="98"/>
    <n v="0"/>
    <n v="0"/>
    <n v="0"/>
    <n v="0"/>
    <n v="0"/>
    <n v="0"/>
    <n v="0"/>
    <m/>
    <m/>
    <m/>
    <m/>
    <m/>
    <m/>
    <m/>
    <m/>
    <m/>
    <m/>
    <m/>
    <m/>
    <m/>
    <m/>
    <m/>
    <m/>
    <m/>
    <m/>
    <m/>
    <m/>
    <m/>
    <m/>
    <m/>
    <m/>
    <m/>
    <m/>
    <m/>
    <m/>
    <n v="2"/>
    <x v="2"/>
  </r>
  <r>
    <x v="0"/>
    <x v="45"/>
    <x v="3"/>
    <x v="99"/>
    <n v="71"/>
    <n v="4"/>
    <n v="8"/>
    <n v="6"/>
    <n v="0"/>
    <n v="3"/>
    <n v="26"/>
    <s v="Anais Orozco"/>
    <s v="Collections Group"/>
    <d v="2025-11-21T00:00:00"/>
    <d v="1899-12-30T14:05:21"/>
    <d v="1899-12-30T23:00:02"/>
    <n v="8.92"/>
    <n v="8.08"/>
    <n v="2.0699999999999998"/>
    <n v="0.18"/>
    <n v="0"/>
    <n v="0.5"/>
    <n v="4.7300000000000004"/>
    <n v="0.59"/>
    <n v="0"/>
    <n v="0"/>
    <n v="0"/>
    <n v="0.03"/>
    <n v="8.08"/>
    <n v="25.59"/>
    <n v="2.1800000000000002"/>
    <n v="0"/>
    <n v="6.14"/>
    <n v="58.48"/>
    <n v="7.28"/>
    <n v="0"/>
    <n v="0"/>
    <n v="0"/>
    <n v="0.33"/>
    <n v="6"/>
    <x v="3"/>
  </r>
  <r>
    <x v="1"/>
    <x v="45"/>
    <x v="3"/>
    <x v="65"/>
    <n v="115"/>
    <n v="11"/>
    <n v="2"/>
    <n v="10"/>
    <n v="0"/>
    <n v="0"/>
    <n v="50"/>
    <s v="Derice Warnsley"/>
    <s v="Collections Group"/>
    <d v="2025-11-21T00:00:00"/>
    <d v="1899-12-30T14:00:07"/>
    <d v="1899-12-30T23:00:10"/>
    <n v="9"/>
    <n v="9"/>
    <n v="2.16"/>
    <n v="0"/>
    <n v="0"/>
    <n v="0.04"/>
    <n v="5.4"/>
    <n v="1.38"/>
    <n v="0"/>
    <n v="0"/>
    <n v="0"/>
    <n v="0.01"/>
    <n v="9"/>
    <n v="24.04"/>
    <n v="0"/>
    <n v="0"/>
    <n v="0.45"/>
    <n v="60.05"/>
    <n v="15.38"/>
    <n v="0"/>
    <n v="0"/>
    <n v="0"/>
    <n v="0.08"/>
    <n v="6"/>
    <x v="3"/>
  </r>
  <r>
    <x v="2"/>
    <x v="45"/>
    <x v="3"/>
    <x v="56"/>
    <n v="78"/>
    <n v="15"/>
    <n v="2"/>
    <n v="8"/>
    <n v="0"/>
    <n v="1"/>
    <n v="34"/>
    <s v="Isiah Thomas"/>
    <s v="Collections Group"/>
    <d v="2025-11-21T00:00:00"/>
    <d v="1899-12-30T14:00:48"/>
    <d v="1899-12-30T23:00:02"/>
    <n v="9"/>
    <n v="8.99"/>
    <n v="2.4"/>
    <n v="1.06"/>
    <n v="0"/>
    <n v="0.28999999999999998"/>
    <n v="3.73"/>
    <n v="1.51"/>
    <n v="0"/>
    <n v="0"/>
    <n v="0"/>
    <n v="0"/>
    <n v="8.99"/>
    <n v="26.66"/>
    <n v="11.79"/>
    <n v="0"/>
    <n v="3.22"/>
    <n v="41.46"/>
    <n v="16.829999999999998"/>
    <n v="0"/>
    <n v="0"/>
    <n v="0"/>
    <n v="0.03"/>
    <n v="6"/>
    <x v="3"/>
  </r>
  <r>
    <x v="3"/>
    <x v="45"/>
    <x v="3"/>
    <x v="65"/>
    <n v="120"/>
    <n v="10"/>
    <n v="11"/>
    <n v="8"/>
    <n v="0"/>
    <n v="4"/>
    <n v="51"/>
    <s v="Jerrod Coleman"/>
    <s v="Collections Group"/>
    <d v="2025-11-21T00:00:00"/>
    <d v="1899-12-30T14:00:17"/>
    <d v="1899-12-30T23:00:03"/>
    <n v="9"/>
    <n v="8.99"/>
    <n v="2.0699999999999998"/>
    <n v="0.47"/>
    <n v="0"/>
    <n v="0.14000000000000001"/>
    <n v="4.83"/>
    <n v="1.47"/>
    <n v="0"/>
    <n v="0"/>
    <n v="0"/>
    <n v="0.01"/>
    <n v="8.99"/>
    <n v="23.07"/>
    <n v="5.21"/>
    <n v="0"/>
    <n v="1.59"/>
    <n v="53.75"/>
    <n v="16.32"/>
    <n v="0"/>
    <n v="0"/>
    <n v="0"/>
    <n v="0.06"/>
    <n v="6"/>
    <x v="3"/>
  </r>
  <r>
    <x v="6"/>
    <x v="45"/>
    <x v="3"/>
    <x v="100"/>
    <n v="0"/>
    <n v="0"/>
    <n v="0"/>
    <n v="0"/>
    <n v="0"/>
    <n v="0"/>
    <n v="0"/>
    <m/>
    <m/>
    <m/>
    <m/>
    <m/>
    <m/>
    <m/>
    <m/>
    <m/>
    <m/>
    <m/>
    <m/>
    <m/>
    <m/>
    <m/>
    <m/>
    <m/>
    <m/>
    <m/>
    <m/>
    <m/>
    <m/>
    <m/>
    <m/>
    <m/>
    <m/>
    <m/>
    <m/>
    <n v="6"/>
    <x v="3"/>
  </r>
  <r>
    <x v="0"/>
    <x v="46"/>
    <x v="3"/>
    <x v="75"/>
    <n v="61"/>
    <n v="0"/>
    <n v="6"/>
    <n v="0"/>
    <n v="2"/>
    <n v="1"/>
    <n v="25"/>
    <s v="Anais Orozco"/>
    <s v="Collections Group"/>
    <d v="2025-11-20T00:00:00"/>
    <d v="1899-12-30T14:00:57"/>
    <d v="1899-12-30T23:00:10"/>
    <n v="9"/>
    <n v="8.42"/>
    <n v="1.1299999999999999"/>
    <n v="0.24"/>
    <n v="0"/>
    <n v="0.16"/>
    <n v="3.9"/>
    <n v="0.98"/>
    <n v="2"/>
    <n v="0"/>
    <n v="0"/>
    <n v="0.03"/>
    <n v="8.42"/>
    <n v="13.39"/>
    <n v="2.83"/>
    <n v="0"/>
    <n v="1.85"/>
    <n v="46.33"/>
    <n v="11.59"/>
    <n v="23.72"/>
    <n v="0"/>
    <n v="0"/>
    <n v="0.3"/>
    <n v="5"/>
    <x v="4"/>
  </r>
  <r>
    <x v="1"/>
    <x v="46"/>
    <x v="3"/>
    <x v="21"/>
    <n v="83"/>
    <n v="10"/>
    <n v="11"/>
    <n v="3"/>
    <n v="0"/>
    <n v="1"/>
    <n v="37"/>
    <s v="Derice Warnsley"/>
    <s v="Collections Group"/>
    <d v="2025-11-20T00:00:00"/>
    <d v="1899-12-30T14:00:16"/>
    <d v="1899-12-30T23:00:02"/>
    <n v="9"/>
    <n v="9"/>
    <n v="0.99"/>
    <n v="0"/>
    <n v="0"/>
    <n v="0.04"/>
    <n v="5.18"/>
    <n v="1.44"/>
    <n v="1.34"/>
    <n v="0"/>
    <n v="0"/>
    <n v="0"/>
    <n v="9"/>
    <n v="11.05"/>
    <n v="0"/>
    <n v="0"/>
    <n v="0.44"/>
    <n v="57.59"/>
    <n v="15.99"/>
    <n v="14.89"/>
    <n v="0"/>
    <n v="0"/>
    <n v="0.04"/>
    <n v="5"/>
    <x v="4"/>
  </r>
  <r>
    <x v="2"/>
    <x v="46"/>
    <x v="3"/>
    <x v="64"/>
    <n v="97"/>
    <n v="13"/>
    <n v="8"/>
    <n v="13"/>
    <n v="2"/>
    <n v="1"/>
    <n v="47"/>
    <s v="Isiah Thomas"/>
    <s v="Collections Group"/>
    <d v="2025-11-20T00:00:00"/>
    <d v="1899-12-30T14:01:15"/>
    <d v="1899-12-30T23:07:08"/>
    <n v="9.1"/>
    <n v="9.1"/>
    <n v="1.43"/>
    <n v="0.31"/>
    <n v="0"/>
    <n v="0.17"/>
    <n v="4.33"/>
    <n v="1.52"/>
    <n v="1.33"/>
    <n v="0"/>
    <n v="0"/>
    <n v="0"/>
    <n v="9.1"/>
    <n v="15.72"/>
    <n v="3.44"/>
    <n v="0"/>
    <n v="1.85"/>
    <n v="47.6"/>
    <n v="16.739999999999998"/>
    <n v="14.61"/>
    <n v="0"/>
    <n v="0"/>
    <n v="0.03"/>
    <n v="5"/>
    <x v="4"/>
  </r>
  <r>
    <x v="3"/>
    <x v="46"/>
    <x v="3"/>
    <x v="75"/>
    <n v="72"/>
    <n v="1"/>
    <n v="4"/>
    <n v="2"/>
    <n v="0"/>
    <n v="4"/>
    <n v="36"/>
    <s v="Jerrod Coleman"/>
    <s v="Collections Group"/>
    <d v="2025-11-20T00:00:00"/>
    <d v="1899-12-30T14:01:38"/>
    <d v="1899-12-30T22:59:24"/>
    <n v="8.9700000000000006"/>
    <n v="8.9600000000000009"/>
    <n v="0.71"/>
    <n v="0.68"/>
    <n v="0"/>
    <n v="0.08"/>
    <n v="4.74"/>
    <n v="1.4"/>
    <n v="1.34"/>
    <n v="0"/>
    <n v="0"/>
    <n v="0"/>
    <n v="8.9600000000000009"/>
    <n v="7.96"/>
    <n v="7.62"/>
    <n v="0"/>
    <n v="0.89"/>
    <n v="52.85"/>
    <n v="15.64"/>
    <n v="15"/>
    <n v="0"/>
    <n v="0"/>
    <n v="0.04"/>
    <n v="5"/>
    <x v="4"/>
  </r>
  <r>
    <x v="5"/>
    <x v="46"/>
    <x v="3"/>
    <x v="99"/>
    <n v="104"/>
    <n v="9"/>
    <n v="3"/>
    <n v="3"/>
    <n v="0"/>
    <n v="0"/>
    <n v="55"/>
    <s v="Sabigh Masood"/>
    <s v="Collections Group"/>
    <d v="2025-11-20T00:00:00"/>
    <d v="1899-12-30T14:02:04"/>
    <d v="1899-12-30T23:00:29"/>
    <n v="8.9700000000000006"/>
    <n v="8.9700000000000006"/>
    <n v="1.2"/>
    <n v="0.19"/>
    <n v="0"/>
    <n v="0.3"/>
    <n v="4.49"/>
    <n v="1.44"/>
    <n v="1.34"/>
    <n v="0"/>
    <n v="0"/>
    <n v="0"/>
    <n v="8.9700000000000006"/>
    <n v="13.4"/>
    <n v="2.12"/>
    <n v="0"/>
    <n v="3.33"/>
    <n v="50.09"/>
    <n v="16.05"/>
    <n v="14.99"/>
    <n v="0"/>
    <n v="0"/>
    <n v="0.03"/>
    <n v="5"/>
    <x v="4"/>
  </r>
  <r>
    <x v="6"/>
    <x v="46"/>
    <x v="3"/>
    <x v="80"/>
    <n v="0"/>
    <n v="0"/>
    <n v="0"/>
    <n v="0"/>
    <n v="0"/>
    <n v="0"/>
    <n v="0"/>
    <m/>
    <m/>
    <m/>
    <m/>
    <m/>
    <m/>
    <m/>
    <m/>
    <m/>
    <m/>
    <m/>
    <m/>
    <m/>
    <m/>
    <m/>
    <m/>
    <m/>
    <m/>
    <m/>
    <m/>
    <m/>
    <m/>
    <m/>
    <m/>
    <m/>
    <m/>
    <m/>
    <m/>
    <n v="5"/>
    <x v="4"/>
  </r>
  <r>
    <x v="0"/>
    <x v="47"/>
    <x v="3"/>
    <x v="64"/>
    <n v="76"/>
    <n v="10"/>
    <n v="6"/>
    <n v="5"/>
    <n v="0"/>
    <n v="2"/>
    <n v="30"/>
    <s v="Anais Orozco"/>
    <s v="Collections Group"/>
    <d v="2025-11-19T00:00:00"/>
    <d v="1899-12-30T13:57:53"/>
    <d v="1899-12-30T23:00:26"/>
    <n v="9.0500000000000007"/>
    <n v="8.17"/>
    <n v="2.63"/>
    <n v="0.75"/>
    <n v="0"/>
    <n v="0.3"/>
    <n v="3.81"/>
    <n v="0.56999999999999995"/>
    <n v="0"/>
    <n v="0"/>
    <n v="0"/>
    <n v="0.11"/>
    <n v="8.17"/>
    <n v="32.22"/>
    <n v="9.23"/>
    <n v="0"/>
    <n v="3.64"/>
    <n v="46.59"/>
    <n v="7.03"/>
    <n v="0"/>
    <n v="0"/>
    <n v="0"/>
    <n v="1.29"/>
    <n v="4"/>
    <x v="0"/>
  </r>
  <r>
    <x v="1"/>
    <x v="47"/>
    <x v="3"/>
    <x v="31"/>
    <n v="119"/>
    <n v="16"/>
    <n v="3"/>
    <n v="3"/>
    <n v="0"/>
    <n v="3"/>
    <n v="56"/>
    <s v="Derice Warnsley"/>
    <s v="Collections Group"/>
    <d v="2025-11-19T00:00:00"/>
    <d v="1899-12-30T14:00:16"/>
    <d v="1899-12-30T23:00:04"/>
    <n v="9"/>
    <n v="9"/>
    <n v="1.61"/>
    <n v="0.13"/>
    <n v="0"/>
    <n v="0.04"/>
    <n v="5.01"/>
    <n v="1.48"/>
    <n v="0.71"/>
    <n v="0"/>
    <n v="0"/>
    <n v="0.01"/>
    <n v="9"/>
    <n v="17.88"/>
    <n v="1.44"/>
    <n v="0"/>
    <n v="0.48"/>
    <n v="55.71"/>
    <n v="16.5"/>
    <n v="7.92"/>
    <n v="0"/>
    <n v="0"/>
    <n v="7.0000000000000007E-2"/>
    <n v="4"/>
    <x v="0"/>
  </r>
  <r>
    <x v="2"/>
    <x v="47"/>
    <x v="3"/>
    <x v="23"/>
    <n v="102"/>
    <n v="6"/>
    <n v="0"/>
    <n v="22"/>
    <n v="0"/>
    <n v="0"/>
    <n v="50"/>
    <s v="Isiah Thomas"/>
    <s v="Collections Group"/>
    <d v="2025-11-19T00:00:00"/>
    <d v="1899-12-30T14:00:20"/>
    <d v="1899-12-30T23:00:01"/>
    <n v="9"/>
    <n v="8.99"/>
    <n v="1.86"/>
    <n v="0.48"/>
    <n v="0"/>
    <n v="0.56999999999999995"/>
    <n v="4.2699999999999996"/>
    <n v="1.53"/>
    <n v="0.24"/>
    <n v="0"/>
    <n v="0.05"/>
    <n v="0.01"/>
    <n v="8.99"/>
    <n v="20.63"/>
    <n v="5.34"/>
    <n v="0"/>
    <n v="6.34"/>
    <n v="47.46"/>
    <n v="16.98"/>
    <n v="2.67"/>
    <n v="0"/>
    <n v="0.53"/>
    <n v="0.06"/>
    <n v="4"/>
    <x v="0"/>
  </r>
  <r>
    <x v="3"/>
    <x v="47"/>
    <x v="3"/>
    <x v="34"/>
    <n v="127"/>
    <n v="8"/>
    <n v="7"/>
    <n v="12"/>
    <n v="0"/>
    <n v="1"/>
    <n v="62"/>
    <s v="Jerrod Coleman"/>
    <s v="Collections Group"/>
    <d v="2025-11-19T00:00:00"/>
    <d v="1899-12-30T14:00:07"/>
    <d v="1899-12-30T22:59:05"/>
    <n v="8.98"/>
    <n v="8.98"/>
    <n v="1.48"/>
    <n v="0.34"/>
    <n v="0"/>
    <n v="0.25"/>
    <n v="4.8099999999999996"/>
    <n v="1.42"/>
    <n v="0.69"/>
    <n v="0"/>
    <n v="0"/>
    <n v="0"/>
    <n v="8.98"/>
    <n v="16.46"/>
    <n v="3.74"/>
    <n v="0"/>
    <n v="2.83"/>
    <n v="53.49"/>
    <n v="15.81"/>
    <n v="7.63"/>
    <n v="0"/>
    <n v="0"/>
    <n v="0.04"/>
    <n v="4"/>
    <x v="0"/>
  </r>
  <r>
    <x v="5"/>
    <x v="47"/>
    <x v="3"/>
    <x v="12"/>
    <n v="205"/>
    <n v="11"/>
    <n v="4"/>
    <n v="14"/>
    <n v="0"/>
    <n v="0"/>
    <n v="83"/>
    <s v="Sabigh Masood"/>
    <s v="Collections Group"/>
    <d v="2025-11-19T00:00:00"/>
    <d v="1899-12-30T14:00:22"/>
    <d v="1899-12-30T23:01:00"/>
    <n v="9.02"/>
    <n v="9.01"/>
    <n v="2.11"/>
    <n v="0.22"/>
    <n v="0"/>
    <n v="0.45"/>
    <n v="4.79"/>
    <n v="1.44"/>
    <n v="0"/>
    <n v="0"/>
    <n v="0"/>
    <n v="0"/>
    <n v="9.01"/>
    <n v="23.43"/>
    <n v="2.39"/>
    <n v="0"/>
    <n v="5.0199999999999996"/>
    <n v="53.18"/>
    <n v="15.94"/>
    <n v="0"/>
    <n v="0"/>
    <n v="0"/>
    <n v="0.03"/>
    <n v="4"/>
    <x v="0"/>
  </r>
  <r>
    <x v="6"/>
    <x v="47"/>
    <x v="3"/>
    <x v="101"/>
    <n v="0"/>
    <n v="0"/>
    <n v="0"/>
    <n v="0"/>
    <n v="0"/>
    <n v="0"/>
    <n v="0"/>
    <m/>
    <m/>
    <m/>
    <m/>
    <m/>
    <m/>
    <m/>
    <m/>
    <m/>
    <m/>
    <m/>
    <m/>
    <m/>
    <m/>
    <m/>
    <m/>
    <m/>
    <m/>
    <m/>
    <m/>
    <m/>
    <m/>
    <m/>
    <m/>
    <m/>
    <m/>
    <m/>
    <m/>
    <n v="4"/>
    <x v="0"/>
  </r>
  <r>
    <x v="0"/>
    <x v="48"/>
    <x v="3"/>
    <x v="78"/>
    <n v="105"/>
    <n v="5"/>
    <n v="4"/>
    <n v="17"/>
    <n v="0"/>
    <n v="0"/>
    <n v="42"/>
    <s v="Anais Orozco"/>
    <s v="Collections Group"/>
    <d v="2025-11-18T00:00:00"/>
    <d v="1899-12-30T14:00:44"/>
    <d v="1899-12-30T23:00:18"/>
    <n v="9"/>
    <n v="8.1300000000000008"/>
    <n v="2.1"/>
    <n v="1.19"/>
    <n v="0"/>
    <n v="0.28000000000000003"/>
    <n v="3.87"/>
    <n v="0.66"/>
    <n v="0"/>
    <n v="0"/>
    <n v="0"/>
    <n v="0.04"/>
    <n v="8.1300000000000008"/>
    <n v="25.79"/>
    <n v="14.64"/>
    <n v="0"/>
    <n v="3.47"/>
    <n v="47.54"/>
    <n v="8.08"/>
    <n v="0"/>
    <n v="0"/>
    <n v="0"/>
    <n v="0.5"/>
    <n v="3"/>
    <x v="1"/>
  </r>
  <r>
    <x v="1"/>
    <x v="48"/>
    <x v="3"/>
    <x v="31"/>
    <n v="115"/>
    <n v="8"/>
    <n v="8"/>
    <n v="9"/>
    <n v="0"/>
    <n v="4"/>
    <n v="57"/>
    <s v="Derice Warnsley"/>
    <s v="Collections Group"/>
    <d v="2025-11-18T00:00:00"/>
    <d v="1899-12-30T14:00:17"/>
    <d v="1899-12-30T23:00:02"/>
    <n v="9"/>
    <n v="8.98"/>
    <n v="1.85"/>
    <n v="0.04"/>
    <n v="0"/>
    <n v="0.11"/>
    <n v="5.49"/>
    <n v="1.47"/>
    <n v="0"/>
    <n v="0"/>
    <n v="0"/>
    <n v="0.01"/>
    <n v="8.98"/>
    <n v="20.57"/>
    <n v="0.46"/>
    <n v="0"/>
    <n v="1.25"/>
    <n v="61.14"/>
    <n v="16.420000000000002"/>
    <n v="0"/>
    <n v="0"/>
    <n v="0"/>
    <n v="0.16"/>
    <n v="3"/>
    <x v="1"/>
  </r>
  <r>
    <x v="2"/>
    <x v="48"/>
    <x v="3"/>
    <x v="34"/>
    <n v="128"/>
    <n v="8"/>
    <n v="10"/>
    <n v="16"/>
    <n v="1"/>
    <n v="3"/>
    <n v="59"/>
    <s v="Isiah Thomas"/>
    <s v="Collections Group"/>
    <d v="2025-11-18T00:00:00"/>
    <d v="1899-12-30T14:01:14"/>
    <d v="1899-12-30T23:00:01"/>
    <n v="8.98"/>
    <n v="8.9600000000000009"/>
    <n v="1.92"/>
    <n v="0.36"/>
    <n v="0"/>
    <n v="0.53"/>
    <n v="4.6500000000000004"/>
    <n v="1.5"/>
    <n v="0"/>
    <n v="0"/>
    <n v="0"/>
    <n v="0.01"/>
    <n v="8.9600000000000009"/>
    <n v="21.41"/>
    <n v="4.04"/>
    <n v="0"/>
    <n v="5.86"/>
    <n v="51.9"/>
    <n v="16.7"/>
    <n v="0"/>
    <n v="0"/>
    <n v="0"/>
    <n v="0.09"/>
    <n v="3"/>
    <x v="1"/>
  </r>
  <r>
    <x v="3"/>
    <x v="48"/>
    <x v="3"/>
    <x v="31"/>
    <n v="105"/>
    <n v="20"/>
    <n v="16"/>
    <n v="4"/>
    <n v="4"/>
    <n v="7"/>
    <n v="41"/>
    <s v="Jerrod Coleman"/>
    <s v="Collections Group"/>
    <d v="2025-11-18T00:00:00"/>
    <d v="1899-12-30T14:00:44"/>
    <d v="1899-12-30T23:00:49"/>
    <n v="9"/>
    <n v="9"/>
    <n v="2.09"/>
    <n v="0.62"/>
    <n v="0"/>
    <n v="0.36"/>
    <n v="4.47"/>
    <n v="1.45"/>
    <n v="0"/>
    <n v="0"/>
    <n v="0"/>
    <n v="0"/>
    <n v="9"/>
    <n v="23.26"/>
    <n v="6.92"/>
    <n v="0"/>
    <n v="3.99"/>
    <n v="49.7"/>
    <n v="16.09"/>
    <n v="0"/>
    <n v="0"/>
    <n v="0"/>
    <n v="0.05"/>
    <n v="3"/>
    <x v="1"/>
  </r>
  <r>
    <x v="5"/>
    <x v="48"/>
    <x v="3"/>
    <x v="42"/>
    <n v="87"/>
    <n v="8"/>
    <n v="11"/>
    <n v="4"/>
    <n v="0"/>
    <n v="0"/>
    <n v="26"/>
    <s v="Sabigh Masood"/>
    <s v="Collections Group"/>
    <d v="2025-11-18T00:00:00"/>
    <d v="1899-12-30T14:00:25"/>
    <d v="1899-12-30T23:00:07"/>
    <n v="9"/>
    <n v="8.99"/>
    <n v="2.09"/>
    <n v="0.4"/>
    <n v="0"/>
    <n v="0.68"/>
    <n v="4.26"/>
    <n v="1.47"/>
    <n v="0"/>
    <n v="0"/>
    <n v="0.09"/>
    <n v="0"/>
    <n v="8.99"/>
    <n v="23.27"/>
    <n v="4.4000000000000004"/>
    <n v="0"/>
    <n v="7.57"/>
    <n v="47.39"/>
    <n v="16.309999999999999"/>
    <n v="0"/>
    <n v="0"/>
    <n v="1.03"/>
    <n v="0.03"/>
    <n v="3"/>
    <x v="1"/>
  </r>
  <r>
    <x v="6"/>
    <x v="48"/>
    <x v="3"/>
    <x v="102"/>
    <n v="0"/>
    <n v="0"/>
    <n v="0"/>
    <n v="0"/>
    <n v="0"/>
    <n v="0"/>
    <n v="0"/>
    <m/>
    <m/>
    <m/>
    <m/>
    <m/>
    <m/>
    <m/>
    <m/>
    <m/>
    <m/>
    <m/>
    <m/>
    <m/>
    <m/>
    <m/>
    <m/>
    <m/>
    <m/>
    <m/>
    <m/>
    <m/>
    <m/>
    <m/>
    <m/>
    <m/>
    <m/>
    <m/>
    <m/>
    <n v="3"/>
    <x v="1"/>
  </r>
  <r>
    <x v="0"/>
    <x v="49"/>
    <x v="3"/>
    <x v="99"/>
    <n v="79"/>
    <n v="5"/>
    <n v="2"/>
    <n v="8"/>
    <n v="0"/>
    <n v="4"/>
    <n v="36"/>
    <s v="Anais Orozco"/>
    <s v="Collections Group"/>
    <d v="2025-11-17T00:00:00"/>
    <d v="1899-12-30T14:02:03"/>
    <d v="1899-12-30T23:29:38"/>
    <n v="9.4499999999999993"/>
    <n v="8.59"/>
    <n v="2.87"/>
    <n v="1.1599999999999999"/>
    <n v="0"/>
    <n v="0.42"/>
    <n v="3.02"/>
    <n v="0.56000000000000005"/>
    <n v="0.47"/>
    <n v="0"/>
    <n v="0"/>
    <n v="0.1"/>
    <n v="8.59"/>
    <n v="33.369999999999997"/>
    <n v="13.45"/>
    <n v="0"/>
    <n v="4.93"/>
    <n v="35.130000000000003"/>
    <n v="6.5"/>
    <n v="5.48"/>
    <n v="0"/>
    <n v="0"/>
    <n v="1.1399999999999999"/>
    <n v="2"/>
    <x v="2"/>
  </r>
  <r>
    <x v="1"/>
    <x v="49"/>
    <x v="3"/>
    <x v="53"/>
    <n v="91"/>
    <n v="15"/>
    <n v="3"/>
    <n v="16"/>
    <n v="0"/>
    <n v="1"/>
    <n v="34"/>
    <s v="Derice Warnsley"/>
    <s v="Collections Group"/>
    <d v="2025-11-17T00:00:00"/>
    <d v="1899-12-30T13:59:51"/>
    <d v="1899-12-30T23:06:43"/>
    <n v="9.1199999999999992"/>
    <n v="9.11"/>
    <n v="2.33"/>
    <n v="0.1"/>
    <n v="0"/>
    <n v="7.0000000000000007E-2"/>
    <n v="5.15"/>
    <n v="1.46"/>
    <n v="0"/>
    <n v="0"/>
    <n v="0"/>
    <n v="0"/>
    <n v="9.11"/>
    <n v="25.55"/>
    <n v="1.06"/>
    <n v="0"/>
    <n v="0.75"/>
    <n v="56.54"/>
    <n v="16.07"/>
    <n v="0"/>
    <n v="0"/>
    <n v="0"/>
    <n v="0.04"/>
    <n v="2"/>
    <x v="2"/>
  </r>
  <r>
    <x v="2"/>
    <x v="49"/>
    <x v="3"/>
    <x v="68"/>
    <n v="120"/>
    <n v="20"/>
    <n v="5"/>
    <n v="20"/>
    <n v="0"/>
    <n v="0"/>
    <n v="60"/>
    <s v="Isiah Thomas"/>
    <s v="Collections Group"/>
    <d v="2025-11-17T00:00:00"/>
    <d v="1899-12-30T14:00:14"/>
    <d v="1899-12-30T23:00:07"/>
    <n v="9"/>
    <n v="8.99"/>
    <n v="1.51"/>
    <n v="0.6"/>
    <n v="0"/>
    <n v="0.68"/>
    <n v="4.1500000000000004"/>
    <n v="1.53"/>
    <n v="0.52"/>
    <n v="0"/>
    <n v="0"/>
    <n v="0.01"/>
    <n v="8.99"/>
    <n v="16.82"/>
    <n v="6.64"/>
    <n v="0"/>
    <n v="7.56"/>
    <n v="46.18"/>
    <n v="16.97"/>
    <n v="5.74"/>
    <n v="0"/>
    <n v="0"/>
    <n v="0.1"/>
    <n v="2"/>
    <x v="2"/>
  </r>
  <r>
    <x v="3"/>
    <x v="49"/>
    <x v="3"/>
    <x v="59"/>
    <n v="133"/>
    <n v="15"/>
    <n v="13"/>
    <n v="4"/>
    <n v="1"/>
    <n v="5"/>
    <n v="54"/>
    <s v="Jerrod Coleman"/>
    <s v="Collections Group"/>
    <d v="2025-11-17T00:00:00"/>
    <d v="1899-12-30T14:00:23"/>
    <d v="1899-12-30T22:59:12"/>
    <n v="8.98"/>
    <n v="8.98"/>
    <n v="2.35"/>
    <n v="0.82"/>
    <n v="0"/>
    <n v="0.21"/>
    <n v="4.12"/>
    <n v="1.48"/>
    <n v="0"/>
    <n v="0"/>
    <n v="0"/>
    <n v="0.01"/>
    <n v="8.98"/>
    <n v="26.18"/>
    <n v="9.08"/>
    <n v="0"/>
    <n v="2.33"/>
    <n v="45.89"/>
    <n v="16.46"/>
    <n v="0"/>
    <n v="0"/>
    <n v="0"/>
    <n v="0.06"/>
    <n v="2"/>
    <x v="2"/>
  </r>
  <r>
    <x v="5"/>
    <x v="49"/>
    <x v="3"/>
    <x v="68"/>
    <n v="135"/>
    <n v="8"/>
    <n v="2"/>
    <n v="5"/>
    <n v="0"/>
    <n v="0"/>
    <n v="64"/>
    <s v="Sabigh Masood"/>
    <s v="Collections Group"/>
    <d v="2025-11-17T00:00:00"/>
    <d v="1899-12-30T14:00:01"/>
    <d v="1899-12-30T23:03:13"/>
    <n v="9.0500000000000007"/>
    <n v="9.0500000000000007"/>
    <n v="1.52"/>
    <n v="0.34"/>
    <n v="0"/>
    <n v="0.42"/>
    <n v="4.63"/>
    <n v="1.48"/>
    <n v="0.65"/>
    <n v="0"/>
    <n v="0"/>
    <n v="0"/>
    <n v="9.0500000000000007"/>
    <n v="16.760000000000002"/>
    <n v="3.76"/>
    <n v="0"/>
    <n v="4.66"/>
    <n v="51.18"/>
    <n v="16.38"/>
    <n v="7.23"/>
    <n v="0"/>
    <n v="0"/>
    <n v="0.03"/>
    <n v="2"/>
    <x v="2"/>
  </r>
  <r>
    <x v="6"/>
    <x v="49"/>
    <x v="3"/>
    <x v="103"/>
    <n v="0"/>
    <n v="0"/>
    <n v="0"/>
    <n v="0"/>
    <n v="0"/>
    <n v="0"/>
    <n v="0"/>
    <m/>
    <m/>
    <m/>
    <m/>
    <m/>
    <m/>
    <m/>
    <m/>
    <m/>
    <m/>
    <m/>
    <m/>
    <m/>
    <m/>
    <m/>
    <m/>
    <m/>
    <m/>
    <m/>
    <m/>
    <m/>
    <m/>
    <m/>
    <m/>
    <m/>
    <m/>
    <m/>
    <m/>
    <n v="2"/>
    <x v="2"/>
  </r>
  <r>
    <x v="0"/>
    <x v="50"/>
    <x v="3"/>
    <x v="18"/>
    <n v="69"/>
    <n v="9"/>
    <n v="4"/>
    <n v="3"/>
    <n v="1"/>
    <n v="6"/>
    <n v="30"/>
    <s v="Anais Orozco"/>
    <s v="Collections Group"/>
    <d v="2025-11-14T00:00:00"/>
    <d v="1899-12-30T14:01:02"/>
    <d v="1899-12-30T23:00:14"/>
    <n v="8.98"/>
    <n v="8.1199999999999992"/>
    <n v="2.37"/>
    <n v="0.52"/>
    <n v="0"/>
    <n v="0.4"/>
    <n v="4.3099999999999996"/>
    <n v="0.5"/>
    <n v="0"/>
    <n v="0"/>
    <n v="0"/>
    <n v="0.01"/>
    <n v="8.1199999999999992"/>
    <n v="29.22"/>
    <n v="6.43"/>
    <n v="0"/>
    <n v="4.9000000000000004"/>
    <n v="53.12"/>
    <n v="6.21"/>
    <n v="0"/>
    <n v="0"/>
    <n v="0"/>
    <n v="0.11"/>
    <n v="6"/>
    <x v="3"/>
  </r>
  <r>
    <x v="1"/>
    <x v="50"/>
    <x v="3"/>
    <x v="64"/>
    <n v="81"/>
    <n v="9"/>
    <n v="1"/>
    <n v="5"/>
    <n v="1"/>
    <n v="0"/>
    <n v="35"/>
    <s v="Derice Warnsley"/>
    <s v="Collections Group"/>
    <d v="2025-11-14T00:00:00"/>
    <d v="1899-12-30T14:00:12"/>
    <d v="1899-12-30T23:00:05"/>
    <n v="9"/>
    <n v="9.02"/>
    <n v="1.31"/>
    <n v="0.06"/>
    <n v="0"/>
    <n v="0.11"/>
    <n v="6.02"/>
    <n v="1.5"/>
    <n v="0"/>
    <n v="0"/>
    <n v="0"/>
    <n v="0"/>
    <n v="9.02"/>
    <n v="14.58"/>
    <n v="0.72"/>
    <n v="0"/>
    <n v="1.26"/>
    <n v="66.790000000000006"/>
    <n v="16.61"/>
    <n v="0"/>
    <n v="0"/>
    <n v="0"/>
    <n v="0.05"/>
    <n v="6"/>
    <x v="3"/>
  </r>
  <r>
    <x v="2"/>
    <x v="50"/>
    <x v="3"/>
    <x v="90"/>
    <n v="66"/>
    <n v="6"/>
    <n v="7"/>
    <n v="10"/>
    <n v="0"/>
    <n v="5"/>
    <n v="23"/>
    <s v="Isiah Thomas"/>
    <s v="Collections Group"/>
    <d v="2025-11-14T00:00:00"/>
    <d v="1899-12-30T14:00:14"/>
    <d v="1899-12-30T23:00:36"/>
    <n v="9"/>
    <n v="9.01"/>
    <n v="2.02"/>
    <n v="1.0900000000000001"/>
    <n v="0"/>
    <n v="0.27"/>
    <n v="4.12"/>
    <n v="1.49"/>
    <n v="0"/>
    <n v="0"/>
    <n v="0"/>
    <n v="0.01"/>
    <n v="9.01"/>
    <n v="22.41"/>
    <n v="12.11"/>
    <n v="0"/>
    <n v="3.01"/>
    <n v="45.79"/>
    <n v="16.55"/>
    <n v="0"/>
    <n v="0"/>
    <n v="0"/>
    <n v="0.14000000000000001"/>
    <n v="6"/>
    <x v="3"/>
  </r>
  <r>
    <x v="3"/>
    <x v="50"/>
    <x v="3"/>
    <x v="68"/>
    <n v="108"/>
    <n v="9"/>
    <n v="4"/>
    <n v="5"/>
    <n v="0"/>
    <n v="2"/>
    <n v="61"/>
    <s v="Jerrod Coleman"/>
    <s v="Collections Group"/>
    <d v="2025-11-14T00:00:00"/>
    <d v="1899-12-30T14:00:08"/>
    <d v="1899-12-30T22:58:21"/>
    <n v="8.9700000000000006"/>
    <n v="8.9700000000000006"/>
    <n v="2.02"/>
    <n v="0.52"/>
    <n v="0"/>
    <n v="0.19"/>
    <n v="4.8"/>
    <n v="1.45"/>
    <n v="0"/>
    <n v="0"/>
    <n v="0"/>
    <n v="0"/>
    <n v="8.9700000000000006"/>
    <n v="22.48"/>
    <n v="5.75"/>
    <n v="0"/>
    <n v="2.08"/>
    <n v="53.5"/>
    <n v="16.13"/>
    <n v="0"/>
    <n v="0"/>
    <n v="0"/>
    <n v="0.05"/>
    <n v="6"/>
    <x v="3"/>
  </r>
  <r>
    <x v="5"/>
    <x v="50"/>
    <x v="3"/>
    <x v="52"/>
    <n v="81"/>
    <n v="9"/>
    <n v="7"/>
    <n v="7"/>
    <n v="0"/>
    <n v="0"/>
    <n v="37"/>
    <s v="Sabigh Masood"/>
    <s v="Collections Group"/>
    <d v="2025-11-14T00:00:00"/>
    <d v="1899-12-30T13:59:55"/>
    <d v="1899-12-30T23:00:56"/>
    <n v="9.02"/>
    <n v="9.02"/>
    <n v="2.19"/>
    <n v="0.36"/>
    <n v="0"/>
    <n v="0.52"/>
    <n v="3.6"/>
    <n v="1.91"/>
    <n v="0.28000000000000003"/>
    <n v="0"/>
    <n v="0.16"/>
    <n v="0"/>
    <n v="9.02"/>
    <n v="24.34"/>
    <n v="3.98"/>
    <n v="0"/>
    <n v="5.76"/>
    <n v="39.89"/>
    <n v="21.13"/>
    <n v="3.13"/>
    <n v="0"/>
    <n v="1.75"/>
    <n v="0.03"/>
    <n v="6"/>
    <x v="3"/>
  </r>
  <r>
    <x v="6"/>
    <x v="50"/>
    <x v="3"/>
    <x v="80"/>
    <n v="0"/>
    <n v="0"/>
    <n v="0"/>
    <n v="0"/>
    <n v="0"/>
    <n v="0"/>
    <n v="0"/>
    <m/>
    <m/>
    <m/>
    <m/>
    <m/>
    <m/>
    <m/>
    <m/>
    <m/>
    <m/>
    <m/>
    <m/>
    <m/>
    <m/>
    <m/>
    <m/>
    <m/>
    <m/>
    <m/>
    <m/>
    <m/>
    <m/>
    <m/>
    <m/>
    <m/>
    <m/>
    <m/>
    <m/>
    <n v="6"/>
    <x v="3"/>
  </r>
  <r>
    <x v="0"/>
    <x v="51"/>
    <x v="3"/>
    <x v="104"/>
    <n v="31"/>
    <n v="1"/>
    <n v="2"/>
    <n v="6"/>
    <n v="0"/>
    <n v="1"/>
    <n v="6"/>
    <s v="Anais Orozco"/>
    <s v="Collections Group"/>
    <d v="2025-11-13T00:00:00"/>
    <d v="1899-12-30T13:59:55"/>
    <d v="1899-12-30T23:00:24"/>
    <n v="9.02"/>
    <n v="8.11"/>
    <n v="1.63"/>
    <n v="0.62"/>
    <n v="0"/>
    <n v="0.4"/>
    <n v="2.65"/>
    <n v="0.42"/>
    <n v="2.35"/>
    <n v="0"/>
    <n v="0"/>
    <n v="0.04"/>
    <n v="8.11"/>
    <n v="20.09"/>
    <n v="7.62"/>
    <n v="0"/>
    <n v="4.95"/>
    <n v="32.69"/>
    <n v="5.19"/>
    <n v="28.97"/>
    <n v="0"/>
    <n v="0"/>
    <n v="0.49"/>
    <n v="5"/>
    <x v="4"/>
  </r>
  <r>
    <x v="1"/>
    <x v="51"/>
    <x v="3"/>
    <x v="39"/>
    <n v="118"/>
    <n v="8"/>
    <n v="10"/>
    <n v="6"/>
    <n v="0"/>
    <n v="0"/>
    <n v="67"/>
    <s v="Derice Warnsley"/>
    <s v="Collections Group"/>
    <d v="2025-11-13T00:00:00"/>
    <d v="1899-12-30T14:00:23"/>
    <d v="1899-12-30T23:00:02"/>
    <n v="9"/>
    <n v="8.99"/>
    <n v="1.35"/>
    <n v="0"/>
    <n v="0"/>
    <n v="7.0000000000000007E-2"/>
    <n v="4.72"/>
    <n v="1.49"/>
    <n v="1.36"/>
    <n v="0"/>
    <n v="0"/>
    <n v="0"/>
    <n v="8.99"/>
    <n v="15.02"/>
    <n v="0"/>
    <n v="0"/>
    <n v="0.8"/>
    <n v="52.45"/>
    <n v="16.52"/>
    <n v="15.17"/>
    <n v="0"/>
    <n v="0"/>
    <n v="0.03"/>
    <n v="5"/>
    <x v="4"/>
  </r>
  <r>
    <x v="2"/>
    <x v="51"/>
    <x v="3"/>
    <x v="90"/>
    <n v="52"/>
    <n v="7"/>
    <n v="4"/>
    <n v="12"/>
    <n v="0"/>
    <n v="0"/>
    <n v="14"/>
    <s v="Isiah Thomas"/>
    <s v="Collections Group"/>
    <d v="2025-11-13T00:00:00"/>
    <d v="1899-12-30T13:59:48"/>
    <d v="1899-12-30T23:00:01"/>
    <n v="9.02"/>
    <n v="9"/>
    <n v="1.92"/>
    <n v="0.79"/>
    <n v="0"/>
    <n v="0.33"/>
    <n v="3.13"/>
    <n v="1.5"/>
    <n v="1.33"/>
    <n v="0"/>
    <n v="0"/>
    <n v="0.01"/>
    <n v="9"/>
    <n v="21.3"/>
    <n v="8.7899999999999991"/>
    <n v="0"/>
    <n v="3.62"/>
    <n v="34.75"/>
    <n v="16.68"/>
    <n v="14.75"/>
    <n v="0"/>
    <n v="0"/>
    <n v="0.11"/>
    <n v="5"/>
    <x v="4"/>
  </r>
  <r>
    <x v="3"/>
    <x v="51"/>
    <x v="3"/>
    <x v="56"/>
    <n v="75"/>
    <n v="8"/>
    <n v="4"/>
    <n v="1"/>
    <n v="1"/>
    <n v="4"/>
    <n v="36"/>
    <s v="Jerrod Coleman"/>
    <s v="Collections Group"/>
    <d v="2025-11-13T00:00:00"/>
    <d v="1899-12-30T14:01:31"/>
    <d v="1899-12-30T22:59:38"/>
    <n v="8.9700000000000006"/>
    <n v="8.9700000000000006"/>
    <n v="1.45"/>
    <n v="0.75"/>
    <n v="0"/>
    <n v="0.15"/>
    <n v="3.2"/>
    <n v="1.48"/>
    <n v="1.93"/>
    <n v="0"/>
    <n v="0"/>
    <n v="0"/>
    <n v="8.9700000000000006"/>
    <n v="16.13"/>
    <n v="8.42"/>
    <n v="0"/>
    <n v="1.65"/>
    <n v="35.72"/>
    <n v="16.489999999999998"/>
    <n v="21.56"/>
    <n v="0"/>
    <n v="0"/>
    <n v="0.04"/>
    <n v="5"/>
    <x v="4"/>
  </r>
  <r>
    <x v="5"/>
    <x v="51"/>
    <x v="3"/>
    <x v="18"/>
    <n v="98"/>
    <n v="12"/>
    <n v="6"/>
    <n v="9"/>
    <n v="1"/>
    <n v="0"/>
    <n v="22"/>
    <s v="Sabigh Masood"/>
    <s v="Collections Group"/>
    <d v="2025-11-13T00:00:00"/>
    <d v="1899-12-30T13:59:07"/>
    <d v="1899-12-30T23:05:44"/>
    <n v="9.1"/>
    <n v="9.1199999999999992"/>
    <n v="2.2400000000000002"/>
    <n v="0.18"/>
    <n v="0"/>
    <n v="0.6"/>
    <n v="2.97"/>
    <n v="1.42"/>
    <n v="1.7"/>
    <n v="0"/>
    <n v="0"/>
    <n v="0"/>
    <n v="9.1199999999999992"/>
    <n v="24.56"/>
    <n v="2.0099999999999998"/>
    <n v="0"/>
    <n v="6.6"/>
    <n v="32.549999999999997"/>
    <n v="15.55"/>
    <n v="18.690000000000001"/>
    <n v="0"/>
    <n v="0"/>
    <n v="0.03"/>
    <n v="5"/>
    <x v="4"/>
  </r>
  <r>
    <x v="6"/>
    <x v="51"/>
    <x v="3"/>
    <x v="84"/>
    <n v="0"/>
    <n v="0"/>
    <n v="0"/>
    <n v="0"/>
    <n v="0"/>
    <n v="0"/>
    <n v="0"/>
    <m/>
    <m/>
    <m/>
    <m/>
    <m/>
    <m/>
    <m/>
    <m/>
    <m/>
    <m/>
    <m/>
    <m/>
    <m/>
    <m/>
    <m/>
    <m/>
    <m/>
    <m/>
    <m/>
    <m/>
    <m/>
    <m/>
    <m/>
    <m/>
    <m/>
    <m/>
    <m/>
    <m/>
    <n v="5"/>
    <x v="4"/>
  </r>
  <r>
    <x v="0"/>
    <x v="52"/>
    <x v="3"/>
    <x v="51"/>
    <n v="89"/>
    <n v="2"/>
    <n v="20"/>
    <n v="8"/>
    <n v="1"/>
    <n v="0"/>
    <n v="33"/>
    <s v="Anais Orozco"/>
    <s v="Collections Group"/>
    <d v="2025-11-12T00:00:00"/>
    <d v="1899-12-30T14:02:49"/>
    <d v="1899-12-30T23:00:20"/>
    <n v="8.9700000000000006"/>
    <n v="7.96"/>
    <n v="2.77"/>
    <n v="0.79"/>
    <n v="0"/>
    <n v="0.57999999999999996"/>
    <n v="3.26"/>
    <n v="0.56000000000000005"/>
    <n v="0"/>
    <n v="0"/>
    <n v="0"/>
    <n v="0.01"/>
    <n v="7.96"/>
    <n v="34.75"/>
    <n v="9.86"/>
    <n v="0"/>
    <n v="7.33"/>
    <n v="40.92"/>
    <n v="6.99"/>
    <n v="0"/>
    <n v="0"/>
    <n v="0"/>
    <n v="0.16"/>
    <n v="4"/>
    <x v="0"/>
  </r>
  <r>
    <x v="1"/>
    <x v="52"/>
    <x v="3"/>
    <x v="22"/>
    <n v="172"/>
    <n v="18"/>
    <n v="16"/>
    <n v="18"/>
    <n v="1"/>
    <n v="2"/>
    <n v="72"/>
    <s v="Derice Warnsley"/>
    <s v="Collections Group"/>
    <d v="2025-11-12T00:00:00"/>
    <d v="1899-12-30T13:56:16"/>
    <d v="1899-12-30T23:00:03"/>
    <n v="9.07"/>
    <n v="8.82"/>
    <n v="3.13"/>
    <n v="0"/>
    <n v="0"/>
    <n v="0.09"/>
    <n v="4.28"/>
    <n v="1.22"/>
    <n v="0"/>
    <n v="0"/>
    <n v="0"/>
    <n v="0.1"/>
    <n v="8.82"/>
    <n v="35.51"/>
    <n v="0"/>
    <n v="0"/>
    <n v="0.97"/>
    <n v="48.52"/>
    <n v="13.84"/>
    <n v="0"/>
    <n v="0"/>
    <n v="0"/>
    <n v="1.1599999999999999"/>
    <n v="4"/>
    <x v="0"/>
  </r>
  <r>
    <x v="2"/>
    <x v="52"/>
    <x v="3"/>
    <x v="99"/>
    <n v="107"/>
    <n v="7"/>
    <n v="3"/>
    <n v="24"/>
    <n v="0"/>
    <n v="1"/>
    <n v="57"/>
    <s v="Isiah Thomas"/>
    <s v="Collections Group"/>
    <d v="2025-11-12T00:00:00"/>
    <d v="1899-12-30T14:00:29"/>
    <d v="1899-12-30T23:00:02"/>
    <n v="9"/>
    <n v="8.99"/>
    <n v="2.16"/>
    <n v="2.12"/>
    <n v="0"/>
    <n v="0.53"/>
    <n v="2.63"/>
    <n v="1.55"/>
    <n v="0"/>
    <n v="0"/>
    <n v="0"/>
    <n v="0.01"/>
    <n v="8.99"/>
    <n v="23.98"/>
    <n v="23.6"/>
    <n v="0"/>
    <n v="5.87"/>
    <n v="29.23"/>
    <n v="17.21"/>
    <n v="0"/>
    <n v="0"/>
    <n v="0"/>
    <n v="0.11"/>
    <n v="4"/>
    <x v="0"/>
  </r>
  <r>
    <x v="4"/>
    <x v="52"/>
    <x v="3"/>
    <x v="13"/>
    <n v="1"/>
    <n v="0"/>
    <n v="0"/>
    <n v="1"/>
    <n v="0"/>
    <n v="0"/>
    <n v="0"/>
    <s v="Rosette Rwabugahya"/>
    <s v="Collections Group"/>
    <d v="2025-11-12T00:00:00"/>
    <d v="1899-12-30T17:39:15"/>
    <d v="1899-12-30T18:34:25"/>
    <n v="0.92"/>
    <n v="0.92"/>
    <n v="0.9"/>
    <n v="0"/>
    <n v="0"/>
    <n v="0.01"/>
    <n v="0"/>
    <n v="0"/>
    <n v="0"/>
    <n v="0"/>
    <n v="0"/>
    <n v="0.01"/>
    <n v="0.92"/>
    <n v="98.4"/>
    <n v="0"/>
    <n v="0"/>
    <n v="0.82"/>
    <n v="0"/>
    <n v="0"/>
    <n v="0"/>
    <n v="0"/>
    <n v="0"/>
    <n v="0.79"/>
    <n v="4"/>
    <x v="0"/>
  </r>
  <r>
    <x v="5"/>
    <x v="52"/>
    <x v="3"/>
    <x v="19"/>
    <n v="154"/>
    <n v="3"/>
    <n v="12"/>
    <n v="20"/>
    <n v="0"/>
    <n v="1"/>
    <n v="74"/>
    <s v="Sabigh Masood"/>
    <s v="Collections Group"/>
    <d v="2025-11-12T00:00:00"/>
    <d v="1899-12-30T13:59:59"/>
    <d v="1899-12-30T23:00:36"/>
    <n v="9.02"/>
    <n v="9.01"/>
    <n v="2.44"/>
    <n v="0.34"/>
    <n v="0"/>
    <n v="1.1200000000000001"/>
    <n v="3.79"/>
    <n v="1.32"/>
    <n v="0"/>
    <n v="0"/>
    <n v="0"/>
    <n v="0"/>
    <n v="9.01"/>
    <n v="27.11"/>
    <n v="3.76"/>
    <n v="0"/>
    <n v="12.38"/>
    <n v="42.05"/>
    <n v="14.66"/>
    <n v="0"/>
    <n v="0"/>
    <n v="0"/>
    <n v="0.03"/>
    <n v="4"/>
    <x v="0"/>
  </r>
  <r>
    <x v="6"/>
    <x v="52"/>
    <x v="3"/>
    <x v="105"/>
    <n v="0"/>
    <n v="0"/>
    <n v="0"/>
    <n v="0"/>
    <n v="0"/>
    <n v="0"/>
    <n v="0"/>
    <m/>
    <m/>
    <m/>
    <m/>
    <m/>
    <m/>
    <m/>
    <m/>
    <m/>
    <m/>
    <m/>
    <m/>
    <m/>
    <m/>
    <m/>
    <m/>
    <m/>
    <m/>
    <m/>
    <m/>
    <m/>
    <m/>
    <m/>
    <m/>
    <m/>
    <m/>
    <m/>
    <m/>
    <n v="4"/>
    <x v="0"/>
  </r>
  <r>
    <x v="0"/>
    <x v="53"/>
    <x v="3"/>
    <x v="99"/>
    <n v="97"/>
    <n v="3"/>
    <n v="13"/>
    <n v="7"/>
    <n v="0"/>
    <n v="6"/>
    <n v="39"/>
    <s v="Anais Orozco"/>
    <s v="Collections Group"/>
    <d v="2025-11-11T00:00:00"/>
    <d v="1899-12-30T14:02:48"/>
    <d v="1899-12-30T23:00:08"/>
    <n v="8.9700000000000006"/>
    <n v="7.94"/>
    <n v="2.9"/>
    <n v="0.68"/>
    <n v="0"/>
    <n v="0.57999999999999996"/>
    <n v="3.08"/>
    <n v="0.56000000000000005"/>
    <n v="0"/>
    <n v="0"/>
    <n v="7.0000000000000007E-2"/>
    <n v="0.06"/>
    <n v="7.94"/>
    <n v="36.49"/>
    <n v="8.57"/>
    <n v="0"/>
    <n v="7.29"/>
    <n v="38.840000000000003"/>
    <n v="7.11"/>
    <n v="0"/>
    <n v="0"/>
    <n v="0.9"/>
    <n v="0.8"/>
    <n v="3"/>
    <x v="1"/>
  </r>
  <r>
    <x v="1"/>
    <x v="53"/>
    <x v="3"/>
    <x v="38"/>
    <n v="107"/>
    <n v="3"/>
    <n v="9"/>
    <n v="14"/>
    <n v="1"/>
    <n v="8"/>
    <n v="42"/>
    <s v="Derice Warnsley"/>
    <s v="Collections Group"/>
    <d v="2025-11-11T00:00:00"/>
    <d v="1899-12-30T14:00:09"/>
    <d v="1899-12-30T23:00:05"/>
    <n v="9"/>
    <n v="9"/>
    <n v="2.74"/>
    <n v="0"/>
    <n v="0"/>
    <n v="0.05"/>
    <n v="4.18"/>
    <n v="1.44"/>
    <n v="0.57999999999999996"/>
    <n v="0"/>
    <n v="0"/>
    <n v="0.01"/>
    <n v="9"/>
    <n v="30.43"/>
    <n v="0"/>
    <n v="0"/>
    <n v="0.6"/>
    <n v="46.46"/>
    <n v="16.010000000000002"/>
    <n v="6.43"/>
    <n v="0"/>
    <n v="0"/>
    <n v="0.06"/>
    <n v="3"/>
    <x v="1"/>
  </r>
  <r>
    <x v="2"/>
    <x v="53"/>
    <x v="3"/>
    <x v="90"/>
    <n v="47"/>
    <n v="3"/>
    <n v="8"/>
    <n v="13"/>
    <n v="1"/>
    <n v="1"/>
    <n v="16"/>
    <s v="Isiah Thomas"/>
    <s v="Collections Group"/>
    <d v="2025-11-11T00:00:00"/>
    <d v="1899-12-30T14:00:29"/>
    <d v="1899-12-30T23:00:13"/>
    <n v="9"/>
    <n v="8.99"/>
    <n v="1.8"/>
    <n v="2.23"/>
    <n v="0"/>
    <n v="0.31"/>
    <n v="2.42"/>
    <n v="1.49"/>
    <n v="0.74"/>
    <n v="0"/>
    <n v="0"/>
    <n v="0"/>
    <n v="8.99"/>
    <n v="20.03"/>
    <n v="24.84"/>
    <n v="0"/>
    <n v="3.44"/>
    <n v="26.94"/>
    <n v="16.52"/>
    <n v="8.19"/>
    <n v="0"/>
    <n v="0"/>
    <n v="0.04"/>
    <n v="3"/>
    <x v="1"/>
  </r>
  <r>
    <x v="3"/>
    <x v="53"/>
    <x v="3"/>
    <x v="34"/>
    <n v="97"/>
    <n v="10"/>
    <n v="16"/>
    <n v="10"/>
    <n v="0"/>
    <n v="8"/>
    <n v="32"/>
    <s v="Jerrod Coleman"/>
    <s v="Collections Group"/>
    <d v="2025-11-11T00:00:00"/>
    <d v="1899-12-30T14:01:31"/>
    <d v="1899-12-30T22:59:46"/>
    <n v="8.9700000000000006"/>
    <n v="8.9700000000000006"/>
    <n v="3.13"/>
    <n v="0.56000000000000005"/>
    <n v="0"/>
    <n v="0.4"/>
    <n v="3.4"/>
    <n v="1.47"/>
    <n v="0"/>
    <n v="0"/>
    <n v="0"/>
    <n v="0"/>
    <n v="8.9700000000000006"/>
    <n v="34.880000000000003"/>
    <n v="6.27"/>
    <n v="0"/>
    <n v="4.5199999999999996"/>
    <n v="37.950000000000003"/>
    <n v="16.34"/>
    <n v="0"/>
    <n v="0"/>
    <n v="0"/>
    <n v="0.05"/>
    <n v="3"/>
    <x v="1"/>
  </r>
  <r>
    <x v="5"/>
    <x v="53"/>
    <x v="3"/>
    <x v="68"/>
    <n v="137"/>
    <n v="12"/>
    <n v="5"/>
    <n v="6"/>
    <n v="0"/>
    <n v="5"/>
    <n v="73"/>
    <s v="Sabigh Masood"/>
    <s v="Collections Group"/>
    <d v="2025-11-11T00:00:00"/>
    <d v="1899-12-30T14:00:34"/>
    <d v="1899-12-30T23:05:05"/>
    <n v="9.08"/>
    <n v="9.07"/>
    <n v="1.95"/>
    <n v="0.3"/>
    <n v="0"/>
    <n v="0.71"/>
    <n v="3.88"/>
    <n v="1.55"/>
    <n v="0.67"/>
    <n v="0"/>
    <n v="0"/>
    <n v="0"/>
    <n v="9.07"/>
    <n v="21.53"/>
    <n v="3.34"/>
    <n v="0"/>
    <n v="7.79"/>
    <n v="42.8"/>
    <n v="17.079999999999998"/>
    <n v="7.43"/>
    <n v="0"/>
    <n v="0"/>
    <n v="0.03"/>
    <n v="3"/>
    <x v="1"/>
  </r>
  <r>
    <x v="10"/>
    <x v="53"/>
    <x v="3"/>
    <x v="13"/>
    <n v="1"/>
    <n v="1"/>
    <n v="0"/>
    <n v="0"/>
    <n v="0"/>
    <n v="0"/>
    <n v="0"/>
    <m/>
    <m/>
    <m/>
    <m/>
    <m/>
    <m/>
    <m/>
    <m/>
    <m/>
    <m/>
    <m/>
    <m/>
    <m/>
    <m/>
    <m/>
    <m/>
    <m/>
    <m/>
    <m/>
    <m/>
    <m/>
    <m/>
    <m/>
    <m/>
    <m/>
    <m/>
    <m/>
    <m/>
    <n v="3"/>
    <x v="1"/>
  </r>
  <r>
    <x v="6"/>
    <x v="53"/>
    <x v="3"/>
    <x v="106"/>
    <n v="0"/>
    <n v="0"/>
    <n v="0"/>
    <n v="0"/>
    <n v="0"/>
    <n v="0"/>
    <n v="0"/>
    <m/>
    <m/>
    <m/>
    <m/>
    <m/>
    <m/>
    <m/>
    <m/>
    <m/>
    <m/>
    <m/>
    <m/>
    <m/>
    <m/>
    <m/>
    <m/>
    <m/>
    <m/>
    <m/>
    <m/>
    <m/>
    <m/>
    <m/>
    <m/>
    <m/>
    <m/>
    <m/>
    <m/>
    <n v="3"/>
    <x v="1"/>
  </r>
  <r>
    <x v="0"/>
    <x v="54"/>
    <x v="3"/>
    <x v="39"/>
    <n v="86"/>
    <n v="10"/>
    <n v="17"/>
    <n v="4"/>
    <n v="0"/>
    <n v="4"/>
    <n v="37"/>
    <s v="Anais Orozco"/>
    <s v="Collections Group"/>
    <d v="2025-11-10T00:00:00"/>
    <d v="1899-12-30T14:01:23"/>
    <d v="1899-12-30T23:00:25"/>
    <n v="8.98"/>
    <n v="8.2100000000000009"/>
    <n v="2.97"/>
    <n v="1.18"/>
    <n v="0"/>
    <n v="0.76"/>
    <n v="2.13"/>
    <n v="0.62"/>
    <n v="0.47"/>
    <n v="0"/>
    <n v="0"/>
    <n v="0.08"/>
    <n v="8.2100000000000009"/>
    <n v="36.14"/>
    <n v="14.37"/>
    <n v="0"/>
    <n v="9.2100000000000009"/>
    <n v="25.9"/>
    <n v="7.57"/>
    <n v="5.78"/>
    <n v="0"/>
    <n v="0"/>
    <n v="1.03"/>
    <n v="2"/>
    <x v="2"/>
  </r>
  <r>
    <x v="1"/>
    <x v="54"/>
    <x v="3"/>
    <x v="49"/>
    <n v="163"/>
    <n v="29"/>
    <n v="23"/>
    <n v="13"/>
    <n v="3"/>
    <n v="0"/>
    <n v="76"/>
    <s v="Derice Warnsley"/>
    <s v="Collections Group"/>
    <d v="2025-11-10T00:00:00"/>
    <d v="1899-12-30T14:00:12"/>
    <d v="1899-12-30T23:08:56"/>
    <n v="9.1300000000000008"/>
    <n v="9.16"/>
    <n v="4.75"/>
    <n v="0.05"/>
    <n v="0"/>
    <n v="0.16"/>
    <n v="2.74"/>
    <n v="1.44"/>
    <n v="0"/>
    <n v="0"/>
    <n v="0"/>
    <n v="0.01"/>
    <n v="9.16"/>
    <n v="51.9"/>
    <n v="0.56000000000000005"/>
    <n v="0"/>
    <n v="1.78"/>
    <n v="29.93"/>
    <n v="15.78"/>
    <n v="0"/>
    <n v="0"/>
    <n v="0"/>
    <n v="0.06"/>
    <n v="2"/>
    <x v="2"/>
  </r>
  <r>
    <x v="2"/>
    <x v="54"/>
    <x v="3"/>
    <x v="41"/>
    <n v="122"/>
    <n v="9"/>
    <n v="8"/>
    <n v="11"/>
    <n v="0"/>
    <n v="1"/>
    <n v="73"/>
    <s v="Isiah Thomas"/>
    <s v="Collections Group"/>
    <d v="2025-11-10T00:00:00"/>
    <d v="1899-12-30T14:01:47"/>
    <d v="1899-12-30T23:00:48"/>
    <n v="8.98"/>
    <n v="8.98"/>
    <n v="1.77"/>
    <n v="2.35"/>
    <n v="0"/>
    <n v="0.72"/>
    <n v="2.0099999999999998"/>
    <n v="1.5"/>
    <n v="0.63"/>
    <n v="0"/>
    <n v="0"/>
    <n v="0"/>
    <n v="8.98"/>
    <n v="19.649999999999999"/>
    <n v="26.17"/>
    <n v="0"/>
    <n v="8.02"/>
    <n v="22.35"/>
    <n v="16.75"/>
    <n v="7"/>
    <n v="0"/>
    <n v="0"/>
    <n v="0.05"/>
    <n v="2"/>
    <x v="2"/>
  </r>
  <r>
    <x v="3"/>
    <x v="54"/>
    <x v="3"/>
    <x v="14"/>
    <n v="163"/>
    <n v="13"/>
    <n v="16"/>
    <n v="14"/>
    <n v="1"/>
    <n v="3"/>
    <n v="80"/>
    <s v="Jerrod Coleman"/>
    <s v="Collections Group"/>
    <d v="2025-11-10T00:00:00"/>
    <d v="1899-12-30T14:01:40"/>
    <d v="1899-12-30T22:58:03"/>
    <n v="8.9499999999999993"/>
    <n v="8.94"/>
    <n v="3.19"/>
    <n v="0.95"/>
    <n v="0"/>
    <n v="0.43"/>
    <n v="2.91"/>
    <n v="1.47"/>
    <n v="0"/>
    <n v="0"/>
    <n v="0"/>
    <n v="0"/>
    <n v="8.94"/>
    <n v="35.659999999999997"/>
    <n v="10.6"/>
    <n v="0"/>
    <n v="4.79"/>
    <n v="32.51"/>
    <n v="16.41"/>
    <n v="0"/>
    <n v="0"/>
    <n v="0"/>
    <n v="0.04"/>
    <n v="2"/>
    <x v="2"/>
  </r>
  <r>
    <x v="4"/>
    <x v="54"/>
    <x v="3"/>
    <x v="13"/>
    <n v="2"/>
    <n v="0"/>
    <n v="0"/>
    <n v="0"/>
    <n v="0"/>
    <n v="0"/>
    <n v="0"/>
    <s v="Rosette Rwabugahya"/>
    <s v="Collections Group"/>
    <d v="2025-11-10T00:00:00"/>
    <d v="1899-12-30T19:59:49"/>
    <d v="1899-12-30T21:00:49"/>
    <n v="1.02"/>
    <n v="0.19"/>
    <n v="0.17"/>
    <n v="0"/>
    <n v="0"/>
    <n v="0.01"/>
    <n v="0"/>
    <n v="0"/>
    <n v="0"/>
    <n v="0"/>
    <n v="0"/>
    <n v="0.01"/>
    <n v="0.19"/>
    <n v="90.1"/>
    <n v="0"/>
    <n v="0"/>
    <n v="4.28"/>
    <n v="0"/>
    <n v="0"/>
    <n v="0"/>
    <n v="0"/>
    <n v="0"/>
    <n v="5.61"/>
    <n v="2"/>
    <x v="2"/>
  </r>
  <r>
    <x v="6"/>
    <x v="54"/>
    <x v="3"/>
    <x v="107"/>
    <n v="0"/>
    <n v="0"/>
    <n v="0"/>
    <n v="0"/>
    <n v="0"/>
    <n v="0"/>
    <n v="0"/>
    <m/>
    <m/>
    <m/>
    <m/>
    <m/>
    <m/>
    <m/>
    <m/>
    <m/>
    <m/>
    <m/>
    <m/>
    <m/>
    <m/>
    <m/>
    <m/>
    <m/>
    <m/>
    <m/>
    <m/>
    <m/>
    <m/>
    <m/>
    <m/>
    <m/>
    <m/>
    <m/>
    <m/>
    <n v="2"/>
    <x v="2"/>
  </r>
  <r>
    <x v="0"/>
    <x v="55"/>
    <x v="3"/>
    <x v="108"/>
    <n v="64"/>
    <n v="2"/>
    <n v="0"/>
    <n v="4"/>
    <n v="0"/>
    <n v="3"/>
    <n v="43"/>
    <s v="Anais Orozco"/>
    <s v="Collections Group"/>
    <d v="2025-11-07T00:00:00"/>
    <d v="1899-12-30T14:00:04"/>
    <d v="1899-12-30T23:00:03"/>
    <n v="9"/>
    <n v="8.0500000000000007"/>
    <n v="0.84"/>
    <n v="0.35"/>
    <n v="0"/>
    <n v="0.17"/>
    <n v="6.35"/>
    <n v="0.31"/>
    <n v="0"/>
    <n v="0"/>
    <n v="0"/>
    <n v="0.02"/>
    <n v="8.0500000000000007"/>
    <n v="10.44"/>
    <n v="4.4000000000000004"/>
    <n v="0"/>
    <n v="2.14"/>
    <n v="78.94"/>
    <n v="3.88"/>
    <n v="0"/>
    <n v="0"/>
    <n v="0"/>
    <n v="0.2"/>
    <n v="6"/>
    <x v="3"/>
  </r>
  <r>
    <x v="1"/>
    <x v="55"/>
    <x v="3"/>
    <x v="90"/>
    <n v="55"/>
    <n v="7"/>
    <n v="4"/>
    <n v="5"/>
    <n v="1"/>
    <n v="3"/>
    <n v="22"/>
    <s v="Derice Warnsley"/>
    <s v="Collections Group"/>
    <d v="2025-11-07T00:00:00"/>
    <d v="1899-12-30T13:59:27"/>
    <d v="1899-12-30T23:00:05"/>
    <n v="9.02"/>
    <n v="9.01"/>
    <n v="1.08"/>
    <n v="0.22"/>
    <n v="0"/>
    <n v="0.02"/>
    <n v="6.2"/>
    <n v="1.47"/>
    <n v="0"/>
    <n v="0"/>
    <n v="0"/>
    <n v="0.01"/>
    <n v="9.01"/>
    <n v="12.02"/>
    <n v="2.4700000000000002"/>
    <n v="0"/>
    <n v="0.25"/>
    <n v="68.8"/>
    <n v="16.309999999999999"/>
    <n v="0"/>
    <n v="0"/>
    <n v="0"/>
    <n v="0.15"/>
    <n v="6"/>
    <x v="3"/>
  </r>
  <r>
    <x v="2"/>
    <x v="55"/>
    <x v="3"/>
    <x v="109"/>
    <n v="46"/>
    <n v="1"/>
    <n v="4"/>
    <n v="1"/>
    <n v="0"/>
    <n v="1"/>
    <n v="25"/>
    <s v="Isiah Thomas"/>
    <s v="Collections Group"/>
    <d v="2025-11-07T00:00:00"/>
    <d v="1899-12-30T14:00:28"/>
    <d v="1899-12-30T23:00:05"/>
    <n v="9"/>
    <n v="8.99"/>
    <n v="1.02"/>
    <n v="1.34"/>
    <n v="0"/>
    <n v="0.22"/>
    <n v="4.91"/>
    <n v="1.5"/>
    <n v="0"/>
    <n v="0"/>
    <n v="0"/>
    <n v="0.01"/>
    <n v="8.99"/>
    <n v="11.35"/>
    <n v="14.88"/>
    <n v="0"/>
    <n v="2.39"/>
    <n v="54.56"/>
    <n v="16.72"/>
    <n v="0"/>
    <n v="0"/>
    <n v="0"/>
    <n v="0.09"/>
    <n v="6"/>
    <x v="3"/>
  </r>
  <r>
    <x v="3"/>
    <x v="55"/>
    <x v="3"/>
    <x v="110"/>
    <n v="59"/>
    <n v="2"/>
    <n v="2"/>
    <n v="2"/>
    <n v="1"/>
    <n v="2"/>
    <n v="33"/>
    <s v="Jerrod Coleman"/>
    <s v="Collections Group"/>
    <d v="2025-11-07T00:00:00"/>
    <d v="1899-12-30T14:00:15"/>
    <d v="1899-12-30T22:59:18"/>
    <n v="8.98"/>
    <n v="8.98"/>
    <n v="1.39"/>
    <n v="0.39"/>
    <n v="0"/>
    <n v="0.05"/>
    <n v="5.69"/>
    <n v="1.46"/>
    <n v="0"/>
    <n v="0"/>
    <n v="0"/>
    <n v="0"/>
    <n v="8.98"/>
    <n v="15.51"/>
    <n v="4.37"/>
    <n v="0"/>
    <n v="0.5"/>
    <n v="63.28"/>
    <n v="16.3"/>
    <n v="0"/>
    <n v="0"/>
    <n v="0"/>
    <n v="0.04"/>
    <n v="6"/>
    <x v="3"/>
  </r>
  <r>
    <x v="6"/>
    <x v="55"/>
    <x v="3"/>
    <x v="111"/>
    <n v="0"/>
    <n v="0"/>
    <n v="0"/>
    <n v="0"/>
    <n v="0"/>
    <n v="0"/>
    <n v="0"/>
    <m/>
    <m/>
    <m/>
    <m/>
    <m/>
    <m/>
    <m/>
    <m/>
    <m/>
    <m/>
    <m/>
    <m/>
    <m/>
    <m/>
    <m/>
    <m/>
    <m/>
    <m/>
    <m/>
    <m/>
    <m/>
    <m/>
    <m/>
    <m/>
    <m/>
    <m/>
    <m/>
    <m/>
    <n v="6"/>
    <x v="3"/>
  </r>
  <r>
    <x v="0"/>
    <x v="56"/>
    <x v="3"/>
    <x v="112"/>
    <n v="19"/>
    <n v="6"/>
    <n v="1"/>
    <n v="4"/>
    <n v="0"/>
    <n v="1"/>
    <n v="2"/>
    <s v="Anais Orozco"/>
    <s v="Collections Group"/>
    <d v="2025-11-06T00:00:00"/>
    <d v="1899-12-30T13:58:54"/>
    <d v="1899-12-30T23:00:57"/>
    <n v="9.0299999999999994"/>
    <n v="8.2100000000000009"/>
    <n v="2.59"/>
    <n v="0.56000000000000005"/>
    <n v="0"/>
    <n v="0.26"/>
    <n v="2.97"/>
    <n v="0.6"/>
    <n v="1.04"/>
    <n v="0"/>
    <n v="0"/>
    <n v="0.19"/>
    <n v="8.2100000000000009"/>
    <n v="31.59"/>
    <n v="6.81"/>
    <n v="0"/>
    <n v="3.11"/>
    <n v="36.22"/>
    <n v="7.25"/>
    <n v="12.69"/>
    <n v="0"/>
    <n v="0"/>
    <n v="2.33"/>
    <n v="5"/>
    <x v="4"/>
  </r>
  <r>
    <x v="1"/>
    <x v="56"/>
    <x v="3"/>
    <x v="113"/>
    <n v="59"/>
    <n v="5"/>
    <n v="10"/>
    <n v="5"/>
    <n v="4"/>
    <n v="0"/>
    <n v="26"/>
    <s v="Derice Warnsley"/>
    <s v="Collections Group"/>
    <d v="2025-11-06T00:00:00"/>
    <d v="1899-12-30T13:59:49"/>
    <d v="1899-12-30T23:00:10"/>
    <n v="9.02"/>
    <n v="9.01"/>
    <n v="1.72"/>
    <n v="0.02"/>
    <n v="0"/>
    <n v="0.03"/>
    <n v="4.2"/>
    <n v="1.2"/>
    <n v="1.82"/>
    <n v="0"/>
    <n v="0"/>
    <n v="0.01"/>
    <n v="9.01"/>
    <n v="19.14"/>
    <n v="0.25"/>
    <n v="0"/>
    <n v="0.37"/>
    <n v="46.68"/>
    <n v="13.3"/>
    <n v="20.18"/>
    <n v="0"/>
    <n v="0"/>
    <n v="0.08"/>
    <n v="5"/>
    <x v="4"/>
  </r>
  <r>
    <x v="2"/>
    <x v="56"/>
    <x v="3"/>
    <x v="114"/>
    <n v="30"/>
    <n v="0"/>
    <n v="0"/>
    <n v="9"/>
    <n v="0"/>
    <n v="0"/>
    <n v="19"/>
    <s v="Isiah Thomas"/>
    <s v="Collections Group"/>
    <d v="2025-11-06T00:00:00"/>
    <d v="1899-12-30T13:59:29"/>
    <d v="1899-12-30T23:00:47"/>
    <n v="9.02"/>
    <n v="9.01"/>
    <n v="0.72"/>
    <n v="1.63"/>
    <n v="0"/>
    <n v="0.2"/>
    <n v="3.61"/>
    <n v="1.52"/>
    <n v="1.28"/>
    <n v="0"/>
    <n v="0"/>
    <n v="0.05"/>
    <n v="9.01"/>
    <n v="8.0399999999999991"/>
    <n v="18.11"/>
    <n v="0"/>
    <n v="2.1800000000000002"/>
    <n v="40"/>
    <n v="16.899999999999999"/>
    <n v="14.24"/>
    <n v="0"/>
    <n v="0"/>
    <n v="0.53"/>
    <n v="5"/>
    <x v="4"/>
  </r>
  <r>
    <x v="3"/>
    <x v="56"/>
    <x v="3"/>
    <x v="108"/>
    <n v="64"/>
    <n v="7"/>
    <n v="3"/>
    <n v="11"/>
    <n v="0"/>
    <n v="1"/>
    <n v="30"/>
    <s v="Jerrod Coleman"/>
    <s v="Collections Group"/>
    <d v="2025-11-06T00:00:00"/>
    <d v="1899-12-30T14:01:12"/>
    <d v="1899-12-30T22:59:10"/>
    <n v="8.9700000000000006"/>
    <n v="8.9700000000000006"/>
    <n v="1.29"/>
    <n v="0.5"/>
    <n v="0"/>
    <n v="0.16"/>
    <n v="4.26"/>
    <n v="1.48"/>
    <n v="1.27"/>
    <n v="0"/>
    <n v="0"/>
    <n v="0"/>
    <n v="8.9700000000000006"/>
    <n v="14.41"/>
    <n v="5.55"/>
    <n v="0"/>
    <n v="1.82"/>
    <n v="47.52"/>
    <n v="16.54"/>
    <n v="14.12"/>
    <n v="0"/>
    <n v="0"/>
    <n v="0.04"/>
    <n v="5"/>
    <x v="4"/>
  </r>
  <r>
    <x v="6"/>
    <x v="56"/>
    <x v="3"/>
    <x v="115"/>
    <n v="0"/>
    <n v="0"/>
    <n v="0"/>
    <n v="0"/>
    <n v="0"/>
    <n v="0"/>
    <n v="0"/>
    <m/>
    <m/>
    <m/>
    <m/>
    <m/>
    <m/>
    <m/>
    <m/>
    <m/>
    <m/>
    <m/>
    <m/>
    <m/>
    <m/>
    <m/>
    <m/>
    <m/>
    <m/>
    <m/>
    <m/>
    <m/>
    <m/>
    <m/>
    <m/>
    <m/>
    <m/>
    <m/>
    <m/>
    <n v="5"/>
    <x v="4"/>
  </r>
  <r>
    <x v="0"/>
    <x v="57"/>
    <x v="3"/>
    <x v="108"/>
    <n v="53"/>
    <n v="6"/>
    <n v="1"/>
    <n v="13"/>
    <n v="0"/>
    <n v="1"/>
    <n v="15"/>
    <s v="Anais Orozco"/>
    <s v="Collections Group"/>
    <d v="2025-11-05T00:00:00"/>
    <d v="1899-12-30T14:00:03"/>
    <d v="1899-12-30T23:00:02"/>
    <n v="9"/>
    <n v="8.09"/>
    <n v="3.58"/>
    <n v="0.46"/>
    <n v="0"/>
    <n v="0.28000000000000003"/>
    <n v="3.35"/>
    <n v="0.39"/>
    <n v="0"/>
    <n v="0"/>
    <n v="0"/>
    <n v="0.02"/>
    <n v="8.09"/>
    <n v="44.3"/>
    <n v="5.74"/>
    <n v="0"/>
    <n v="3.48"/>
    <n v="41.43"/>
    <n v="4.78"/>
    <n v="0"/>
    <n v="0"/>
    <n v="0"/>
    <n v="0.28000000000000003"/>
    <n v="4"/>
    <x v="0"/>
  </r>
  <r>
    <x v="1"/>
    <x v="57"/>
    <x v="3"/>
    <x v="18"/>
    <n v="63"/>
    <n v="1"/>
    <n v="5"/>
    <n v="10"/>
    <n v="2"/>
    <n v="8"/>
    <n v="20"/>
    <s v="Derice Warnsley"/>
    <s v="Collections Group"/>
    <d v="2025-11-05T00:00:00"/>
    <d v="1899-12-30T14:00:13"/>
    <d v="1899-12-30T23:03:32"/>
    <n v="9.0500000000000007"/>
    <n v="9.0500000000000007"/>
    <n v="2"/>
    <n v="0.14000000000000001"/>
    <n v="0"/>
    <n v="7.0000000000000007E-2"/>
    <n v="5.33"/>
    <n v="1.2"/>
    <n v="0.31"/>
    <n v="0"/>
    <n v="0"/>
    <n v="0"/>
    <n v="9.0500000000000007"/>
    <n v="22.1"/>
    <n v="1.58"/>
    <n v="0"/>
    <n v="0.73"/>
    <n v="58.9"/>
    <n v="13.21"/>
    <n v="3.43"/>
    <n v="0"/>
    <n v="0"/>
    <n v="0.05"/>
    <n v="4"/>
    <x v="0"/>
  </r>
  <r>
    <x v="2"/>
    <x v="57"/>
    <x v="3"/>
    <x v="73"/>
    <n v="42"/>
    <n v="9"/>
    <n v="2"/>
    <n v="6"/>
    <n v="2"/>
    <n v="0"/>
    <n v="16"/>
    <s v="Isiah Thomas"/>
    <s v="Collections Group"/>
    <d v="2025-11-05T00:00:00"/>
    <d v="1899-12-30T14:00:56"/>
    <d v="1899-12-30T23:00:03"/>
    <n v="9"/>
    <n v="8.98"/>
    <n v="2.91"/>
    <n v="0.56000000000000005"/>
    <n v="0"/>
    <n v="0.34"/>
    <n v="3.53"/>
    <n v="1.53"/>
    <n v="0"/>
    <n v="0"/>
    <n v="0"/>
    <n v="0.11"/>
    <n v="8.98"/>
    <n v="32.4"/>
    <n v="6.21"/>
    <n v="0"/>
    <n v="3.82"/>
    <n v="39.31"/>
    <n v="17.079999999999998"/>
    <n v="0"/>
    <n v="0"/>
    <n v="0"/>
    <n v="1.18"/>
    <n v="4"/>
    <x v="0"/>
  </r>
  <r>
    <x v="3"/>
    <x v="57"/>
    <x v="3"/>
    <x v="116"/>
    <n v="75"/>
    <n v="4"/>
    <n v="5"/>
    <n v="11"/>
    <n v="3"/>
    <n v="2"/>
    <n v="41"/>
    <s v="Jerrod Coleman"/>
    <s v="Collections Group"/>
    <d v="2025-11-05T00:00:00"/>
    <d v="1899-12-30T14:00:15"/>
    <d v="1899-12-30T23:02:16"/>
    <n v="9.0299999999999994"/>
    <n v="9.0299999999999994"/>
    <n v="2.41"/>
    <n v="0.21"/>
    <n v="0"/>
    <n v="0.19"/>
    <n v="4.75"/>
    <n v="1.46"/>
    <n v="0"/>
    <n v="0"/>
    <n v="0"/>
    <n v="0"/>
    <n v="9.0299999999999994"/>
    <n v="26.74"/>
    <n v="2.37"/>
    <n v="0"/>
    <n v="2.09"/>
    <n v="52.54"/>
    <n v="16.21"/>
    <n v="0"/>
    <n v="0"/>
    <n v="0"/>
    <n v="0.05"/>
    <n v="4"/>
    <x v="0"/>
  </r>
  <r>
    <x v="6"/>
    <x v="57"/>
    <x v="3"/>
    <x v="117"/>
    <n v="0"/>
    <n v="0"/>
    <n v="0"/>
    <n v="0"/>
    <n v="0"/>
    <n v="0"/>
    <n v="0"/>
    <m/>
    <m/>
    <m/>
    <m/>
    <m/>
    <m/>
    <m/>
    <m/>
    <m/>
    <m/>
    <m/>
    <m/>
    <m/>
    <m/>
    <m/>
    <m/>
    <m/>
    <m/>
    <m/>
    <m/>
    <m/>
    <m/>
    <m/>
    <m/>
    <m/>
    <m/>
    <m/>
    <m/>
    <n v="4"/>
    <x v="0"/>
  </r>
  <r>
    <x v="0"/>
    <x v="58"/>
    <x v="3"/>
    <x v="104"/>
    <n v="44"/>
    <n v="3"/>
    <n v="3"/>
    <n v="7"/>
    <n v="0"/>
    <n v="1"/>
    <n v="19"/>
    <s v="Anais Orozco"/>
    <s v="Collections Group"/>
    <d v="2025-11-04T00:00:00"/>
    <d v="1899-12-30T14:00:19"/>
    <d v="1899-12-30T23:00:11"/>
    <n v="9"/>
    <n v="8.24"/>
    <n v="1.68"/>
    <n v="0.52"/>
    <n v="0"/>
    <n v="0.21"/>
    <n v="5.09"/>
    <n v="0.71"/>
    <n v="0"/>
    <n v="0"/>
    <n v="0"/>
    <n v="0.03"/>
    <n v="8.24"/>
    <n v="20.43"/>
    <n v="6.26"/>
    <n v="0"/>
    <n v="2.6"/>
    <n v="61.81"/>
    <n v="8.59"/>
    <n v="0"/>
    <n v="0"/>
    <n v="0"/>
    <n v="0.31"/>
    <n v="3"/>
    <x v="1"/>
  </r>
  <r>
    <x v="1"/>
    <x v="58"/>
    <x v="3"/>
    <x v="116"/>
    <n v="66"/>
    <n v="9"/>
    <n v="8"/>
    <n v="8"/>
    <n v="0"/>
    <n v="5"/>
    <n v="24"/>
    <s v="Derice Warnsley"/>
    <s v="Collections Group"/>
    <d v="2025-11-04T00:00:00"/>
    <d v="1899-12-30T13:59:58"/>
    <d v="1899-12-30T23:00:14"/>
    <n v="9.02"/>
    <n v="9.01"/>
    <n v="1.68"/>
    <n v="0.08"/>
    <n v="0"/>
    <n v="0.04"/>
    <n v="5.19"/>
    <n v="1.23"/>
    <n v="0.77"/>
    <n v="0"/>
    <n v="0"/>
    <n v="0.01"/>
    <n v="9.01"/>
    <n v="18.68"/>
    <n v="0.88"/>
    <n v="0"/>
    <n v="0.44"/>
    <n v="57.67"/>
    <n v="13.71"/>
    <n v="8.51"/>
    <n v="0"/>
    <n v="0"/>
    <n v="0.11"/>
    <n v="3"/>
    <x v="1"/>
  </r>
  <r>
    <x v="2"/>
    <x v="58"/>
    <x v="3"/>
    <x v="113"/>
    <n v="50"/>
    <n v="2"/>
    <n v="0"/>
    <n v="6"/>
    <n v="0"/>
    <n v="2"/>
    <n v="24"/>
    <s v="Isiah Thomas"/>
    <s v="Collections Group"/>
    <d v="2025-11-04T00:00:00"/>
    <d v="1899-12-30T14:00:48"/>
    <d v="1899-12-30T23:00:16"/>
    <n v="9"/>
    <n v="8.99"/>
    <n v="1.4"/>
    <n v="1.33"/>
    <n v="0"/>
    <n v="0.2"/>
    <n v="4.2300000000000004"/>
    <n v="1.6"/>
    <n v="0.24"/>
    <n v="0"/>
    <n v="0"/>
    <n v="0.01"/>
    <n v="8.99"/>
    <n v="15.56"/>
    <n v="14.77"/>
    <n v="0"/>
    <n v="2.19"/>
    <n v="47"/>
    <n v="17.77"/>
    <n v="2.64"/>
    <n v="0"/>
    <n v="0"/>
    <n v="7.0000000000000007E-2"/>
    <n v="3"/>
    <x v="1"/>
  </r>
  <r>
    <x v="3"/>
    <x v="58"/>
    <x v="3"/>
    <x v="118"/>
    <n v="59"/>
    <n v="7"/>
    <n v="5"/>
    <n v="7"/>
    <n v="0"/>
    <n v="6"/>
    <n v="28"/>
    <s v="Jerrod Coleman"/>
    <s v="Collections Group"/>
    <d v="2025-11-04T00:00:00"/>
    <d v="1899-12-30T14:00:24"/>
    <d v="1899-12-30T22:58:46"/>
    <n v="8.9700000000000006"/>
    <n v="8.9700000000000006"/>
    <n v="1.59"/>
    <n v="0.69"/>
    <n v="0"/>
    <n v="0.1"/>
    <n v="5.12"/>
    <n v="1.47"/>
    <n v="0"/>
    <n v="0"/>
    <n v="0"/>
    <n v="0"/>
    <n v="8.9700000000000006"/>
    <n v="17.73"/>
    <n v="7.65"/>
    <n v="0"/>
    <n v="1.1299999999999999"/>
    <n v="57.02"/>
    <n v="16.43"/>
    <n v="0"/>
    <n v="0"/>
    <n v="0"/>
    <n v="0.05"/>
    <n v="3"/>
    <x v="1"/>
  </r>
  <r>
    <x v="5"/>
    <x v="58"/>
    <x v="3"/>
    <x v="69"/>
    <n v="96"/>
    <n v="12"/>
    <n v="2"/>
    <n v="15"/>
    <n v="0"/>
    <n v="0"/>
    <n v="46"/>
    <s v="Sabigh Masood"/>
    <s v="Collections Group"/>
    <d v="2025-11-04T00:00:00"/>
    <d v="1899-12-30T13:59:49"/>
    <d v="1899-12-30T23:00:58"/>
    <n v="9.02"/>
    <n v="9.02"/>
    <n v="2.08"/>
    <n v="0.15"/>
    <n v="0"/>
    <n v="0.47"/>
    <n v="4.8499999999999996"/>
    <n v="1.46"/>
    <n v="0"/>
    <n v="0"/>
    <n v="0"/>
    <n v="0"/>
    <n v="9.02"/>
    <n v="23.07"/>
    <n v="1.65"/>
    <n v="0"/>
    <n v="5.23"/>
    <n v="53.81"/>
    <n v="16.21"/>
    <n v="0"/>
    <n v="0"/>
    <n v="0"/>
    <n v="0.03"/>
    <n v="3"/>
    <x v="1"/>
  </r>
  <r>
    <x v="6"/>
    <x v="58"/>
    <x v="3"/>
    <x v="119"/>
    <n v="0"/>
    <n v="0"/>
    <n v="0"/>
    <n v="0"/>
    <n v="0"/>
    <n v="0"/>
    <n v="0"/>
    <m/>
    <m/>
    <m/>
    <m/>
    <m/>
    <m/>
    <m/>
    <m/>
    <m/>
    <m/>
    <m/>
    <m/>
    <m/>
    <m/>
    <m/>
    <m/>
    <m/>
    <m/>
    <m/>
    <m/>
    <m/>
    <m/>
    <m/>
    <m/>
    <m/>
    <m/>
    <m/>
    <m/>
    <n v="3"/>
    <x v="1"/>
  </r>
  <r>
    <x v="0"/>
    <x v="59"/>
    <x v="3"/>
    <x v="120"/>
    <n v="42"/>
    <n v="5"/>
    <n v="2"/>
    <n v="2"/>
    <n v="0"/>
    <n v="0"/>
    <n v="22"/>
    <s v="Anais Orozco"/>
    <s v="Collections Group"/>
    <d v="2025-11-03T00:00:00"/>
    <d v="1899-12-30T14:02:46"/>
    <d v="1899-12-30T23:00:13"/>
    <n v="8.9700000000000006"/>
    <n v="8.06"/>
    <n v="1.61"/>
    <n v="0.6"/>
    <n v="0"/>
    <n v="0.21"/>
    <n v="5.0199999999999996"/>
    <n v="0.59"/>
    <n v="0"/>
    <n v="0"/>
    <n v="0"/>
    <n v="0.02"/>
    <n v="8.06"/>
    <n v="19.93"/>
    <n v="7.48"/>
    <n v="0"/>
    <n v="2.66"/>
    <n v="62.33"/>
    <n v="7.36"/>
    <n v="0"/>
    <n v="0"/>
    <n v="0"/>
    <n v="0.24"/>
    <n v="2"/>
    <x v="2"/>
  </r>
  <r>
    <x v="1"/>
    <x v="59"/>
    <x v="3"/>
    <x v="118"/>
    <n v="47"/>
    <n v="3"/>
    <n v="2"/>
    <n v="8"/>
    <n v="0"/>
    <n v="3"/>
    <n v="21"/>
    <s v="Derice Warnsley"/>
    <s v="Collections Group"/>
    <d v="2025-11-03T00:00:00"/>
    <d v="1899-12-30T13:59:49"/>
    <d v="1899-12-30T23:00:03"/>
    <n v="9.02"/>
    <n v="9"/>
    <n v="1.77"/>
    <n v="0.03"/>
    <n v="0"/>
    <n v="0.03"/>
    <n v="5.2"/>
    <n v="1.48"/>
    <n v="0.5"/>
    <n v="0"/>
    <n v="0"/>
    <n v="0"/>
    <n v="9"/>
    <n v="19.66"/>
    <n v="0.33"/>
    <n v="0"/>
    <n v="0.32"/>
    <n v="57.71"/>
    <n v="16.41"/>
    <n v="5.53"/>
    <n v="0"/>
    <n v="0"/>
    <n v="0.04"/>
    <n v="2"/>
    <x v="2"/>
  </r>
  <r>
    <x v="2"/>
    <x v="59"/>
    <x v="3"/>
    <x v="121"/>
    <n v="44"/>
    <n v="4"/>
    <n v="5"/>
    <n v="12"/>
    <n v="0"/>
    <n v="0"/>
    <n v="17"/>
    <s v="Isiah Thomas"/>
    <s v="Collections Group"/>
    <d v="2025-11-03T00:00:00"/>
    <d v="1899-12-30T14:00:13"/>
    <d v="1899-12-30T23:00:03"/>
    <n v="9"/>
    <n v="9"/>
    <n v="1.19"/>
    <n v="1.27"/>
    <n v="0"/>
    <n v="0.2"/>
    <n v="4.0999999999999996"/>
    <n v="1.54"/>
    <n v="0.69"/>
    <n v="0"/>
    <n v="0"/>
    <n v="0.01"/>
    <n v="9"/>
    <n v="13.19"/>
    <n v="14.16"/>
    <n v="0"/>
    <n v="2.1800000000000002"/>
    <n v="45.58"/>
    <n v="17.07"/>
    <n v="7.68"/>
    <n v="0"/>
    <n v="0"/>
    <n v="0.13"/>
    <n v="2"/>
    <x v="2"/>
  </r>
  <r>
    <x v="3"/>
    <x v="59"/>
    <x v="3"/>
    <x v="108"/>
    <n v="44"/>
    <n v="5"/>
    <n v="1"/>
    <n v="4"/>
    <n v="0"/>
    <n v="2"/>
    <n v="22"/>
    <s v="Jerrod Coleman"/>
    <s v="Collections Group"/>
    <d v="2025-11-03T00:00:00"/>
    <d v="1899-12-30T14:00:06"/>
    <d v="1899-12-30T22:59:37"/>
    <n v="8.98"/>
    <n v="8.99"/>
    <n v="1.62"/>
    <n v="0.41"/>
    <n v="0"/>
    <n v="0.17"/>
    <n v="5.32"/>
    <n v="1.46"/>
    <n v="0"/>
    <n v="0"/>
    <n v="0"/>
    <n v="0"/>
    <n v="8.99"/>
    <n v="18.05"/>
    <n v="4.58"/>
    <n v="0"/>
    <n v="1.91"/>
    <n v="59.14"/>
    <n v="16.28"/>
    <n v="0"/>
    <n v="0"/>
    <n v="0"/>
    <n v="0.04"/>
    <n v="2"/>
    <x v="2"/>
  </r>
  <r>
    <x v="5"/>
    <x v="59"/>
    <x v="3"/>
    <x v="113"/>
    <n v="57"/>
    <n v="3"/>
    <n v="2"/>
    <n v="3"/>
    <n v="1"/>
    <n v="1"/>
    <n v="33"/>
    <s v="Sabigh Masood"/>
    <s v="Collections Group"/>
    <d v="2025-11-03T00:00:00"/>
    <d v="1899-12-30T13:59:59"/>
    <d v="1899-12-30T23:00:41"/>
    <n v="9.02"/>
    <n v="9.01"/>
    <n v="1.2"/>
    <n v="0.23"/>
    <n v="0"/>
    <n v="0.47"/>
    <n v="5.64"/>
    <n v="1.46"/>
    <n v="0"/>
    <n v="0"/>
    <n v="0"/>
    <n v="0"/>
    <n v="9.01"/>
    <n v="13.36"/>
    <n v="2.6"/>
    <n v="0"/>
    <n v="5.24"/>
    <n v="62.55"/>
    <n v="16.22"/>
    <n v="0"/>
    <n v="0"/>
    <n v="0"/>
    <n v="0.02"/>
    <n v="2"/>
    <x v="2"/>
  </r>
  <r>
    <x v="6"/>
    <x v="59"/>
    <x v="3"/>
    <x v="122"/>
    <n v="0"/>
    <n v="0"/>
    <n v="0"/>
    <n v="0"/>
    <n v="0"/>
    <n v="0"/>
    <n v="0"/>
    <m/>
    <m/>
    <m/>
    <m/>
    <m/>
    <m/>
    <m/>
    <m/>
    <m/>
    <m/>
    <m/>
    <m/>
    <m/>
    <m/>
    <m/>
    <m/>
    <m/>
    <m/>
    <m/>
    <m/>
    <m/>
    <m/>
    <m/>
    <m/>
    <m/>
    <m/>
    <m/>
    <m/>
    <n v="2"/>
    <x v="2"/>
  </r>
  <r>
    <x v="1"/>
    <x v="60"/>
    <x v="4"/>
    <x v="109"/>
    <n v="47"/>
    <n v="4"/>
    <n v="0"/>
    <n v="4"/>
    <n v="0"/>
    <n v="0"/>
    <n v="27"/>
    <s v="Derice Warnsley"/>
    <s v="Collections Group"/>
    <d v="2025-10-31T00:00:00"/>
    <d v="1899-12-30T13:00:19"/>
    <d v="1899-12-30T22:00:04"/>
    <n v="9"/>
    <n v="9"/>
    <n v="1.1000000000000001"/>
    <n v="0"/>
    <n v="0"/>
    <n v="0.08"/>
    <n v="6.41"/>
    <n v="1.4"/>
    <n v="0"/>
    <n v="0"/>
    <n v="0"/>
    <n v="0"/>
    <n v="9"/>
    <n v="12.2"/>
    <n v="0"/>
    <n v="0"/>
    <n v="0.84"/>
    <n v="71.31"/>
    <n v="15.61"/>
    <n v="0"/>
    <n v="0"/>
    <n v="0"/>
    <n v="0.04"/>
    <n v="6"/>
    <x v="3"/>
  </r>
  <r>
    <x v="2"/>
    <x v="60"/>
    <x v="4"/>
    <x v="113"/>
    <n v="52"/>
    <n v="7"/>
    <n v="3"/>
    <n v="8"/>
    <n v="0"/>
    <n v="0"/>
    <n v="28"/>
    <s v="Isiah Thomas"/>
    <s v="Collections Group"/>
    <d v="2025-10-31T00:00:00"/>
    <d v="1899-12-30T13:03:18"/>
    <d v="1899-12-30T22:00:01"/>
    <n v="8.9499999999999993"/>
    <n v="8.9499999999999993"/>
    <n v="0.78"/>
    <n v="0.53"/>
    <n v="0"/>
    <n v="0.12"/>
    <n v="6"/>
    <n v="1.51"/>
    <n v="0"/>
    <n v="0"/>
    <n v="0"/>
    <n v="0"/>
    <n v="8.9499999999999993"/>
    <n v="8.69"/>
    <n v="5.96"/>
    <n v="0"/>
    <n v="1.37"/>
    <n v="67.05"/>
    <n v="16.89"/>
    <n v="0"/>
    <n v="0"/>
    <n v="0"/>
    <n v="0.04"/>
    <n v="6"/>
    <x v="3"/>
  </r>
  <r>
    <x v="5"/>
    <x v="60"/>
    <x v="4"/>
    <x v="118"/>
    <n v="66"/>
    <n v="4"/>
    <n v="0"/>
    <n v="4"/>
    <n v="0"/>
    <n v="1"/>
    <n v="44"/>
    <s v="Sabigh Masood"/>
    <s v="Collections Group"/>
    <d v="2025-10-31T00:00:00"/>
    <d v="1899-12-30T12:59:54"/>
    <d v="1899-12-30T22:02:27"/>
    <n v="9.0500000000000007"/>
    <n v="9.0399999999999991"/>
    <n v="0.81"/>
    <n v="0.41"/>
    <n v="0"/>
    <n v="0.28000000000000003"/>
    <n v="5.79"/>
    <n v="1.75"/>
    <n v="0"/>
    <n v="0"/>
    <n v="0"/>
    <n v="0"/>
    <n v="9.0399999999999991"/>
    <n v="8.94"/>
    <n v="4.58"/>
    <n v="0"/>
    <n v="3.09"/>
    <n v="64.03"/>
    <n v="19.329999999999998"/>
    <n v="0"/>
    <n v="0"/>
    <n v="0"/>
    <n v="0.03"/>
    <n v="6"/>
    <x v="3"/>
  </r>
  <r>
    <x v="6"/>
    <x v="60"/>
    <x v="4"/>
    <x v="123"/>
    <n v="0"/>
    <n v="0"/>
    <n v="0"/>
    <n v="0"/>
    <n v="0"/>
    <n v="0"/>
    <n v="0"/>
    <m/>
    <m/>
    <m/>
    <m/>
    <m/>
    <m/>
    <m/>
    <m/>
    <m/>
    <m/>
    <m/>
    <m/>
    <m/>
    <m/>
    <m/>
    <m/>
    <m/>
    <m/>
    <m/>
    <m/>
    <m/>
    <m/>
    <m/>
    <m/>
    <m/>
    <m/>
    <m/>
    <m/>
    <n v="6"/>
    <x v="3"/>
  </r>
  <r>
    <x v="0"/>
    <x v="61"/>
    <x v="4"/>
    <x v="114"/>
    <n v="31"/>
    <n v="3"/>
    <n v="2"/>
    <n v="9"/>
    <n v="0"/>
    <n v="0"/>
    <n v="11"/>
    <s v="Anais Orozco"/>
    <s v="Collections Group"/>
    <d v="2025-10-30T00:00:00"/>
    <d v="1899-12-30T13:00:36"/>
    <d v="1899-12-30T22:00:40"/>
    <n v="9"/>
    <n v="8.58"/>
    <n v="2.39"/>
    <n v="0.48"/>
    <n v="0"/>
    <n v="0.17"/>
    <n v="3.19"/>
    <n v="0.61"/>
    <n v="1.68"/>
    <n v="0"/>
    <n v="0"/>
    <n v="7.0000000000000007E-2"/>
    <n v="8.58"/>
    <n v="27.79"/>
    <n v="5.54"/>
    <n v="0"/>
    <n v="2.04"/>
    <n v="37.15"/>
    <n v="7.15"/>
    <n v="19.55"/>
    <n v="0"/>
    <n v="0"/>
    <n v="0.78"/>
    <n v="5"/>
    <x v="4"/>
  </r>
  <r>
    <x v="1"/>
    <x v="61"/>
    <x v="4"/>
    <x v="90"/>
    <n v="53"/>
    <n v="8"/>
    <n v="1"/>
    <n v="2"/>
    <n v="0"/>
    <n v="2"/>
    <n v="24"/>
    <s v="Derice Warnsley"/>
    <s v="Collections Group"/>
    <d v="2025-10-30T00:00:00"/>
    <d v="1899-12-30T13:00:48"/>
    <d v="1899-12-30T22:00:03"/>
    <n v="9"/>
    <n v="8.98"/>
    <n v="1.1000000000000001"/>
    <n v="0.13"/>
    <n v="0"/>
    <n v="0.05"/>
    <n v="4.63"/>
    <n v="1.24"/>
    <n v="1.82"/>
    <n v="0"/>
    <n v="0"/>
    <n v="0.01"/>
    <n v="8.98"/>
    <n v="12.29"/>
    <n v="1.39"/>
    <n v="0"/>
    <n v="0.54"/>
    <n v="51.5"/>
    <n v="13.83"/>
    <n v="20.32"/>
    <n v="0"/>
    <n v="0"/>
    <n v="0.13"/>
    <n v="5"/>
    <x v="4"/>
  </r>
  <r>
    <x v="2"/>
    <x v="61"/>
    <x v="4"/>
    <x v="120"/>
    <n v="40"/>
    <n v="7"/>
    <n v="3"/>
    <n v="12"/>
    <n v="0"/>
    <n v="2"/>
    <n v="12"/>
    <s v="Isiah Thomas"/>
    <s v="Collections Group"/>
    <d v="2025-10-30T00:00:00"/>
    <d v="1899-12-30T13:03:02"/>
    <d v="1899-12-30T22:00:04"/>
    <n v="8.9499999999999993"/>
    <n v="8.98"/>
    <n v="1.65"/>
    <n v="0.76"/>
    <n v="0"/>
    <n v="0.16"/>
    <n v="3.39"/>
    <n v="1.54"/>
    <n v="1.47"/>
    <n v="0"/>
    <n v="0"/>
    <n v="0"/>
    <n v="8.98"/>
    <n v="18.329999999999998"/>
    <n v="8.4700000000000006"/>
    <n v="0"/>
    <n v="1.81"/>
    <n v="37.81"/>
    <n v="17.18"/>
    <n v="16.37"/>
    <n v="0"/>
    <n v="0"/>
    <n v="0.03"/>
    <n v="5"/>
    <x v="4"/>
  </r>
  <r>
    <x v="3"/>
    <x v="61"/>
    <x v="4"/>
    <x v="118"/>
    <n v="47"/>
    <n v="2"/>
    <n v="6"/>
    <n v="6"/>
    <n v="0"/>
    <n v="1"/>
    <n v="17"/>
    <s v="Jerrod Coleman"/>
    <s v="Collections Group"/>
    <d v="2025-10-30T00:00:00"/>
    <d v="1899-12-30T12:59:44"/>
    <d v="1899-12-30T20:06:45"/>
    <n v="7.12"/>
    <n v="7.12"/>
    <n v="1.32"/>
    <n v="0.92"/>
    <n v="0"/>
    <n v="0.06"/>
    <n v="2.2799999999999998"/>
    <n v="1.22"/>
    <n v="1.3"/>
    <n v="0"/>
    <n v="0"/>
    <n v="0.01"/>
    <n v="7.12"/>
    <n v="18.579999999999998"/>
    <n v="12.92"/>
    <n v="0"/>
    <n v="0.89"/>
    <n v="32.04"/>
    <n v="17.2"/>
    <n v="18.27"/>
    <n v="0"/>
    <n v="0"/>
    <n v="0.1"/>
    <n v="5"/>
    <x v="4"/>
  </r>
  <r>
    <x v="5"/>
    <x v="61"/>
    <x v="4"/>
    <x v="113"/>
    <n v="70"/>
    <n v="1"/>
    <n v="9"/>
    <n v="2"/>
    <n v="0"/>
    <n v="0"/>
    <n v="30"/>
    <s v="Sabigh Masood"/>
    <s v="Collections Group"/>
    <d v="2025-10-30T00:00:00"/>
    <d v="1899-12-30T13:00:02"/>
    <d v="1899-12-30T22:01:34"/>
    <n v="9.02"/>
    <n v="9.02"/>
    <n v="0.81"/>
    <n v="0"/>
    <n v="0"/>
    <n v="0.56000000000000005"/>
    <n v="4.8600000000000003"/>
    <n v="1.46"/>
    <n v="1.28"/>
    <n v="0"/>
    <n v="0.06"/>
    <n v="0"/>
    <n v="9.02"/>
    <n v="8.9700000000000006"/>
    <n v="0"/>
    <n v="0"/>
    <n v="6.17"/>
    <n v="53.83"/>
    <n v="16.18"/>
    <n v="14.21"/>
    <n v="0"/>
    <n v="0.61"/>
    <n v="0.04"/>
    <n v="5"/>
    <x v="4"/>
  </r>
  <r>
    <x v="6"/>
    <x v="61"/>
    <x v="4"/>
    <x v="124"/>
    <n v="0"/>
    <n v="0"/>
    <n v="0"/>
    <n v="0"/>
    <n v="0"/>
    <n v="0"/>
    <n v="0"/>
    <m/>
    <m/>
    <m/>
    <m/>
    <m/>
    <m/>
    <m/>
    <m/>
    <m/>
    <m/>
    <m/>
    <m/>
    <m/>
    <m/>
    <m/>
    <m/>
    <m/>
    <m/>
    <m/>
    <m/>
    <m/>
    <m/>
    <m/>
    <m/>
    <m/>
    <m/>
    <m/>
    <m/>
    <n v="5"/>
    <x v="4"/>
  </r>
  <r>
    <x v="0"/>
    <x v="62"/>
    <x v="4"/>
    <x v="47"/>
    <n v="133"/>
    <n v="3"/>
    <n v="7"/>
    <n v="10"/>
    <n v="0"/>
    <n v="2"/>
    <n v="41"/>
    <s v="Anais Orozco"/>
    <s v="Collections Group"/>
    <d v="2025-10-29T00:00:00"/>
    <d v="1899-12-30T13:01:38"/>
    <d v="1899-12-30T22:00:17"/>
    <n v="8.98"/>
    <n v="8.1300000000000008"/>
    <n v="4.53"/>
    <n v="0.39"/>
    <n v="0"/>
    <n v="0.3"/>
    <n v="2.48"/>
    <n v="0.41"/>
    <n v="0"/>
    <n v="0"/>
    <n v="0"/>
    <n v="0.02"/>
    <n v="8.1300000000000008"/>
    <n v="55.71"/>
    <n v="4.83"/>
    <n v="0"/>
    <n v="3.66"/>
    <n v="30.55"/>
    <n v="5.04"/>
    <n v="0"/>
    <n v="0"/>
    <n v="0"/>
    <n v="0.23"/>
    <n v="4"/>
    <x v="0"/>
  </r>
  <r>
    <x v="1"/>
    <x v="62"/>
    <x v="4"/>
    <x v="25"/>
    <n v="131"/>
    <n v="5"/>
    <n v="14"/>
    <n v="14"/>
    <n v="0"/>
    <n v="0"/>
    <n v="55"/>
    <s v="Derice Warnsley"/>
    <s v="Collections Group"/>
    <d v="2025-10-29T00:00:00"/>
    <d v="1899-12-30T13:00:22"/>
    <d v="1899-12-30T22:00:27"/>
    <n v="9"/>
    <n v="9"/>
    <n v="3.19"/>
    <n v="0"/>
    <n v="0"/>
    <n v="7.0000000000000007E-2"/>
    <n v="4.26"/>
    <n v="1.48"/>
    <n v="0"/>
    <n v="0"/>
    <n v="0"/>
    <n v="0.01"/>
    <n v="9"/>
    <n v="35.409999999999997"/>
    <n v="0"/>
    <n v="0"/>
    <n v="0.81"/>
    <n v="47.3"/>
    <n v="16.399999999999999"/>
    <n v="0"/>
    <n v="0"/>
    <n v="0"/>
    <n v="0.08"/>
    <n v="4"/>
    <x v="0"/>
  </r>
  <r>
    <x v="2"/>
    <x v="62"/>
    <x v="4"/>
    <x v="29"/>
    <n v="104"/>
    <n v="9"/>
    <n v="2"/>
    <n v="16"/>
    <n v="0"/>
    <n v="1"/>
    <n v="22"/>
    <s v="Isiah Thomas"/>
    <s v="Collections Group"/>
    <d v="2025-10-29T00:00:00"/>
    <d v="1899-12-30T13:01:13"/>
    <d v="1899-12-30T22:00:33"/>
    <n v="8.98"/>
    <n v="8.99"/>
    <n v="4.91"/>
    <n v="0.93"/>
    <n v="0"/>
    <n v="0.26"/>
    <n v="0.77"/>
    <n v="1.49"/>
    <n v="0.61"/>
    <n v="0"/>
    <n v="0"/>
    <n v="0"/>
    <n v="8.99"/>
    <n v="54.66"/>
    <n v="10.38"/>
    <n v="0"/>
    <n v="2.92"/>
    <n v="8.6"/>
    <n v="16.59"/>
    <n v="6.8"/>
    <n v="0"/>
    <n v="0"/>
    <n v="0.04"/>
    <n v="4"/>
    <x v="0"/>
  </r>
  <r>
    <x v="3"/>
    <x v="62"/>
    <x v="4"/>
    <x v="125"/>
    <n v="170"/>
    <n v="3"/>
    <n v="16"/>
    <n v="16"/>
    <n v="1"/>
    <n v="1"/>
    <n v="31"/>
    <s v="Jerrod Coleman"/>
    <s v="Collections Group"/>
    <d v="2025-10-29T00:00:00"/>
    <d v="1899-12-30T13:01:03"/>
    <d v="1899-12-30T21:58:44"/>
    <n v="8.9499999999999993"/>
    <n v="8.9600000000000009"/>
    <n v="3.61"/>
    <n v="0.39"/>
    <n v="0"/>
    <n v="0.38"/>
    <n v="3.14"/>
    <n v="1.43"/>
    <n v="0"/>
    <n v="0"/>
    <n v="0"/>
    <n v="0.01"/>
    <n v="8.9600000000000009"/>
    <n v="40.29"/>
    <n v="4.32"/>
    <n v="0"/>
    <n v="4.25"/>
    <n v="35.090000000000003"/>
    <n v="15.91"/>
    <n v="0"/>
    <n v="0"/>
    <n v="0"/>
    <n v="0.14000000000000001"/>
    <n v="4"/>
    <x v="0"/>
  </r>
  <r>
    <x v="11"/>
    <x v="62"/>
    <x v="4"/>
    <x v="13"/>
    <n v="1"/>
    <n v="0"/>
    <n v="0"/>
    <n v="0"/>
    <n v="0"/>
    <n v="0"/>
    <n v="0"/>
    <m/>
    <m/>
    <m/>
    <m/>
    <m/>
    <m/>
    <m/>
    <m/>
    <m/>
    <m/>
    <m/>
    <m/>
    <m/>
    <m/>
    <m/>
    <m/>
    <m/>
    <m/>
    <m/>
    <m/>
    <m/>
    <m/>
    <m/>
    <m/>
    <m/>
    <m/>
    <m/>
    <m/>
    <n v="4"/>
    <x v="0"/>
  </r>
  <r>
    <x v="5"/>
    <x v="62"/>
    <x v="4"/>
    <x v="126"/>
    <n v="148"/>
    <n v="10"/>
    <n v="1"/>
    <n v="4"/>
    <n v="1"/>
    <n v="0"/>
    <n v="34"/>
    <s v="Sabigh Masood"/>
    <s v="Collections Group"/>
    <d v="2025-10-29T00:00:00"/>
    <d v="1899-12-30T12:59:56"/>
    <d v="1899-12-30T22:01:24"/>
    <n v="9.0299999999999994"/>
    <n v="8.16"/>
    <n v="5.52"/>
    <n v="0.28000000000000003"/>
    <n v="0"/>
    <n v="0.42"/>
    <n v="1.29"/>
    <n v="0.6"/>
    <n v="0"/>
    <n v="0"/>
    <n v="0.05"/>
    <n v="0.01"/>
    <n v="8.16"/>
    <n v="67.650000000000006"/>
    <n v="3.37"/>
    <n v="0"/>
    <n v="5.19"/>
    <n v="15.82"/>
    <n v="7.31"/>
    <n v="0"/>
    <n v="0"/>
    <n v="0.59"/>
    <n v="7.0000000000000007E-2"/>
    <n v="4"/>
    <x v="0"/>
  </r>
  <r>
    <x v="6"/>
    <x v="62"/>
    <x v="4"/>
    <x v="127"/>
    <n v="0"/>
    <n v="0"/>
    <n v="0"/>
    <n v="0"/>
    <n v="0"/>
    <n v="0"/>
    <n v="0"/>
    <m/>
    <m/>
    <m/>
    <m/>
    <m/>
    <m/>
    <m/>
    <m/>
    <m/>
    <m/>
    <m/>
    <m/>
    <m/>
    <m/>
    <m/>
    <m/>
    <m/>
    <m/>
    <m/>
    <m/>
    <m/>
    <m/>
    <m/>
    <m/>
    <m/>
    <m/>
    <m/>
    <m/>
    <n v="4"/>
    <x v="0"/>
  </r>
  <r>
    <x v="0"/>
    <x v="63"/>
    <x v="4"/>
    <x v="33"/>
    <n v="77"/>
    <n v="9"/>
    <n v="4"/>
    <n v="3"/>
    <n v="0"/>
    <n v="0"/>
    <n v="17"/>
    <s v="Anais Orozco"/>
    <s v="Collections Group"/>
    <d v="2025-10-28T00:00:00"/>
    <d v="1899-12-30T13:02:07"/>
    <d v="1899-12-30T22:00:03"/>
    <n v="8.9700000000000006"/>
    <n v="8.0299999999999994"/>
    <n v="5.48"/>
    <n v="0.62"/>
    <n v="0"/>
    <n v="0.28000000000000003"/>
    <n v="1.31"/>
    <n v="0.33"/>
    <n v="0"/>
    <n v="0"/>
    <n v="0"/>
    <n v="0.02"/>
    <n v="8.0299999999999994"/>
    <n v="68.260000000000005"/>
    <n v="7.67"/>
    <n v="0"/>
    <n v="3.46"/>
    <n v="16.29"/>
    <n v="4.0999999999999996"/>
    <n v="0"/>
    <n v="0"/>
    <n v="0"/>
    <n v="0.23"/>
    <n v="3"/>
    <x v="1"/>
  </r>
  <r>
    <x v="1"/>
    <x v="63"/>
    <x v="4"/>
    <x v="128"/>
    <n v="117"/>
    <n v="18"/>
    <n v="6"/>
    <n v="16"/>
    <n v="0"/>
    <n v="0"/>
    <n v="15"/>
    <s v="Derice Warnsley"/>
    <s v="Collections Group"/>
    <d v="2025-10-28T00:00:00"/>
    <d v="1899-12-30T13:00:30"/>
    <d v="1899-12-30T22:14:58"/>
    <n v="9.23"/>
    <n v="9.24"/>
    <n v="6.19"/>
    <n v="0.09"/>
    <n v="0"/>
    <n v="0.09"/>
    <n v="1.36"/>
    <n v="1.51"/>
    <n v="0"/>
    <n v="0"/>
    <n v="0"/>
    <n v="0.01"/>
    <n v="9.24"/>
    <n v="66.989999999999995"/>
    <n v="0.93"/>
    <n v="0"/>
    <n v="0.95"/>
    <n v="14.76"/>
    <n v="16.29"/>
    <n v="0"/>
    <n v="0"/>
    <n v="0"/>
    <n v="0.08"/>
    <n v="3"/>
    <x v="1"/>
  </r>
  <r>
    <x v="2"/>
    <x v="63"/>
    <x v="4"/>
    <x v="45"/>
    <n v="107"/>
    <n v="5"/>
    <n v="6"/>
    <n v="1"/>
    <n v="1"/>
    <n v="3"/>
    <n v="12"/>
    <s v="Isiah Thomas"/>
    <s v="Collections Group"/>
    <d v="2025-10-28T00:00:00"/>
    <d v="1899-12-30T13:02:40"/>
    <d v="1899-12-30T22:00:10"/>
    <n v="8.9700000000000006"/>
    <n v="8.9499999999999993"/>
    <n v="6.62"/>
    <n v="0.45"/>
    <n v="0"/>
    <n v="0.09"/>
    <n v="0.28000000000000003"/>
    <n v="1.51"/>
    <n v="0"/>
    <n v="0"/>
    <n v="0"/>
    <n v="0.01"/>
    <n v="8.9499999999999993"/>
    <n v="73.94"/>
    <n v="4.99"/>
    <n v="0"/>
    <n v="0.99"/>
    <n v="3.13"/>
    <n v="16.850000000000001"/>
    <n v="0.01"/>
    <n v="0"/>
    <n v="0"/>
    <n v="0.11"/>
    <n v="3"/>
    <x v="1"/>
  </r>
  <r>
    <x v="3"/>
    <x v="63"/>
    <x v="4"/>
    <x v="125"/>
    <n v="146"/>
    <n v="11"/>
    <n v="7"/>
    <n v="5"/>
    <n v="0"/>
    <n v="2"/>
    <n v="24"/>
    <s v="Jerrod Coleman"/>
    <s v="Collections Group"/>
    <d v="2025-10-28T00:00:00"/>
    <d v="1899-12-30T13:01:39"/>
    <d v="1899-12-30T22:21:47"/>
    <n v="9.33"/>
    <n v="9.34"/>
    <n v="6.12"/>
    <n v="0.4"/>
    <n v="0"/>
    <n v="0.35"/>
    <n v="1.02"/>
    <n v="1.44"/>
    <n v="0"/>
    <n v="0"/>
    <n v="0"/>
    <n v="0"/>
    <n v="9.34"/>
    <n v="65.510000000000005"/>
    <n v="4.3099999999999996"/>
    <n v="0"/>
    <n v="3.74"/>
    <n v="10.95"/>
    <n v="15.45"/>
    <n v="0"/>
    <n v="0"/>
    <n v="0"/>
    <n v="0.04"/>
    <n v="3"/>
    <x v="1"/>
  </r>
  <r>
    <x v="5"/>
    <x v="63"/>
    <x v="4"/>
    <x v="129"/>
    <n v="158"/>
    <n v="9"/>
    <n v="7"/>
    <n v="8"/>
    <n v="0"/>
    <n v="0"/>
    <n v="37"/>
    <s v="Sabigh Masood"/>
    <s v="Collections Group"/>
    <d v="2025-10-28T00:00:00"/>
    <d v="1899-12-30T13:00:09"/>
    <d v="1899-12-30T22:08:55"/>
    <n v="9.1300000000000008"/>
    <n v="9.15"/>
    <n v="5.58"/>
    <n v="0.45"/>
    <n v="0"/>
    <n v="0.44"/>
    <n v="1.04"/>
    <n v="1.64"/>
    <n v="0"/>
    <n v="0"/>
    <n v="0"/>
    <n v="0"/>
    <n v="9.15"/>
    <n v="60.99"/>
    <n v="4.9000000000000004"/>
    <n v="0"/>
    <n v="4.8499999999999996"/>
    <n v="11.32"/>
    <n v="17.899999999999999"/>
    <n v="0"/>
    <n v="0"/>
    <n v="0"/>
    <n v="0.04"/>
    <n v="3"/>
    <x v="1"/>
  </r>
  <r>
    <x v="6"/>
    <x v="63"/>
    <x v="4"/>
    <x v="130"/>
    <n v="0"/>
    <n v="0"/>
    <n v="0"/>
    <n v="0"/>
    <n v="0"/>
    <n v="0"/>
    <n v="0"/>
    <m/>
    <m/>
    <m/>
    <m/>
    <m/>
    <m/>
    <m/>
    <m/>
    <m/>
    <m/>
    <m/>
    <m/>
    <m/>
    <m/>
    <m/>
    <m/>
    <m/>
    <m/>
    <m/>
    <m/>
    <m/>
    <m/>
    <m/>
    <m/>
    <m/>
    <m/>
    <m/>
    <m/>
    <n v="3"/>
    <x v="1"/>
  </r>
  <r>
    <x v="0"/>
    <x v="64"/>
    <x v="4"/>
    <x v="22"/>
    <n v="80"/>
    <n v="5"/>
    <n v="4"/>
    <n v="4"/>
    <n v="0"/>
    <n v="3"/>
    <n v="15"/>
    <s v="Anais Orozco"/>
    <s v="Collections Group"/>
    <d v="2025-10-27T00:00:00"/>
    <d v="1899-12-30T13:02:42"/>
    <d v="1899-12-30T22:00:35"/>
    <n v="8.9700000000000006"/>
    <n v="8.09"/>
    <n v="4.8099999999999996"/>
    <n v="0.32"/>
    <n v="0"/>
    <n v="0.28999999999999998"/>
    <n v="1.5"/>
    <n v="0.64"/>
    <n v="0.52"/>
    <n v="0"/>
    <n v="0"/>
    <n v="0.01"/>
    <n v="8.09"/>
    <n v="59.49"/>
    <n v="3.9"/>
    <n v="0"/>
    <n v="3.56"/>
    <n v="18.57"/>
    <n v="7.96"/>
    <n v="6.37"/>
    <n v="0"/>
    <n v="0"/>
    <n v="0.16"/>
    <n v="2"/>
    <x v="2"/>
  </r>
  <r>
    <x v="1"/>
    <x v="64"/>
    <x v="4"/>
    <x v="131"/>
    <n v="121"/>
    <n v="13"/>
    <n v="12"/>
    <n v="6"/>
    <n v="0"/>
    <n v="0"/>
    <n v="19"/>
    <s v="Derice Warnsley"/>
    <s v="Collections Group"/>
    <d v="2025-10-27T00:00:00"/>
    <d v="1899-12-30T12:59:49"/>
    <d v="1899-12-30T22:00:10"/>
    <n v="9.02"/>
    <n v="9"/>
    <n v="5.77"/>
    <n v="0.09"/>
    <n v="0"/>
    <n v="0.09"/>
    <n v="1.55"/>
    <n v="1.5"/>
    <n v="0"/>
    <n v="0"/>
    <n v="0"/>
    <n v="0.01"/>
    <n v="9"/>
    <n v="64.099999999999994"/>
    <n v="0.97"/>
    <n v="0"/>
    <n v="0.97"/>
    <n v="17.170000000000002"/>
    <n v="16.63"/>
    <n v="0"/>
    <n v="0"/>
    <n v="0"/>
    <n v="0.16"/>
    <n v="2"/>
    <x v="2"/>
  </r>
  <r>
    <x v="3"/>
    <x v="64"/>
    <x v="4"/>
    <x v="132"/>
    <n v="167"/>
    <n v="12"/>
    <n v="12"/>
    <n v="2"/>
    <n v="0"/>
    <n v="3"/>
    <n v="30"/>
    <s v="Jerrod Coleman"/>
    <s v="Collections Group"/>
    <d v="2025-10-27T00:00:00"/>
    <d v="1899-12-30T13:01:04"/>
    <d v="1899-12-30T22:07:01"/>
    <n v="9.1"/>
    <n v="9.1"/>
    <n v="5.47"/>
    <n v="0.39"/>
    <n v="0"/>
    <n v="0.18"/>
    <n v="1.61"/>
    <n v="1.44"/>
    <n v="0"/>
    <n v="0"/>
    <n v="0"/>
    <n v="0"/>
    <n v="9.1"/>
    <n v="60.17"/>
    <n v="4.3099999999999996"/>
    <n v="0"/>
    <n v="1.93"/>
    <n v="17.68"/>
    <n v="15.87"/>
    <n v="0"/>
    <n v="0"/>
    <n v="0"/>
    <n v="0.04"/>
    <n v="2"/>
    <x v="2"/>
  </r>
  <r>
    <x v="5"/>
    <x v="64"/>
    <x v="4"/>
    <x v="133"/>
    <n v="142"/>
    <n v="5"/>
    <n v="3"/>
    <n v="4"/>
    <n v="0"/>
    <n v="0"/>
    <n v="21"/>
    <s v="Sabigh Masood"/>
    <s v="Collections Group"/>
    <d v="2025-10-27T00:00:00"/>
    <d v="1899-12-30T13:00:07"/>
    <d v="1899-12-30T22:10:20"/>
    <n v="9.17"/>
    <n v="9.1"/>
    <n v="5.87"/>
    <n v="0.25"/>
    <n v="0"/>
    <n v="0.38"/>
    <n v="1.1299999999999999"/>
    <n v="1.46"/>
    <n v="0"/>
    <n v="0"/>
    <n v="0"/>
    <n v="0.01"/>
    <n v="9.1"/>
    <n v="64.489999999999995"/>
    <n v="2.76"/>
    <n v="0"/>
    <n v="4.17"/>
    <n v="12.41"/>
    <n v="16.079999999999998"/>
    <n v="0"/>
    <n v="0"/>
    <n v="0"/>
    <n v="0.09"/>
    <n v="2"/>
    <x v="2"/>
  </r>
  <r>
    <x v="6"/>
    <x v="64"/>
    <x v="4"/>
    <x v="134"/>
    <n v="0"/>
    <n v="0"/>
    <n v="0"/>
    <n v="0"/>
    <n v="0"/>
    <n v="0"/>
    <n v="0"/>
    <m/>
    <m/>
    <m/>
    <m/>
    <m/>
    <m/>
    <m/>
    <m/>
    <m/>
    <m/>
    <m/>
    <m/>
    <m/>
    <m/>
    <m/>
    <m/>
    <m/>
    <m/>
    <m/>
    <m/>
    <m/>
    <m/>
    <m/>
    <m/>
    <m/>
    <m/>
    <m/>
    <m/>
    <n v="2"/>
    <x v="2"/>
  </r>
  <r>
    <x v="1"/>
    <x v="65"/>
    <x v="4"/>
    <x v="104"/>
    <n v="41"/>
    <n v="12"/>
    <n v="0"/>
    <n v="7"/>
    <n v="0"/>
    <n v="3"/>
    <n v="14"/>
    <s v="Derice Warnsley"/>
    <s v="Collections Group"/>
    <d v="2025-10-24T00:00:00"/>
    <d v="1899-12-30T13:01:16"/>
    <d v="1899-12-30T22:00:02"/>
    <n v="8.98"/>
    <n v="8.98"/>
    <n v="1.81"/>
    <n v="0.08"/>
    <n v="0"/>
    <n v="0.05"/>
    <n v="5.54"/>
    <n v="1.49"/>
    <n v="0"/>
    <n v="0"/>
    <n v="0"/>
    <n v="0"/>
    <n v="8.98"/>
    <n v="20.21"/>
    <n v="0.9"/>
    <n v="0"/>
    <n v="0.56999999999999995"/>
    <n v="61.73"/>
    <n v="16.559999999999999"/>
    <n v="0"/>
    <n v="0"/>
    <n v="0"/>
    <n v="0.03"/>
    <n v="6"/>
    <x v="3"/>
  </r>
  <r>
    <x v="2"/>
    <x v="65"/>
    <x v="4"/>
    <x v="108"/>
    <n v="50"/>
    <n v="2"/>
    <n v="0"/>
    <n v="15"/>
    <n v="0"/>
    <n v="0"/>
    <n v="25"/>
    <s v="Isiah Thomas"/>
    <s v="Collections Group"/>
    <d v="2025-10-24T00:00:00"/>
    <d v="1899-12-30T13:01:45"/>
    <d v="1899-12-30T22:00:01"/>
    <n v="8.98"/>
    <n v="8.9700000000000006"/>
    <n v="1.78"/>
    <n v="0.98"/>
    <n v="0"/>
    <n v="0.1"/>
    <n v="4.5999999999999996"/>
    <n v="1.51"/>
    <n v="0"/>
    <n v="0"/>
    <n v="0"/>
    <n v="0"/>
    <n v="8.9700000000000006"/>
    <n v="19.829999999999998"/>
    <n v="10.93"/>
    <n v="0"/>
    <n v="1.07"/>
    <n v="51.25"/>
    <n v="16.88"/>
    <n v="0"/>
    <n v="0"/>
    <n v="0"/>
    <n v="0.05"/>
    <n v="6"/>
    <x v="3"/>
  </r>
  <r>
    <x v="3"/>
    <x v="65"/>
    <x v="4"/>
    <x v="52"/>
    <n v="57"/>
    <n v="5"/>
    <n v="3"/>
    <n v="2"/>
    <n v="0"/>
    <n v="2"/>
    <n v="31"/>
    <s v="Jerrod Coleman"/>
    <s v="Collections Group"/>
    <d v="2025-10-24T00:00:00"/>
    <d v="1899-12-30T13:00:13"/>
    <d v="1899-12-30T21:59:05"/>
    <n v="8.98"/>
    <n v="8.98"/>
    <n v="1.33"/>
    <n v="0.53"/>
    <n v="0"/>
    <n v="0.03"/>
    <n v="5.6"/>
    <n v="1.48"/>
    <n v="0"/>
    <n v="0"/>
    <n v="0"/>
    <n v="0.01"/>
    <n v="8.98"/>
    <n v="14.84"/>
    <n v="5.95"/>
    <n v="0"/>
    <n v="0.3"/>
    <n v="62.37"/>
    <n v="16.48"/>
    <n v="0"/>
    <n v="0"/>
    <n v="0"/>
    <n v="7.0000000000000007E-2"/>
    <n v="6"/>
    <x v="3"/>
  </r>
  <r>
    <x v="5"/>
    <x v="65"/>
    <x v="4"/>
    <x v="75"/>
    <n v="78"/>
    <n v="12"/>
    <n v="0"/>
    <n v="4"/>
    <n v="0"/>
    <n v="0"/>
    <n v="31"/>
    <s v="Sabigh Masood"/>
    <s v="Collections Group"/>
    <d v="2025-10-24T00:00:00"/>
    <d v="1899-12-30T12:59:39"/>
    <d v="1899-12-30T22:00:57"/>
    <n v="9.02"/>
    <n v="9.02"/>
    <n v="1.99"/>
    <n v="0.31"/>
    <n v="0"/>
    <n v="0.28999999999999998"/>
    <n v="4.4800000000000004"/>
    <n v="1.95"/>
    <n v="0"/>
    <n v="0"/>
    <n v="0"/>
    <n v="0"/>
    <n v="9.02"/>
    <n v="22.03"/>
    <n v="3.48"/>
    <n v="0"/>
    <n v="3.24"/>
    <n v="49.66"/>
    <n v="21.56"/>
    <n v="0"/>
    <n v="0"/>
    <n v="0"/>
    <n v="0.04"/>
    <n v="6"/>
    <x v="3"/>
  </r>
  <r>
    <x v="6"/>
    <x v="65"/>
    <x v="4"/>
    <x v="135"/>
    <n v="0"/>
    <n v="0"/>
    <n v="0"/>
    <n v="0"/>
    <n v="0"/>
    <n v="0"/>
    <n v="0"/>
    <m/>
    <m/>
    <m/>
    <m/>
    <m/>
    <m/>
    <m/>
    <m/>
    <m/>
    <m/>
    <m/>
    <m/>
    <m/>
    <m/>
    <m/>
    <m/>
    <m/>
    <m/>
    <m/>
    <m/>
    <m/>
    <m/>
    <m/>
    <m/>
    <m/>
    <m/>
    <m/>
    <m/>
    <n v="6"/>
    <x v="3"/>
  </r>
  <r>
    <x v="0"/>
    <x v="66"/>
    <x v="4"/>
    <x v="118"/>
    <n v="57"/>
    <n v="2"/>
    <n v="3"/>
    <n v="6"/>
    <n v="0"/>
    <n v="8"/>
    <n v="23"/>
    <s v="Anais Orozco"/>
    <s v="Collections Group"/>
    <d v="2025-10-23T00:00:00"/>
    <d v="1899-12-30T12:58:53"/>
    <d v="1899-12-30T22:00:03"/>
    <n v="9.0299999999999994"/>
    <n v="7.33"/>
    <n v="1.03"/>
    <n v="0.25"/>
    <n v="0"/>
    <n v="0.12"/>
    <n v="5.49"/>
    <n v="0.41"/>
    <n v="0"/>
    <n v="0"/>
    <n v="0"/>
    <n v="0.03"/>
    <n v="7.33"/>
    <n v="14.01"/>
    <n v="3.4"/>
    <n v="0"/>
    <n v="1.63"/>
    <n v="74.98"/>
    <n v="5.53"/>
    <n v="0"/>
    <n v="0"/>
    <n v="0"/>
    <n v="0.44"/>
    <n v="5"/>
    <x v="4"/>
  </r>
  <r>
    <x v="1"/>
    <x v="66"/>
    <x v="4"/>
    <x v="18"/>
    <n v="67"/>
    <n v="4"/>
    <n v="2"/>
    <n v="4"/>
    <n v="2"/>
    <n v="2"/>
    <n v="21"/>
    <s v="Derice Warnsley"/>
    <s v="Collections Group"/>
    <d v="2025-10-23T00:00:00"/>
    <d v="1899-12-30T13:00:14"/>
    <d v="1899-12-30T22:00:05"/>
    <n v="9"/>
    <n v="9"/>
    <n v="1.59"/>
    <n v="0.1"/>
    <n v="0"/>
    <n v="0.09"/>
    <n v="5.59"/>
    <n v="1.5"/>
    <n v="0.14000000000000001"/>
    <n v="0"/>
    <n v="0"/>
    <n v="0"/>
    <n v="9"/>
    <n v="17.64"/>
    <n v="1.07"/>
    <n v="0"/>
    <n v="0.97"/>
    <n v="62.09"/>
    <n v="16.66"/>
    <n v="1.54"/>
    <n v="0"/>
    <n v="0"/>
    <n v="0.04"/>
    <n v="5"/>
    <x v="4"/>
  </r>
  <r>
    <x v="2"/>
    <x v="66"/>
    <x v="4"/>
    <x v="114"/>
    <n v="30"/>
    <n v="2"/>
    <n v="0"/>
    <n v="4"/>
    <n v="0"/>
    <n v="0"/>
    <n v="10"/>
    <s v="Isiah Thomas"/>
    <s v="Collections Group"/>
    <d v="2025-10-23T00:00:00"/>
    <d v="1899-12-30T13:01:13"/>
    <d v="1899-12-30T22:00:03"/>
    <n v="8.98"/>
    <n v="8.98"/>
    <n v="1.49"/>
    <n v="0.71"/>
    <n v="0"/>
    <n v="0.04"/>
    <n v="4.32"/>
    <n v="1.48"/>
    <n v="0.93"/>
    <n v="0"/>
    <n v="0"/>
    <n v="0"/>
    <n v="8.98"/>
    <n v="16.57"/>
    <n v="7.9"/>
    <n v="0"/>
    <n v="0.45"/>
    <n v="48.11"/>
    <n v="16.53"/>
    <n v="10.4"/>
    <n v="0"/>
    <n v="0"/>
    <n v="0.03"/>
    <n v="5"/>
    <x v="4"/>
  </r>
  <r>
    <x v="3"/>
    <x v="66"/>
    <x v="4"/>
    <x v="52"/>
    <n v="63"/>
    <n v="4"/>
    <n v="8"/>
    <n v="6"/>
    <n v="0"/>
    <n v="0"/>
    <n v="27"/>
    <s v="Jerrod Coleman"/>
    <s v="Collections Group"/>
    <d v="2025-10-23T00:00:00"/>
    <d v="1899-12-30T13:01:20"/>
    <d v="1899-12-30T22:00:43"/>
    <n v="8.98"/>
    <n v="8.99"/>
    <n v="1.63"/>
    <n v="0.68"/>
    <n v="0"/>
    <n v="0.02"/>
    <n v="5.17"/>
    <n v="1.43"/>
    <n v="0.05"/>
    <n v="0"/>
    <n v="0"/>
    <n v="0.01"/>
    <n v="8.99"/>
    <n v="18.18"/>
    <n v="7.53"/>
    <n v="0"/>
    <n v="0.22"/>
    <n v="57.48"/>
    <n v="15.92"/>
    <n v="0.56999999999999995"/>
    <n v="0"/>
    <n v="0"/>
    <n v="0.11"/>
    <n v="5"/>
    <x v="4"/>
  </r>
  <r>
    <x v="5"/>
    <x v="66"/>
    <x v="4"/>
    <x v="42"/>
    <n v="102"/>
    <n v="7"/>
    <n v="6"/>
    <n v="3"/>
    <n v="1"/>
    <n v="2"/>
    <n v="29"/>
    <s v="Sabigh Masood"/>
    <s v="Collections Group"/>
    <d v="2025-10-23T00:00:00"/>
    <d v="1899-12-30T12:59:49"/>
    <d v="1899-12-30T22:00:54"/>
    <n v="9.02"/>
    <n v="9.02"/>
    <n v="2.74"/>
    <n v="0.26"/>
    <n v="0"/>
    <n v="0.44"/>
    <n v="3.76"/>
    <n v="1.48"/>
    <n v="0.34"/>
    <n v="0"/>
    <n v="0"/>
    <n v="0"/>
    <n v="9.02"/>
    <n v="30.38"/>
    <n v="2.89"/>
    <n v="0"/>
    <n v="4.84"/>
    <n v="41.66"/>
    <n v="16.45"/>
    <n v="3.75"/>
    <n v="0"/>
    <n v="0"/>
    <n v="0.03"/>
    <n v="5"/>
    <x v="4"/>
  </r>
  <r>
    <x v="6"/>
    <x v="66"/>
    <x v="4"/>
    <x v="136"/>
    <n v="0"/>
    <n v="0"/>
    <n v="0"/>
    <n v="0"/>
    <n v="0"/>
    <n v="0"/>
    <n v="0"/>
    <m/>
    <m/>
    <m/>
    <m/>
    <m/>
    <m/>
    <m/>
    <m/>
    <m/>
    <m/>
    <m/>
    <m/>
    <m/>
    <m/>
    <m/>
    <m/>
    <m/>
    <m/>
    <m/>
    <m/>
    <m/>
    <m/>
    <m/>
    <m/>
    <m/>
    <m/>
    <m/>
    <m/>
    <n v="5"/>
    <x v="4"/>
  </r>
  <r>
    <x v="0"/>
    <x v="67"/>
    <x v="4"/>
    <x v="22"/>
    <n v="115"/>
    <n v="4"/>
    <n v="12"/>
    <n v="4"/>
    <n v="0"/>
    <n v="0"/>
    <n v="31"/>
    <s v="Anais Orozco"/>
    <s v="Collections Group"/>
    <d v="2025-10-22T00:00:00"/>
    <d v="1899-12-30T13:00:30"/>
    <d v="1899-12-30T22:00:09"/>
    <n v="9"/>
    <n v="8.14"/>
    <n v="4.2699999999999996"/>
    <n v="0.61"/>
    <n v="0"/>
    <n v="0.15"/>
    <n v="2.4500000000000002"/>
    <n v="0.59"/>
    <n v="0"/>
    <n v="0"/>
    <n v="0"/>
    <n v="0.06"/>
    <n v="8.14"/>
    <n v="52.49"/>
    <n v="7.53"/>
    <n v="0"/>
    <n v="1.87"/>
    <n v="30.07"/>
    <n v="7.28"/>
    <n v="0"/>
    <n v="0"/>
    <n v="0"/>
    <n v="0.76"/>
    <n v="4"/>
    <x v="0"/>
  </r>
  <r>
    <x v="1"/>
    <x v="67"/>
    <x v="4"/>
    <x v="9"/>
    <n v="136"/>
    <n v="12"/>
    <n v="5"/>
    <n v="12"/>
    <n v="1"/>
    <n v="0"/>
    <n v="65"/>
    <s v="Derice Warnsley"/>
    <s v="Collections Group"/>
    <d v="2025-10-22T00:00:00"/>
    <d v="1899-12-30T13:00:30"/>
    <d v="1899-12-30T22:00:06"/>
    <n v="9"/>
    <n v="8.99"/>
    <n v="3.31"/>
    <n v="0.12"/>
    <n v="0"/>
    <n v="0.1"/>
    <n v="3.97"/>
    <n v="1.5"/>
    <n v="0"/>
    <n v="0"/>
    <n v="0"/>
    <n v="0"/>
    <n v="8.99"/>
    <n v="36.799999999999997"/>
    <n v="1.37"/>
    <n v="0"/>
    <n v="1.07"/>
    <n v="44.09"/>
    <n v="16.63"/>
    <n v="0"/>
    <n v="0"/>
    <n v="0"/>
    <n v="0.03"/>
    <n v="4"/>
    <x v="0"/>
  </r>
  <r>
    <x v="2"/>
    <x v="67"/>
    <x v="4"/>
    <x v="63"/>
    <n v="116"/>
    <n v="1"/>
    <n v="1"/>
    <n v="6"/>
    <n v="0"/>
    <n v="0"/>
    <n v="16"/>
    <s v="Isiah Thomas"/>
    <s v="Collections Group"/>
    <d v="2025-10-22T00:00:00"/>
    <d v="1899-12-30T13:02:21"/>
    <d v="1899-12-30T22:00:03"/>
    <n v="8.9700000000000006"/>
    <n v="8.9600000000000009"/>
    <n v="5.24"/>
    <n v="0.93"/>
    <n v="0"/>
    <n v="0.12"/>
    <n v="1.1299999999999999"/>
    <n v="1.54"/>
    <n v="0"/>
    <n v="0"/>
    <n v="0"/>
    <n v="0"/>
    <n v="8.9600000000000009"/>
    <n v="58.53"/>
    <n v="10.33"/>
    <n v="0"/>
    <n v="1.38"/>
    <n v="12.58"/>
    <n v="17.149999999999999"/>
    <n v="0"/>
    <n v="0"/>
    <n v="0"/>
    <n v="0.04"/>
    <n v="4"/>
    <x v="0"/>
  </r>
  <r>
    <x v="3"/>
    <x v="67"/>
    <x v="4"/>
    <x v="137"/>
    <n v="155"/>
    <n v="2"/>
    <n v="16"/>
    <n v="1"/>
    <n v="0"/>
    <n v="1"/>
    <n v="26"/>
    <s v="Jerrod Coleman"/>
    <s v="Collections Group"/>
    <d v="2025-10-22T00:00:00"/>
    <d v="1899-12-30T13:00:20"/>
    <d v="1899-12-30T22:01:33"/>
    <n v="9.02"/>
    <n v="8.65"/>
    <n v="4.96"/>
    <n v="0.75"/>
    <n v="0"/>
    <n v="0.18"/>
    <n v="1.67"/>
    <n v="1.08"/>
    <n v="0"/>
    <n v="0"/>
    <n v="0"/>
    <n v="0.01"/>
    <n v="8.65"/>
    <n v="57.3"/>
    <n v="8.67"/>
    <n v="0"/>
    <n v="2.13"/>
    <n v="19.29"/>
    <n v="12.53"/>
    <n v="0"/>
    <n v="0"/>
    <n v="0"/>
    <n v="0.09"/>
    <n v="4"/>
    <x v="0"/>
  </r>
  <r>
    <x v="5"/>
    <x v="67"/>
    <x v="4"/>
    <x v="138"/>
    <n v="153"/>
    <n v="4"/>
    <n v="6"/>
    <n v="1"/>
    <n v="1"/>
    <n v="1"/>
    <n v="37"/>
    <s v="Sabigh Masood"/>
    <s v="Collections Group"/>
    <d v="2025-10-22T00:00:00"/>
    <d v="1899-12-30T13:00:29"/>
    <d v="1899-12-30T22:06:05"/>
    <n v="9.1"/>
    <n v="9.09"/>
    <n v="4.37"/>
    <n v="0.34"/>
    <n v="0"/>
    <n v="0.36"/>
    <n v="2.6"/>
    <n v="1.42"/>
    <n v="0.01"/>
    <n v="0"/>
    <n v="0"/>
    <n v="0.01"/>
    <n v="9.09"/>
    <n v="48.01"/>
    <n v="3.7"/>
    <n v="0"/>
    <n v="3.9"/>
    <n v="28.62"/>
    <n v="15.58"/>
    <n v="0.13"/>
    <n v="0"/>
    <n v="0"/>
    <n v="0.06"/>
    <n v="4"/>
    <x v="0"/>
  </r>
  <r>
    <x v="6"/>
    <x v="67"/>
    <x v="4"/>
    <x v="139"/>
    <n v="0"/>
    <n v="0"/>
    <n v="0"/>
    <n v="0"/>
    <n v="0"/>
    <n v="0"/>
    <n v="0"/>
    <m/>
    <m/>
    <m/>
    <m/>
    <m/>
    <m/>
    <m/>
    <m/>
    <m/>
    <m/>
    <m/>
    <m/>
    <m/>
    <m/>
    <m/>
    <m/>
    <m/>
    <m/>
    <m/>
    <m/>
    <m/>
    <m/>
    <m/>
    <m/>
    <m/>
    <m/>
    <m/>
    <m/>
    <n v="4"/>
    <x v="0"/>
  </r>
  <r>
    <x v="0"/>
    <x v="68"/>
    <x v="4"/>
    <x v="45"/>
    <n v="127"/>
    <n v="5"/>
    <n v="7"/>
    <n v="5"/>
    <n v="0"/>
    <n v="1"/>
    <n v="28"/>
    <s v="Anais Orozco"/>
    <s v="Collections Group"/>
    <d v="2025-10-21T00:00:00"/>
    <d v="1899-12-30T13:00:57"/>
    <d v="1899-12-30T22:03:46"/>
    <n v="9.0500000000000007"/>
    <n v="8.07"/>
    <n v="5.28"/>
    <n v="0.24"/>
    <n v="0"/>
    <n v="0.14000000000000001"/>
    <n v="1.85"/>
    <n v="0.54"/>
    <n v="0"/>
    <n v="0"/>
    <n v="0"/>
    <n v="0.01"/>
    <n v="8.07"/>
    <n v="65.39"/>
    <n v="3.01"/>
    <n v="0"/>
    <n v="1.78"/>
    <n v="22.89"/>
    <n v="6.75"/>
    <n v="0"/>
    <n v="0"/>
    <n v="0"/>
    <n v="0.18"/>
    <n v="3"/>
    <x v="1"/>
  </r>
  <r>
    <x v="1"/>
    <x v="68"/>
    <x v="4"/>
    <x v="140"/>
    <n v="223"/>
    <n v="15"/>
    <n v="12"/>
    <n v="13"/>
    <n v="0"/>
    <n v="0"/>
    <n v="53"/>
    <s v="Derice Warnsley"/>
    <s v="Collections Group"/>
    <d v="2025-10-21T00:00:00"/>
    <d v="1899-12-30T13:00:20"/>
    <d v="1899-12-30T22:00:03"/>
    <n v="9"/>
    <n v="8.99"/>
    <n v="5.56"/>
    <n v="0.05"/>
    <n v="0"/>
    <n v="0.1"/>
    <n v="2.02"/>
    <n v="1.24"/>
    <n v="0"/>
    <n v="0"/>
    <n v="0"/>
    <n v="0"/>
    <n v="8.99"/>
    <n v="61.85"/>
    <n v="0.61"/>
    <n v="0"/>
    <n v="1.1599999999999999"/>
    <n v="22.48"/>
    <n v="13.84"/>
    <n v="0"/>
    <n v="0"/>
    <n v="0"/>
    <n v="0.05"/>
    <n v="3"/>
    <x v="1"/>
  </r>
  <r>
    <x v="2"/>
    <x v="68"/>
    <x v="4"/>
    <x v="141"/>
    <n v="120"/>
    <n v="7"/>
    <n v="3"/>
    <n v="5"/>
    <n v="0"/>
    <n v="1"/>
    <n v="8"/>
    <s v="Isiah Thomas"/>
    <s v="Collections Group"/>
    <d v="2025-10-21T00:00:00"/>
    <d v="1899-12-30T13:02:08"/>
    <d v="1899-12-30T22:00:27"/>
    <n v="8.9700000000000006"/>
    <n v="8.9700000000000006"/>
    <n v="6.64"/>
    <n v="0.26"/>
    <n v="0"/>
    <n v="0.12"/>
    <n v="0"/>
    <n v="1.48"/>
    <n v="0.45"/>
    <n v="0"/>
    <n v="0"/>
    <n v="0"/>
    <n v="8.9700000000000006"/>
    <n v="74.05"/>
    <n v="2.92"/>
    <n v="0"/>
    <n v="1.38"/>
    <n v="0.02"/>
    <n v="16.54"/>
    <n v="5.0599999999999996"/>
    <n v="0"/>
    <n v="0"/>
    <n v="0.03"/>
    <n v="3"/>
    <x v="1"/>
  </r>
  <r>
    <x v="3"/>
    <x v="68"/>
    <x v="4"/>
    <x v="138"/>
    <n v="149"/>
    <n v="3"/>
    <n v="14"/>
    <n v="2"/>
    <n v="0"/>
    <n v="3"/>
    <n v="24"/>
    <s v="Jerrod Coleman"/>
    <s v="Collections Group"/>
    <d v="2025-10-21T00:00:00"/>
    <d v="1899-12-30T13:00:17"/>
    <d v="1899-12-30T19:30:01"/>
    <n v="6.5"/>
    <n v="6.49"/>
    <n v="3.21"/>
    <n v="0.24"/>
    <n v="0"/>
    <n v="0.24"/>
    <n v="1.36"/>
    <n v="1.45"/>
    <n v="0"/>
    <n v="0"/>
    <n v="0"/>
    <n v="0"/>
    <n v="6.49"/>
    <n v="49.43"/>
    <n v="3.67"/>
    <n v="0"/>
    <n v="3.67"/>
    <n v="20.87"/>
    <n v="22.32"/>
    <n v="0"/>
    <n v="0"/>
    <n v="0"/>
    <n v="0.05"/>
    <n v="3"/>
    <x v="1"/>
  </r>
  <r>
    <x v="5"/>
    <x v="68"/>
    <x v="4"/>
    <x v="142"/>
    <n v="133"/>
    <n v="11"/>
    <n v="9"/>
    <n v="11"/>
    <n v="0"/>
    <n v="2"/>
    <n v="24"/>
    <s v="Sabigh Masood"/>
    <s v="Collections Group"/>
    <d v="2025-10-21T00:00:00"/>
    <d v="1899-12-30T13:00:07"/>
    <d v="1899-12-30T22:02:17"/>
    <n v="9.0299999999999994"/>
    <n v="9.0399999999999991"/>
    <n v="5.75"/>
    <n v="0.31"/>
    <n v="0"/>
    <n v="0.44"/>
    <n v="1.1000000000000001"/>
    <n v="1.43"/>
    <n v="0"/>
    <n v="0"/>
    <n v="0"/>
    <n v="0"/>
    <n v="9.0399999999999991"/>
    <n v="63.63"/>
    <n v="3.4"/>
    <n v="0"/>
    <n v="4.88"/>
    <n v="12.21"/>
    <n v="15.84"/>
    <n v="0"/>
    <n v="0"/>
    <n v="0"/>
    <n v="0.04"/>
    <n v="3"/>
    <x v="1"/>
  </r>
  <r>
    <x v="6"/>
    <x v="68"/>
    <x v="4"/>
    <x v="122"/>
    <n v="0"/>
    <n v="0"/>
    <n v="0"/>
    <n v="0"/>
    <n v="0"/>
    <n v="0"/>
    <n v="0"/>
    <m/>
    <m/>
    <m/>
    <m/>
    <m/>
    <m/>
    <m/>
    <m/>
    <m/>
    <m/>
    <m/>
    <m/>
    <m/>
    <m/>
    <m/>
    <m/>
    <m/>
    <m/>
    <m/>
    <m/>
    <m/>
    <m/>
    <m/>
    <m/>
    <m/>
    <m/>
    <m/>
    <m/>
    <n v="3"/>
    <x v="1"/>
  </r>
  <r>
    <x v="0"/>
    <x v="69"/>
    <x v="4"/>
    <x v="47"/>
    <n v="98"/>
    <n v="5"/>
    <n v="5"/>
    <n v="6"/>
    <n v="0"/>
    <n v="1"/>
    <n v="11"/>
    <s v="Anais Orozco"/>
    <s v="Collections Group"/>
    <d v="2025-10-20T00:00:00"/>
    <d v="1899-12-30T13:00:58"/>
    <d v="1899-12-30T22:00:15"/>
    <n v="9"/>
    <n v="8.0500000000000007"/>
    <n v="2.75"/>
    <n v="0.32"/>
    <n v="0"/>
    <n v="0.08"/>
    <n v="4.33"/>
    <n v="0.55000000000000004"/>
    <n v="0"/>
    <n v="0"/>
    <n v="0"/>
    <n v="0.02"/>
    <n v="8.0500000000000007"/>
    <n v="34.119999999999997"/>
    <n v="3.99"/>
    <n v="0"/>
    <n v="1.01"/>
    <n v="53.72"/>
    <n v="6.88"/>
    <n v="0"/>
    <n v="0"/>
    <n v="0"/>
    <n v="0.27"/>
    <n v="2"/>
    <x v="2"/>
  </r>
  <r>
    <x v="1"/>
    <x v="69"/>
    <x v="4"/>
    <x v="143"/>
    <n v="123"/>
    <n v="4"/>
    <n v="7"/>
    <n v="6"/>
    <n v="1"/>
    <n v="0"/>
    <n v="23"/>
    <s v="Derice Warnsley"/>
    <s v="Collections Group"/>
    <d v="2025-10-20T00:00:00"/>
    <d v="1899-12-30T13:00:23"/>
    <d v="1899-12-30T22:00:03"/>
    <n v="9"/>
    <n v="8.99"/>
    <n v="2.96"/>
    <n v="0.17"/>
    <n v="0"/>
    <n v="7.0000000000000007E-2"/>
    <n v="4.32"/>
    <n v="1.47"/>
    <n v="0"/>
    <n v="0"/>
    <n v="0"/>
    <n v="0.01"/>
    <n v="8.99"/>
    <n v="32.9"/>
    <n v="1.88"/>
    <n v="0"/>
    <n v="0.8"/>
    <n v="48.03"/>
    <n v="16.29"/>
    <n v="0"/>
    <n v="0"/>
    <n v="0"/>
    <n v="0.1"/>
    <n v="2"/>
    <x v="2"/>
  </r>
  <r>
    <x v="2"/>
    <x v="69"/>
    <x v="4"/>
    <x v="59"/>
    <n v="68"/>
    <n v="4"/>
    <n v="1"/>
    <n v="5"/>
    <n v="1"/>
    <n v="0"/>
    <n v="5"/>
    <s v="Isiah Thomas"/>
    <s v="Collections Group"/>
    <d v="2025-10-20T00:00:00"/>
    <d v="1899-12-30T13:03:27"/>
    <d v="1899-12-30T22:00:01"/>
    <n v="8.9499999999999993"/>
    <n v="8.94"/>
    <n v="3.47"/>
    <n v="0.32"/>
    <n v="0"/>
    <n v="0.14000000000000001"/>
    <n v="3.04"/>
    <n v="1.53"/>
    <n v="0.44"/>
    <n v="0"/>
    <n v="0"/>
    <n v="0"/>
    <n v="8.94"/>
    <n v="38.840000000000003"/>
    <n v="3.54"/>
    <n v="0"/>
    <n v="1.54"/>
    <n v="34.01"/>
    <n v="17.11"/>
    <n v="4.92"/>
    <n v="0"/>
    <n v="0"/>
    <n v="0.04"/>
    <n v="2"/>
    <x v="2"/>
  </r>
  <r>
    <x v="3"/>
    <x v="69"/>
    <x v="4"/>
    <x v="126"/>
    <n v="134"/>
    <n v="6"/>
    <n v="9"/>
    <n v="5"/>
    <n v="0"/>
    <n v="2"/>
    <n v="30"/>
    <s v="Jerrod Coleman"/>
    <s v="Collections Group"/>
    <d v="2025-10-20T00:00:00"/>
    <d v="1899-12-30T13:00:09"/>
    <d v="1899-12-30T21:59:36"/>
    <n v="8.98"/>
    <n v="8.99"/>
    <n v="2.58"/>
    <n v="0.61"/>
    <n v="0"/>
    <n v="0.06"/>
    <n v="4.3"/>
    <n v="1.43"/>
    <n v="0"/>
    <n v="0"/>
    <n v="0"/>
    <n v="0"/>
    <n v="8.99"/>
    <n v="28.72"/>
    <n v="6.75"/>
    <n v="0"/>
    <n v="0.72"/>
    <n v="47.87"/>
    <n v="15.9"/>
    <n v="0"/>
    <n v="0"/>
    <n v="0"/>
    <n v="0.04"/>
    <n v="2"/>
    <x v="2"/>
  </r>
  <r>
    <x v="5"/>
    <x v="69"/>
    <x v="4"/>
    <x v="29"/>
    <n v="140"/>
    <n v="18"/>
    <n v="21"/>
    <n v="6"/>
    <n v="0"/>
    <n v="5"/>
    <n v="40"/>
    <s v="Sabigh Masood"/>
    <s v="Collections Group"/>
    <d v="2025-10-20T00:00:00"/>
    <d v="1899-12-30T13:15:39"/>
    <d v="1899-12-30T22:21:41"/>
    <n v="9.1"/>
    <n v="9.1"/>
    <n v="2.75"/>
    <n v="0.3"/>
    <n v="0"/>
    <n v="0.5"/>
    <n v="4.1100000000000003"/>
    <n v="1.44"/>
    <n v="0"/>
    <n v="0"/>
    <n v="0"/>
    <n v="0"/>
    <n v="9.1"/>
    <n v="30.19"/>
    <n v="3.32"/>
    <n v="0"/>
    <n v="5.53"/>
    <n v="45.13"/>
    <n v="15.79"/>
    <n v="0"/>
    <n v="0"/>
    <n v="0"/>
    <n v="0.03"/>
    <n v="2"/>
    <x v="2"/>
  </r>
  <r>
    <x v="6"/>
    <x v="69"/>
    <x v="4"/>
    <x v="144"/>
    <n v="0"/>
    <n v="0"/>
    <n v="0"/>
    <n v="0"/>
    <n v="0"/>
    <n v="0"/>
    <n v="0"/>
    <m/>
    <m/>
    <m/>
    <m/>
    <m/>
    <m/>
    <m/>
    <m/>
    <m/>
    <m/>
    <m/>
    <m/>
    <m/>
    <m/>
    <m/>
    <m/>
    <m/>
    <m/>
    <m/>
    <m/>
    <m/>
    <m/>
    <m/>
    <m/>
    <m/>
    <m/>
    <m/>
    <m/>
    <n v="2"/>
    <x v="2"/>
  </r>
  <r>
    <x v="0"/>
    <x v="70"/>
    <x v="4"/>
    <x v="109"/>
    <n v="57"/>
    <n v="4"/>
    <n v="0"/>
    <n v="2"/>
    <n v="1"/>
    <n v="5"/>
    <n v="36"/>
    <s v="Anais Orozco"/>
    <s v="Collections Group"/>
    <d v="2025-10-17T00:00:00"/>
    <d v="1899-12-30T13:00:19"/>
    <d v="1899-12-30T22:03:29"/>
    <n v="9.0500000000000007"/>
    <n v="8.1199999999999992"/>
    <n v="1.33"/>
    <n v="0.54"/>
    <n v="0"/>
    <n v="0.08"/>
    <n v="5.59"/>
    <n v="0.56999999999999995"/>
    <n v="0"/>
    <n v="0"/>
    <n v="0"/>
    <n v="0.01"/>
    <n v="8.1199999999999992"/>
    <n v="16.41"/>
    <n v="6.62"/>
    <n v="0"/>
    <n v="0.94"/>
    <n v="68.790000000000006"/>
    <n v="7.08"/>
    <n v="0"/>
    <n v="0"/>
    <n v="0"/>
    <n v="0.16"/>
    <n v="6"/>
    <x v="3"/>
  </r>
  <r>
    <x v="2"/>
    <x v="70"/>
    <x v="4"/>
    <x v="104"/>
    <n v="38"/>
    <n v="4"/>
    <n v="1"/>
    <n v="6"/>
    <n v="0"/>
    <n v="1"/>
    <n v="20"/>
    <s v="Isiah Thomas"/>
    <s v="Collections Group"/>
    <d v="2025-10-17T00:00:00"/>
    <d v="1899-12-30T13:01:52"/>
    <d v="1899-12-30T22:00:02"/>
    <n v="8.98"/>
    <n v="8.9700000000000006"/>
    <n v="1.02"/>
    <n v="1.0900000000000001"/>
    <n v="0"/>
    <n v="0.19"/>
    <n v="5.14"/>
    <n v="1.52"/>
    <n v="0"/>
    <n v="0"/>
    <n v="0"/>
    <n v="0"/>
    <n v="8.9700000000000006"/>
    <n v="11.41"/>
    <n v="12.2"/>
    <n v="0"/>
    <n v="2.12"/>
    <n v="57.28"/>
    <n v="16.96"/>
    <n v="0"/>
    <n v="0"/>
    <n v="0"/>
    <n v="0.03"/>
    <n v="6"/>
    <x v="3"/>
  </r>
  <r>
    <x v="3"/>
    <x v="70"/>
    <x v="4"/>
    <x v="52"/>
    <n v="50"/>
    <n v="3"/>
    <n v="4"/>
    <n v="6"/>
    <n v="1"/>
    <n v="1"/>
    <n v="22"/>
    <s v="Jerrod Coleman"/>
    <s v="Collections Group"/>
    <d v="2025-10-17T00:00:00"/>
    <d v="1899-12-30T13:00:07"/>
    <d v="1899-12-30T21:59:29"/>
    <n v="8.98"/>
    <n v="8.99"/>
    <n v="1.5"/>
    <n v="0.24"/>
    <n v="0"/>
    <n v="0.05"/>
    <n v="5.46"/>
    <n v="1.45"/>
    <n v="0.27"/>
    <n v="0"/>
    <n v="0"/>
    <n v="0.01"/>
    <n v="8.99"/>
    <n v="16.690000000000001"/>
    <n v="2.71"/>
    <n v="0"/>
    <n v="0.51"/>
    <n v="60.77"/>
    <n v="16.18"/>
    <n v="3.02"/>
    <n v="0"/>
    <n v="0"/>
    <n v="0.14000000000000001"/>
    <n v="6"/>
    <x v="3"/>
  </r>
  <r>
    <x v="5"/>
    <x v="70"/>
    <x v="4"/>
    <x v="89"/>
    <n v="71"/>
    <n v="8"/>
    <n v="2"/>
    <n v="5"/>
    <n v="1"/>
    <n v="0"/>
    <n v="16"/>
    <s v="Sabigh Masood"/>
    <s v="Collections Group"/>
    <d v="2025-10-17T00:00:00"/>
    <d v="1899-12-30T12:59:57"/>
    <d v="1899-12-30T22:04:10"/>
    <n v="9.08"/>
    <n v="9.07"/>
    <n v="1.83"/>
    <n v="0.31"/>
    <n v="0"/>
    <n v="0.78"/>
    <n v="4.3"/>
    <n v="1.85"/>
    <n v="0"/>
    <n v="0"/>
    <n v="0"/>
    <n v="0"/>
    <n v="9.07"/>
    <n v="20.14"/>
    <n v="3.46"/>
    <n v="0"/>
    <n v="8.64"/>
    <n v="47.38"/>
    <n v="20.34"/>
    <n v="0"/>
    <n v="0"/>
    <n v="0"/>
    <n v="0.03"/>
    <n v="6"/>
    <x v="3"/>
  </r>
  <r>
    <x v="6"/>
    <x v="70"/>
    <x v="4"/>
    <x v="145"/>
    <n v="0"/>
    <n v="0"/>
    <n v="0"/>
    <n v="0"/>
    <n v="0"/>
    <n v="0"/>
    <n v="0"/>
    <m/>
    <m/>
    <m/>
    <m/>
    <m/>
    <m/>
    <m/>
    <m/>
    <m/>
    <m/>
    <m/>
    <m/>
    <m/>
    <m/>
    <m/>
    <m/>
    <m/>
    <m/>
    <m/>
    <m/>
    <m/>
    <m/>
    <m/>
    <m/>
    <m/>
    <m/>
    <m/>
    <m/>
    <n v="6"/>
    <x v="3"/>
  </r>
  <r>
    <x v="0"/>
    <x v="71"/>
    <x v="4"/>
    <x v="74"/>
    <n v="48"/>
    <n v="3"/>
    <n v="2"/>
    <n v="5"/>
    <n v="1"/>
    <n v="0"/>
    <n v="29"/>
    <s v="Anais Orozco"/>
    <s v="Collections Group"/>
    <d v="2025-10-16T00:00:00"/>
    <d v="1899-12-30T13:00:26"/>
    <d v="1899-12-30T22:00:13"/>
    <n v="9"/>
    <n v="8.1"/>
    <n v="0.92"/>
    <n v="0.23"/>
    <n v="0"/>
    <n v="0.05"/>
    <n v="6.37"/>
    <n v="0.52"/>
    <n v="0"/>
    <n v="0"/>
    <n v="0"/>
    <n v="0.02"/>
    <n v="8.1"/>
    <n v="11.33"/>
    <n v="2.85"/>
    <n v="0"/>
    <n v="0.56999999999999995"/>
    <n v="78.66"/>
    <n v="6.39"/>
    <n v="0"/>
    <n v="0"/>
    <n v="0"/>
    <n v="0.21"/>
    <n v="5"/>
    <x v="4"/>
  </r>
  <r>
    <x v="1"/>
    <x v="71"/>
    <x v="4"/>
    <x v="120"/>
    <n v="32"/>
    <n v="7"/>
    <n v="0"/>
    <n v="4"/>
    <n v="0"/>
    <n v="0"/>
    <n v="14"/>
    <s v="Derice Warnsley"/>
    <s v="Collections Group"/>
    <d v="2025-10-16T00:00:00"/>
    <d v="1899-12-30T13:00:34"/>
    <d v="1899-12-30T22:00:07"/>
    <n v="9"/>
    <n v="8.99"/>
    <n v="0.7"/>
    <n v="0.21"/>
    <n v="0"/>
    <n v="0.02"/>
    <n v="6.46"/>
    <n v="1.48"/>
    <n v="0.11"/>
    <n v="0"/>
    <n v="0"/>
    <n v="0.01"/>
    <n v="8.99"/>
    <n v="7.77"/>
    <n v="2.38"/>
    <n v="0"/>
    <n v="0.19"/>
    <n v="71.88"/>
    <n v="16.510000000000002"/>
    <n v="1.19"/>
    <n v="0"/>
    <n v="0"/>
    <n v="0.09"/>
    <n v="5"/>
    <x v="4"/>
  </r>
  <r>
    <x v="2"/>
    <x v="71"/>
    <x v="4"/>
    <x v="76"/>
    <n v="31"/>
    <n v="3"/>
    <n v="0"/>
    <n v="7"/>
    <n v="0"/>
    <n v="0"/>
    <n v="14"/>
    <s v="Isiah Thomas"/>
    <s v="Collections Group"/>
    <d v="2025-10-16T00:00:00"/>
    <d v="1899-12-30T13:01:59"/>
    <d v="1899-12-30T22:00:04"/>
    <n v="8.98"/>
    <n v="8.9700000000000006"/>
    <n v="0.74"/>
    <n v="0.81"/>
    <n v="0"/>
    <n v="0.12"/>
    <n v="5.79"/>
    <n v="1.51"/>
    <n v="0"/>
    <n v="0"/>
    <n v="0"/>
    <n v="0"/>
    <n v="8.9700000000000006"/>
    <n v="8.23"/>
    <n v="9.01"/>
    <n v="0"/>
    <n v="1.37"/>
    <n v="64.55"/>
    <n v="16.809999999999999"/>
    <n v="0"/>
    <n v="0"/>
    <n v="0"/>
    <n v="0.04"/>
    <n v="5"/>
    <x v="4"/>
  </r>
  <r>
    <x v="3"/>
    <x v="71"/>
    <x v="4"/>
    <x v="90"/>
    <n v="45"/>
    <n v="10"/>
    <n v="4"/>
    <n v="4"/>
    <n v="0"/>
    <n v="1"/>
    <n v="13"/>
    <s v="Jerrod Coleman"/>
    <s v="Collections Group"/>
    <d v="2025-10-16T00:00:00"/>
    <d v="1899-12-30T13:00:07"/>
    <d v="1899-12-30T22:02:19"/>
    <n v="9.0299999999999994"/>
    <n v="9.0399999999999991"/>
    <n v="2.33"/>
    <n v="0.4"/>
    <n v="0"/>
    <n v="0.03"/>
    <n v="4.82"/>
    <n v="1.44"/>
    <n v="0"/>
    <n v="0"/>
    <n v="0"/>
    <n v="0.01"/>
    <n v="9.0399999999999991"/>
    <n v="25.83"/>
    <n v="4.37"/>
    <n v="0"/>
    <n v="0.36"/>
    <n v="53.38"/>
    <n v="15.98"/>
    <n v="0"/>
    <n v="0"/>
    <n v="0"/>
    <n v="7.0000000000000007E-2"/>
    <n v="5"/>
    <x v="4"/>
  </r>
  <r>
    <x v="5"/>
    <x v="71"/>
    <x v="4"/>
    <x v="118"/>
    <n v="67"/>
    <n v="3"/>
    <n v="1"/>
    <n v="1"/>
    <n v="1"/>
    <n v="0"/>
    <n v="21"/>
    <s v="Sabigh Masood"/>
    <s v="Collections Group"/>
    <d v="2025-10-16T00:00:00"/>
    <d v="1899-12-30T12:59:53"/>
    <d v="1899-12-30T22:01:32"/>
    <n v="9.0299999999999994"/>
    <n v="9.0299999999999994"/>
    <n v="1.3"/>
    <n v="0.39"/>
    <n v="0"/>
    <n v="0.2"/>
    <n v="5.42"/>
    <n v="1.52"/>
    <n v="0.19"/>
    <n v="0"/>
    <n v="0"/>
    <n v="0"/>
    <n v="9.0299999999999994"/>
    <n v="14.41"/>
    <n v="4.3"/>
    <n v="0"/>
    <n v="2.25"/>
    <n v="60.07"/>
    <n v="16.829999999999998"/>
    <n v="2.11"/>
    <n v="0"/>
    <n v="0"/>
    <n v="0.03"/>
    <n v="5"/>
    <x v="4"/>
  </r>
  <r>
    <x v="6"/>
    <x v="71"/>
    <x v="4"/>
    <x v="146"/>
    <n v="0"/>
    <n v="0"/>
    <n v="0"/>
    <n v="0"/>
    <n v="0"/>
    <n v="0"/>
    <n v="0"/>
    <m/>
    <m/>
    <m/>
    <m/>
    <m/>
    <m/>
    <m/>
    <m/>
    <m/>
    <m/>
    <m/>
    <m/>
    <m/>
    <m/>
    <m/>
    <m/>
    <m/>
    <m/>
    <m/>
    <m/>
    <m/>
    <m/>
    <m/>
    <m/>
    <m/>
    <m/>
    <m/>
    <m/>
    <n v="5"/>
    <x v="4"/>
  </r>
  <r>
    <x v="0"/>
    <x v="72"/>
    <x v="4"/>
    <x v="74"/>
    <n v="82"/>
    <n v="1"/>
    <n v="10"/>
    <n v="9"/>
    <n v="0"/>
    <n v="4"/>
    <n v="34"/>
    <s v="Anais Orozco"/>
    <s v="Collections Group"/>
    <d v="2025-10-15T00:00:00"/>
    <d v="1899-12-30T13:00:34"/>
    <d v="1899-12-30T22:00:08"/>
    <n v="9"/>
    <n v="8.0500000000000007"/>
    <n v="2.2799999999999998"/>
    <n v="0.22"/>
    <n v="0"/>
    <n v="0.13"/>
    <n v="4.88"/>
    <n v="0.51"/>
    <n v="0"/>
    <n v="0"/>
    <n v="0"/>
    <n v="0.03"/>
    <n v="8.0500000000000007"/>
    <n v="28.35"/>
    <n v="2.76"/>
    <n v="0"/>
    <n v="1.67"/>
    <n v="60.58"/>
    <n v="6.32"/>
    <n v="0"/>
    <n v="0"/>
    <n v="0"/>
    <n v="0.32"/>
    <n v="4"/>
    <x v="0"/>
  </r>
  <r>
    <x v="1"/>
    <x v="72"/>
    <x v="4"/>
    <x v="116"/>
    <n v="66"/>
    <n v="13"/>
    <n v="8"/>
    <n v="2"/>
    <n v="1"/>
    <n v="0"/>
    <n v="25"/>
    <s v="Derice Warnsley"/>
    <s v="Collections Group"/>
    <d v="2025-10-15T00:00:00"/>
    <d v="1899-12-30T13:00:35"/>
    <d v="1899-12-30T22:00:12"/>
    <n v="9"/>
    <n v="8.99"/>
    <n v="1.69"/>
    <n v="0"/>
    <n v="0"/>
    <n v="0.04"/>
    <n v="5.78"/>
    <n v="1.47"/>
    <n v="0"/>
    <n v="0"/>
    <n v="0"/>
    <n v="0"/>
    <n v="8.99"/>
    <n v="18.82"/>
    <n v="0"/>
    <n v="0"/>
    <n v="0.48"/>
    <n v="64.260000000000005"/>
    <n v="16.39"/>
    <n v="0"/>
    <n v="0"/>
    <n v="0"/>
    <n v="0.04"/>
    <n v="4"/>
    <x v="0"/>
  </r>
  <r>
    <x v="2"/>
    <x v="72"/>
    <x v="4"/>
    <x v="147"/>
    <n v="25"/>
    <n v="1"/>
    <n v="3"/>
    <n v="3"/>
    <n v="0"/>
    <n v="0"/>
    <n v="9"/>
    <s v="Isiah Thomas"/>
    <s v="Collections Group"/>
    <d v="2025-10-15T00:00:00"/>
    <d v="1899-12-30T13:01:28"/>
    <d v="1899-12-30T22:00:02"/>
    <n v="8.98"/>
    <n v="8.98"/>
    <n v="2.46"/>
    <n v="0.62"/>
    <n v="0"/>
    <n v="0.1"/>
    <n v="4.2"/>
    <n v="1.6"/>
    <n v="0"/>
    <n v="0"/>
    <n v="0"/>
    <n v="0"/>
    <n v="8.98"/>
    <n v="27.36"/>
    <n v="6.88"/>
    <n v="0"/>
    <n v="1.1499999999999999"/>
    <n v="46.77"/>
    <n v="17.79"/>
    <n v="0"/>
    <n v="0"/>
    <n v="0"/>
    <n v="0.04"/>
    <n v="4"/>
    <x v="0"/>
  </r>
  <r>
    <x v="3"/>
    <x v="72"/>
    <x v="4"/>
    <x v="104"/>
    <n v="43"/>
    <n v="1"/>
    <n v="5"/>
    <n v="1"/>
    <n v="0"/>
    <n v="2"/>
    <n v="20"/>
    <s v="Jerrod Coleman"/>
    <s v="Collections Group"/>
    <d v="2025-10-15T00:00:00"/>
    <d v="1899-12-30T14:27:48"/>
    <d v="1899-12-30T21:59:07"/>
    <n v="7.53"/>
    <n v="7.52"/>
    <n v="1.24"/>
    <n v="0.43"/>
    <n v="0"/>
    <n v="0.02"/>
    <n v="4.32"/>
    <n v="1.5"/>
    <n v="0"/>
    <n v="0"/>
    <n v="0"/>
    <n v="0.01"/>
    <n v="7.52"/>
    <n v="16.53"/>
    <n v="5.77"/>
    <n v="0"/>
    <n v="0.27"/>
    <n v="57.41"/>
    <n v="19.89"/>
    <n v="0"/>
    <n v="0"/>
    <n v="0"/>
    <n v="0.13"/>
    <n v="4"/>
    <x v="0"/>
  </r>
  <r>
    <x v="4"/>
    <x v="72"/>
    <x v="4"/>
    <x v="3"/>
    <n v="5"/>
    <n v="1"/>
    <n v="0"/>
    <n v="2"/>
    <n v="0"/>
    <n v="0"/>
    <n v="0"/>
    <s v="Rosette Rwabugahya"/>
    <s v="Collections Group"/>
    <d v="2025-10-15T00:00:00"/>
    <d v="1899-12-30T13:37:04"/>
    <d v="1899-12-30T14:03:21"/>
    <n v="0.43"/>
    <n v="0.44"/>
    <n v="0.39"/>
    <n v="0"/>
    <n v="0"/>
    <n v="0"/>
    <n v="0.01"/>
    <n v="0"/>
    <n v="0"/>
    <n v="0"/>
    <n v="0"/>
    <n v="0.03"/>
    <n v="0.44"/>
    <n v="89.4"/>
    <n v="0.82"/>
    <n v="0"/>
    <n v="0.95"/>
    <n v="1.27"/>
    <n v="0"/>
    <n v="0"/>
    <n v="0"/>
    <n v="0"/>
    <n v="7.55"/>
    <n v="4"/>
    <x v="0"/>
  </r>
  <r>
    <x v="5"/>
    <x v="72"/>
    <x v="4"/>
    <x v="90"/>
    <n v="105"/>
    <n v="10"/>
    <n v="9"/>
    <n v="13"/>
    <n v="0"/>
    <n v="0"/>
    <n v="40"/>
    <s v="Sabigh Masood"/>
    <s v="Collections Group"/>
    <d v="2025-10-15T00:00:00"/>
    <d v="1899-12-30T12:59:54"/>
    <d v="1899-12-30T22:01:57"/>
    <n v="9.0299999999999994"/>
    <n v="9.0299999999999994"/>
    <n v="1.69"/>
    <n v="0.17"/>
    <n v="0"/>
    <n v="0.32"/>
    <n v="5.36"/>
    <n v="1.47"/>
    <n v="0"/>
    <n v="0"/>
    <n v="0.02"/>
    <n v="0"/>
    <n v="9.0299999999999994"/>
    <n v="18.760000000000002"/>
    <n v="1.9"/>
    <n v="0"/>
    <n v="3.58"/>
    <n v="59.28"/>
    <n v="16.260000000000002"/>
    <n v="0"/>
    <n v="0"/>
    <n v="0.19"/>
    <n v="0.03"/>
    <n v="4"/>
    <x v="0"/>
  </r>
  <r>
    <x v="6"/>
    <x v="72"/>
    <x v="4"/>
    <x v="148"/>
    <n v="0"/>
    <n v="0"/>
    <n v="0"/>
    <n v="0"/>
    <n v="0"/>
    <n v="0"/>
    <n v="0"/>
    <m/>
    <m/>
    <m/>
    <m/>
    <m/>
    <m/>
    <m/>
    <m/>
    <m/>
    <m/>
    <m/>
    <m/>
    <m/>
    <m/>
    <m/>
    <m/>
    <m/>
    <m/>
    <m/>
    <m/>
    <m/>
    <m/>
    <m/>
    <m/>
    <m/>
    <m/>
    <m/>
    <m/>
    <n v="4"/>
    <x v="0"/>
  </r>
  <r>
    <x v="0"/>
    <x v="73"/>
    <x v="4"/>
    <x v="99"/>
    <n v="60"/>
    <n v="3"/>
    <n v="4"/>
    <n v="5"/>
    <n v="0"/>
    <n v="0"/>
    <n v="23"/>
    <s v="Anais Orozco"/>
    <s v="Collections Group"/>
    <d v="2025-10-14T00:00:00"/>
    <d v="1899-12-30T13:00:45"/>
    <d v="1899-12-30T17:02:46"/>
    <n v="4.03"/>
    <n v="4.03"/>
    <n v="2.2400000000000002"/>
    <n v="0"/>
    <n v="0"/>
    <n v="0.13"/>
    <n v="1.65"/>
    <n v="0"/>
    <n v="0"/>
    <n v="0"/>
    <n v="0"/>
    <n v="0.01"/>
    <n v="4.03"/>
    <n v="55.55"/>
    <n v="0"/>
    <n v="0"/>
    <n v="3.35"/>
    <n v="40.94"/>
    <n v="0"/>
    <n v="0"/>
    <n v="0"/>
    <n v="0"/>
    <n v="0.16"/>
    <n v="3"/>
    <x v="1"/>
  </r>
  <r>
    <x v="1"/>
    <x v="73"/>
    <x v="4"/>
    <x v="149"/>
    <n v="184"/>
    <n v="6"/>
    <n v="1"/>
    <n v="10"/>
    <n v="0"/>
    <n v="0"/>
    <n v="55"/>
    <s v="Derice Warnsley"/>
    <s v="Collections Group"/>
    <d v="2025-10-14T00:00:00"/>
    <d v="1899-12-30T13:00:15"/>
    <d v="1899-12-30T22:00:08"/>
    <n v="9"/>
    <n v="9"/>
    <n v="3.96"/>
    <n v="0.08"/>
    <n v="0"/>
    <n v="7.0000000000000007E-2"/>
    <n v="3.39"/>
    <n v="1.5"/>
    <n v="0"/>
    <n v="0"/>
    <n v="0"/>
    <n v="0"/>
    <n v="9"/>
    <n v="44"/>
    <n v="0.87"/>
    <n v="0"/>
    <n v="0.76"/>
    <n v="37.71"/>
    <n v="16.62"/>
    <n v="0"/>
    <n v="0"/>
    <n v="0"/>
    <n v="0.05"/>
    <n v="3"/>
    <x v="1"/>
  </r>
  <r>
    <x v="2"/>
    <x v="73"/>
    <x v="4"/>
    <x v="150"/>
    <n v="121"/>
    <n v="5"/>
    <n v="0"/>
    <n v="3"/>
    <n v="0"/>
    <n v="0"/>
    <n v="30"/>
    <s v="Isiah Thomas"/>
    <s v="Collections Group"/>
    <d v="2025-10-14T00:00:00"/>
    <d v="1899-12-30T13:21:11"/>
    <d v="1899-12-30T22:00:36"/>
    <n v="8.65"/>
    <n v="8.66"/>
    <n v="4.8"/>
    <n v="0.38"/>
    <n v="0"/>
    <n v="0.12"/>
    <n v="1.83"/>
    <n v="1.53"/>
    <n v="0"/>
    <n v="0"/>
    <n v="0"/>
    <n v="0"/>
    <n v="8.66"/>
    <n v="55.45"/>
    <n v="4.37"/>
    <n v="0"/>
    <n v="1.34"/>
    <n v="21.09"/>
    <n v="17.7"/>
    <n v="0"/>
    <n v="0"/>
    <n v="0"/>
    <n v="0.04"/>
    <n v="3"/>
    <x v="1"/>
  </r>
  <r>
    <x v="3"/>
    <x v="73"/>
    <x v="4"/>
    <x v="143"/>
    <n v="191"/>
    <n v="2"/>
    <n v="3"/>
    <n v="8"/>
    <n v="1"/>
    <n v="7"/>
    <n v="62"/>
    <s v="Jerrod Coleman"/>
    <s v="Collections Group"/>
    <d v="2025-10-14T00:00:00"/>
    <d v="1899-12-30T13:00:22"/>
    <d v="1899-12-30T21:59:17"/>
    <n v="8.98"/>
    <n v="8.98"/>
    <n v="2.88"/>
    <n v="0.32"/>
    <n v="0"/>
    <n v="0.14000000000000001"/>
    <n v="4.17"/>
    <n v="1.46"/>
    <n v="0"/>
    <n v="0"/>
    <n v="0"/>
    <n v="0"/>
    <n v="8.98"/>
    <n v="32.06"/>
    <n v="3.52"/>
    <n v="0"/>
    <n v="1.61"/>
    <n v="46.48"/>
    <n v="16.29"/>
    <n v="0"/>
    <n v="0"/>
    <n v="0"/>
    <n v="0.04"/>
    <n v="3"/>
    <x v="1"/>
  </r>
  <r>
    <x v="4"/>
    <x v="73"/>
    <x v="4"/>
    <x v="13"/>
    <n v="2"/>
    <n v="0"/>
    <n v="0"/>
    <n v="0"/>
    <n v="0"/>
    <n v="0"/>
    <n v="0"/>
    <s v="Rosette Rwabugahya"/>
    <s v="Collections Group"/>
    <d v="2025-10-14T00:00:00"/>
    <d v="1899-12-30T20:51:51"/>
    <d v="1899-12-30T21:26:44"/>
    <n v="0.57999999999999996"/>
    <n v="0.25"/>
    <n v="0.22"/>
    <n v="0"/>
    <n v="0"/>
    <n v="0.01"/>
    <n v="0"/>
    <n v="0"/>
    <n v="0"/>
    <n v="0"/>
    <n v="0"/>
    <n v="0.02"/>
    <n v="0.25"/>
    <n v="89.72"/>
    <n v="0"/>
    <n v="0"/>
    <n v="2.6"/>
    <n v="0"/>
    <n v="0"/>
    <n v="0"/>
    <n v="0"/>
    <n v="0"/>
    <n v="7.68"/>
    <n v="3"/>
    <x v="1"/>
  </r>
  <r>
    <x v="5"/>
    <x v="73"/>
    <x v="4"/>
    <x v="71"/>
    <n v="158"/>
    <n v="5"/>
    <n v="0"/>
    <n v="4"/>
    <n v="0"/>
    <n v="1"/>
    <n v="36"/>
    <s v="Sabigh Masood"/>
    <s v="Collections Group"/>
    <d v="2025-10-14T00:00:00"/>
    <d v="1899-12-30T13:00:22"/>
    <d v="1899-12-30T22:02:14"/>
    <n v="9.0299999999999994"/>
    <n v="9.0299999999999994"/>
    <n v="4.2699999999999996"/>
    <n v="0.4"/>
    <n v="0"/>
    <n v="0.64"/>
    <n v="2.2799999999999998"/>
    <n v="1.44"/>
    <n v="0"/>
    <n v="0"/>
    <n v="0"/>
    <n v="0"/>
    <n v="9.0299999999999994"/>
    <n v="47.26"/>
    <n v="4.4000000000000004"/>
    <n v="0.01"/>
    <n v="7.12"/>
    <n v="25.26"/>
    <n v="15.92"/>
    <n v="0"/>
    <n v="0"/>
    <n v="0"/>
    <n v="0.03"/>
    <n v="3"/>
    <x v="1"/>
  </r>
  <r>
    <x v="6"/>
    <x v="73"/>
    <x v="4"/>
    <x v="151"/>
    <n v="0"/>
    <n v="0"/>
    <n v="0"/>
    <n v="0"/>
    <n v="0"/>
    <n v="0"/>
    <n v="0"/>
    <m/>
    <m/>
    <m/>
    <m/>
    <m/>
    <m/>
    <m/>
    <m/>
    <m/>
    <m/>
    <m/>
    <m/>
    <m/>
    <m/>
    <m/>
    <m/>
    <m/>
    <m/>
    <m/>
    <m/>
    <m/>
    <m/>
    <m/>
    <m/>
    <m/>
    <m/>
    <m/>
    <m/>
    <n v="3"/>
    <x v="1"/>
  </r>
  <r>
    <x v="0"/>
    <x v="74"/>
    <x v="4"/>
    <x v="152"/>
    <n v="141"/>
    <n v="9"/>
    <n v="1"/>
    <n v="3"/>
    <n v="0"/>
    <n v="1"/>
    <n v="33"/>
    <s v="Anais Orozco"/>
    <s v="Collections Group"/>
    <d v="2025-10-13T00:00:00"/>
    <d v="1899-12-30T13:00:50"/>
    <d v="1899-12-30T22:13:55"/>
    <n v="9.2200000000000006"/>
    <n v="8.2799999999999994"/>
    <n v="3.79"/>
    <n v="0.2"/>
    <n v="0"/>
    <n v="0.09"/>
    <n v="3.01"/>
    <n v="0.53"/>
    <n v="0.64"/>
    <n v="0"/>
    <n v="0"/>
    <n v="0.01"/>
    <n v="8.2799999999999994"/>
    <n v="45.8"/>
    <n v="2.37"/>
    <n v="0"/>
    <n v="1.08"/>
    <n v="36.43"/>
    <n v="6.43"/>
    <n v="7.72"/>
    <n v="0"/>
    <n v="0"/>
    <n v="0.17"/>
    <n v="2"/>
    <x v="2"/>
  </r>
  <r>
    <x v="1"/>
    <x v="74"/>
    <x v="4"/>
    <x v="62"/>
    <n v="161"/>
    <n v="10"/>
    <n v="1"/>
    <n v="5"/>
    <n v="0"/>
    <n v="0"/>
    <n v="56"/>
    <s v="Derice Warnsley"/>
    <s v="Collections Group"/>
    <d v="2025-10-13T00:00:00"/>
    <d v="1899-12-30T13:00:04"/>
    <d v="1899-12-30T22:00:05"/>
    <n v="9"/>
    <n v="9"/>
    <n v="2.76"/>
    <n v="0"/>
    <n v="0"/>
    <n v="0.08"/>
    <n v="4.67"/>
    <n v="1.49"/>
    <n v="0"/>
    <n v="0"/>
    <n v="0"/>
    <n v="0.01"/>
    <n v="9"/>
    <n v="30.64"/>
    <n v="0"/>
    <n v="0"/>
    <n v="0.85"/>
    <n v="51.89"/>
    <n v="16.52"/>
    <n v="0"/>
    <n v="0"/>
    <n v="0"/>
    <n v="0.1"/>
    <n v="2"/>
    <x v="2"/>
  </r>
  <r>
    <x v="3"/>
    <x v="74"/>
    <x v="4"/>
    <x v="138"/>
    <n v="185"/>
    <n v="8"/>
    <n v="6"/>
    <n v="5"/>
    <n v="0"/>
    <n v="1"/>
    <n v="69"/>
    <s v="Jerrod Coleman"/>
    <s v="Collections Group"/>
    <d v="2025-10-13T00:00:00"/>
    <d v="1899-12-30T13:00:20"/>
    <d v="1899-12-30T21:58:35"/>
    <n v="8.9700000000000006"/>
    <n v="8.9700000000000006"/>
    <n v="2.4900000000000002"/>
    <n v="0.73"/>
    <n v="0"/>
    <n v="0.21"/>
    <n v="4.09"/>
    <n v="1.43"/>
    <n v="0"/>
    <n v="0"/>
    <n v="0"/>
    <n v="0"/>
    <n v="8.9700000000000006"/>
    <n v="27.8"/>
    <n v="8.19"/>
    <n v="0"/>
    <n v="2.34"/>
    <n v="45.64"/>
    <n v="15.99"/>
    <n v="0"/>
    <n v="0"/>
    <n v="0"/>
    <n v="0.04"/>
    <n v="2"/>
    <x v="2"/>
  </r>
  <r>
    <x v="5"/>
    <x v="74"/>
    <x v="4"/>
    <x v="55"/>
    <n v="93"/>
    <n v="0"/>
    <n v="0"/>
    <n v="2"/>
    <n v="0"/>
    <n v="0"/>
    <n v="20"/>
    <s v="Sabigh Masood"/>
    <s v="Collections Group"/>
    <d v="2025-10-13T00:00:00"/>
    <d v="1899-12-30T13:00:36"/>
    <d v="1899-12-30T22:02:20"/>
    <n v="9.0299999999999994"/>
    <n v="9.0299999999999994"/>
    <n v="4.34"/>
    <n v="0.28000000000000003"/>
    <n v="0"/>
    <n v="7.0000000000000007E-2"/>
    <n v="2.89"/>
    <n v="1.45"/>
    <n v="0"/>
    <n v="0"/>
    <n v="0"/>
    <n v="0"/>
    <n v="9.0299999999999994"/>
    <n v="48.08"/>
    <n v="3.11"/>
    <n v="0"/>
    <n v="0.74"/>
    <n v="31.98"/>
    <n v="16.07"/>
    <n v="0"/>
    <n v="0"/>
    <n v="0"/>
    <n v="0.03"/>
    <n v="2"/>
    <x v="2"/>
  </r>
  <r>
    <x v="6"/>
    <x v="74"/>
    <x v="4"/>
    <x v="153"/>
    <n v="0"/>
    <n v="0"/>
    <n v="0"/>
    <n v="0"/>
    <n v="0"/>
    <n v="0"/>
    <n v="0"/>
    <m/>
    <m/>
    <m/>
    <m/>
    <m/>
    <m/>
    <m/>
    <m/>
    <m/>
    <m/>
    <m/>
    <m/>
    <m/>
    <m/>
    <m/>
    <m/>
    <m/>
    <m/>
    <m/>
    <m/>
    <m/>
    <m/>
    <m/>
    <m/>
    <m/>
    <m/>
    <m/>
    <m/>
    <n v="2"/>
    <x v="2"/>
  </r>
  <r>
    <x v="0"/>
    <x v="75"/>
    <x v="4"/>
    <x v="110"/>
    <n v="43"/>
    <n v="5"/>
    <n v="2"/>
    <n v="6"/>
    <n v="0"/>
    <n v="0"/>
    <n v="19"/>
    <s v="Anais Orozco"/>
    <s v="Collections Group"/>
    <d v="2025-10-10T00:00:00"/>
    <d v="1899-12-30T12:59:18"/>
    <d v="1899-12-30T22:00:15"/>
    <n v="9.02"/>
    <n v="8.09"/>
    <n v="1.6"/>
    <n v="0.03"/>
    <n v="0"/>
    <n v="0.13"/>
    <n v="5.72"/>
    <n v="0.52"/>
    <n v="0"/>
    <n v="0"/>
    <n v="0.06"/>
    <n v="0.04"/>
    <n v="8.09"/>
    <n v="19.77"/>
    <n v="0.34"/>
    <n v="0"/>
    <n v="1.59"/>
    <n v="70.650000000000006"/>
    <n v="6.39"/>
    <n v="0"/>
    <n v="0"/>
    <n v="0.76"/>
    <n v="0.48"/>
    <n v="6"/>
    <x v="3"/>
  </r>
  <r>
    <x v="1"/>
    <x v="75"/>
    <x v="4"/>
    <x v="113"/>
    <n v="46"/>
    <n v="8"/>
    <n v="3"/>
    <n v="1"/>
    <n v="0"/>
    <n v="0"/>
    <n v="23"/>
    <s v="Derice Warnsley"/>
    <s v="Collections Group"/>
    <d v="2025-10-10T00:00:00"/>
    <d v="1899-12-30T13:00:18"/>
    <d v="1899-12-30T22:10:23"/>
    <n v="9.17"/>
    <n v="9.17"/>
    <n v="1.48"/>
    <n v="0.09"/>
    <n v="0"/>
    <n v="0.02"/>
    <n v="5.81"/>
    <n v="1.47"/>
    <n v="0.28000000000000003"/>
    <n v="0"/>
    <n v="0"/>
    <n v="0.01"/>
    <n v="9.17"/>
    <n v="16.12"/>
    <n v="0.95"/>
    <n v="0"/>
    <n v="0.25"/>
    <n v="63.42"/>
    <n v="16.05"/>
    <n v="3.1"/>
    <n v="0"/>
    <n v="0"/>
    <n v="0.1"/>
    <n v="6"/>
    <x v="3"/>
  </r>
  <r>
    <x v="2"/>
    <x v="75"/>
    <x v="4"/>
    <x v="147"/>
    <n v="23"/>
    <n v="3"/>
    <n v="0"/>
    <n v="4"/>
    <n v="0"/>
    <n v="0"/>
    <n v="11"/>
    <s v="Isiah Thomas"/>
    <s v="Collections Group"/>
    <d v="2025-10-10T00:00:00"/>
    <d v="1899-12-30T13:01:32"/>
    <d v="1899-12-30T17:00:01"/>
    <n v="3.98"/>
    <n v="3.97"/>
    <n v="1.1200000000000001"/>
    <n v="1.01"/>
    <n v="0"/>
    <n v="0.04"/>
    <n v="1.56"/>
    <n v="0.24"/>
    <n v="0"/>
    <n v="0"/>
    <n v="0"/>
    <n v="0.01"/>
    <n v="3.97"/>
    <n v="28.12"/>
    <n v="25.33"/>
    <n v="0"/>
    <n v="0.96"/>
    <n v="39.15"/>
    <n v="6.16"/>
    <n v="0"/>
    <n v="0"/>
    <n v="0"/>
    <n v="0.27"/>
    <n v="6"/>
    <x v="3"/>
  </r>
  <r>
    <x v="3"/>
    <x v="75"/>
    <x v="4"/>
    <x v="104"/>
    <n v="29"/>
    <n v="4"/>
    <n v="3"/>
    <n v="6"/>
    <n v="0"/>
    <n v="0"/>
    <n v="9"/>
    <s v="Jerrod Coleman"/>
    <s v="Collections Group"/>
    <d v="2025-10-10T00:00:00"/>
    <d v="1899-12-30T13:00:18"/>
    <d v="1899-12-30T21:59:09"/>
    <n v="8.98"/>
    <n v="8.98"/>
    <n v="1.46"/>
    <n v="0.42"/>
    <n v="0"/>
    <n v="0.22"/>
    <n v="5.44"/>
    <n v="1.44"/>
    <n v="0"/>
    <n v="0"/>
    <n v="0"/>
    <n v="0"/>
    <n v="8.98"/>
    <n v="16.22"/>
    <n v="4.7300000000000004"/>
    <n v="0"/>
    <n v="2.41"/>
    <n v="60.55"/>
    <n v="16.05"/>
    <n v="0"/>
    <n v="0"/>
    <n v="0"/>
    <n v="0.04"/>
    <n v="6"/>
    <x v="3"/>
  </r>
  <r>
    <x v="5"/>
    <x v="75"/>
    <x v="4"/>
    <x v="52"/>
    <n v="72"/>
    <n v="10"/>
    <n v="1"/>
    <n v="1"/>
    <n v="0"/>
    <n v="0"/>
    <n v="23"/>
    <s v="Sabigh Masood"/>
    <s v="Collections Group"/>
    <d v="2025-10-10T00:00:00"/>
    <d v="1899-12-30T12:59:59"/>
    <d v="1899-12-30T22:01:22"/>
    <n v="9.0299999999999994"/>
    <n v="9.02"/>
    <n v="1.21"/>
    <n v="0.28000000000000003"/>
    <n v="0"/>
    <n v="0.21"/>
    <n v="5.22"/>
    <n v="2"/>
    <n v="0"/>
    <n v="0"/>
    <n v="0.1"/>
    <n v="0"/>
    <n v="9.02"/>
    <n v="13.44"/>
    <n v="3.09"/>
    <n v="0"/>
    <n v="2.33"/>
    <n v="57.88"/>
    <n v="22.12"/>
    <n v="0"/>
    <n v="0"/>
    <n v="1.1200000000000001"/>
    <n v="0.04"/>
    <n v="6"/>
    <x v="3"/>
  </r>
  <r>
    <x v="6"/>
    <x v="75"/>
    <x v="4"/>
    <x v="124"/>
    <n v="0"/>
    <n v="0"/>
    <n v="0"/>
    <n v="0"/>
    <n v="0"/>
    <n v="0"/>
    <n v="0"/>
    <m/>
    <m/>
    <m/>
    <m/>
    <m/>
    <m/>
    <m/>
    <m/>
    <m/>
    <m/>
    <m/>
    <m/>
    <m/>
    <m/>
    <m/>
    <m/>
    <m/>
    <m/>
    <m/>
    <m/>
    <m/>
    <m/>
    <m/>
    <m/>
    <m/>
    <m/>
    <m/>
    <m/>
    <n v="6"/>
    <x v="3"/>
  </r>
  <r>
    <x v="0"/>
    <x v="76"/>
    <x v="4"/>
    <x v="104"/>
    <n v="48"/>
    <n v="6"/>
    <n v="1"/>
    <n v="4"/>
    <n v="0"/>
    <n v="0"/>
    <n v="23"/>
    <s v="Anais Orozco"/>
    <s v="Collections Group"/>
    <d v="2025-10-09T00:00:00"/>
    <d v="1899-12-30T12:59:58"/>
    <d v="1899-12-30T22:00:03"/>
    <n v="9.02"/>
    <n v="8.07"/>
    <n v="2.29"/>
    <n v="0"/>
    <n v="0"/>
    <n v="0.09"/>
    <n v="5.36"/>
    <n v="0.33"/>
    <n v="0"/>
    <n v="0"/>
    <n v="0"/>
    <n v="0.02"/>
    <n v="8.07"/>
    <n v="28.34"/>
    <n v="0"/>
    <n v="0"/>
    <n v="1.08"/>
    <n v="66.349999999999994"/>
    <n v="4.03"/>
    <n v="0"/>
    <n v="0"/>
    <n v="0"/>
    <n v="0.2"/>
    <n v="5"/>
    <x v="4"/>
  </r>
  <r>
    <x v="1"/>
    <x v="76"/>
    <x v="4"/>
    <x v="110"/>
    <n v="37"/>
    <n v="5"/>
    <n v="6"/>
    <n v="6"/>
    <n v="0"/>
    <n v="0"/>
    <n v="13"/>
    <s v="Derice Warnsley"/>
    <s v="Collections Group"/>
    <d v="2025-10-09T00:00:00"/>
    <d v="1899-12-30T13:00:39"/>
    <d v="1899-12-30T22:00:07"/>
    <n v="9"/>
    <n v="8.99"/>
    <n v="1.45"/>
    <n v="0"/>
    <n v="0"/>
    <n v="0.05"/>
    <n v="6"/>
    <n v="1.49"/>
    <n v="0"/>
    <n v="0"/>
    <n v="0"/>
    <n v="0"/>
    <n v="8.99"/>
    <n v="16.11"/>
    <n v="0"/>
    <n v="0"/>
    <n v="0.57999999999999996"/>
    <n v="66.7"/>
    <n v="16.57"/>
    <n v="0"/>
    <n v="0"/>
    <n v="0"/>
    <n v="0.05"/>
    <n v="5"/>
    <x v="4"/>
  </r>
  <r>
    <x v="2"/>
    <x v="76"/>
    <x v="4"/>
    <x v="154"/>
    <n v="22"/>
    <n v="1"/>
    <n v="0"/>
    <n v="4"/>
    <n v="0"/>
    <n v="4"/>
    <n v="9"/>
    <s v="Isiah Thomas"/>
    <s v="Collections Group"/>
    <d v="2025-10-09T00:00:00"/>
    <d v="1899-12-30T12:59:45"/>
    <d v="1899-12-30T22:10:20"/>
    <n v="9.18"/>
    <n v="9.18"/>
    <n v="1.1000000000000001"/>
    <n v="0.61"/>
    <n v="0"/>
    <n v="0.06"/>
    <n v="2.71"/>
    <n v="1.28"/>
    <n v="3.33"/>
    <n v="0"/>
    <n v="0"/>
    <n v="0.08"/>
    <n v="9.18"/>
    <n v="12.02"/>
    <n v="6.61"/>
    <n v="0"/>
    <n v="0.65"/>
    <n v="29.52"/>
    <n v="13.94"/>
    <n v="36.33"/>
    <n v="0"/>
    <n v="0"/>
    <n v="0.92"/>
    <n v="5"/>
    <x v="4"/>
  </r>
  <r>
    <x v="3"/>
    <x v="76"/>
    <x v="4"/>
    <x v="113"/>
    <n v="47"/>
    <n v="3"/>
    <n v="2"/>
    <n v="2"/>
    <n v="1"/>
    <n v="0"/>
    <n v="29"/>
    <s v="Jerrod Coleman"/>
    <s v="Collections Group"/>
    <d v="2025-10-09T00:00:00"/>
    <d v="1899-12-30T13:00:10"/>
    <d v="1899-12-30T21:59:12"/>
    <n v="8.98"/>
    <n v="8.98"/>
    <n v="0.95"/>
    <n v="0.26"/>
    <n v="0"/>
    <n v="0.12"/>
    <n v="5.41"/>
    <n v="1.47"/>
    <n v="0.77"/>
    <n v="0"/>
    <n v="0"/>
    <n v="0"/>
    <n v="8.98"/>
    <n v="10.54"/>
    <n v="2.92"/>
    <n v="0"/>
    <n v="1.38"/>
    <n v="60.22"/>
    <n v="16.32"/>
    <n v="8.57"/>
    <n v="0"/>
    <n v="0"/>
    <n v="0.05"/>
    <n v="5"/>
    <x v="4"/>
  </r>
  <r>
    <x v="5"/>
    <x v="76"/>
    <x v="4"/>
    <x v="90"/>
    <n v="61"/>
    <n v="1"/>
    <n v="1"/>
    <n v="0"/>
    <n v="0"/>
    <n v="0"/>
    <n v="20"/>
    <s v="Sabigh Masood"/>
    <s v="Collections Group"/>
    <d v="2025-10-09T00:00:00"/>
    <d v="1899-12-30T13:01:18"/>
    <d v="1899-12-30T22:00:41"/>
    <n v="8.98"/>
    <n v="8.99"/>
    <n v="0.97"/>
    <n v="0.4"/>
    <n v="0"/>
    <n v="0.21"/>
    <n v="4.3"/>
    <n v="1.46"/>
    <n v="1.56"/>
    <n v="0"/>
    <n v="0.08"/>
    <n v="0"/>
    <n v="8.99"/>
    <n v="10.78"/>
    <n v="4.46"/>
    <n v="0"/>
    <n v="2.2999999999999998"/>
    <n v="47.83"/>
    <n v="16.28"/>
    <n v="17.41"/>
    <n v="0"/>
    <n v="0.9"/>
    <n v="0.03"/>
    <n v="5"/>
    <x v="4"/>
  </r>
  <r>
    <x v="6"/>
    <x v="76"/>
    <x v="4"/>
    <x v="155"/>
    <n v="0"/>
    <n v="0"/>
    <n v="0"/>
    <n v="0"/>
    <n v="0"/>
    <n v="0"/>
    <n v="0"/>
    <m/>
    <m/>
    <m/>
    <m/>
    <m/>
    <m/>
    <m/>
    <m/>
    <m/>
    <m/>
    <m/>
    <m/>
    <m/>
    <m/>
    <m/>
    <m/>
    <m/>
    <m/>
    <m/>
    <m/>
    <m/>
    <m/>
    <m/>
    <m/>
    <m/>
    <m/>
    <m/>
    <m/>
    <n v="5"/>
    <x v="4"/>
  </r>
  <r>
    <x v="0"/>
    <x v="77"/>
    <x v="4"/>
    <x v="156"/>
    <n v="131"/>
    <n v="4"/>
    <n v="3"/>
    <n v="5"/>
    <n v="6"/>
    <n v="2"/>
    <n v="17"/>
    <s v="Anais Orozco"/>
    <s v="Collections Group"/>
    <d v="2025-10-08T00:00:00"/>
    <d v="1899-12-30T13:00:25"/>
    <d v="1899-12-30T22:00:03"/>
    <n v="9"/>
    <n v="8.02"/>
    <n v="5.37"/>
    <n v="0.5"/>
    <n v="0"/>
    <n v="0.32"/>
    <n v="0.92"/>
    <n v="0.35"/>
    <n v="0.56000000000000005"/>
    <n v="0"/>
    <n v="0"/>
    <n v="0.02"/>
    <n v="8.02"/>
    <n v="66.92"/>
    <n v="6.2"/>
    <n v="0"/>
    <n v="3.99"/>
    <n v="11.43"/>
    <n v="4.3099999999999996"/>
    <n v="6.94"/>
    <n v="0"/>
    <n v="0"/>
    <n v="0.22"/>
    <n v="4"/>
    <x v="0"/>
  </r>
  <r>
    <x v="1"/>
    <x v="77"/>
    <x v="4"/>
    <x v="126"/>
    <n v="160"/>
    <n v="6"/>
    <n v="11"/>
    <n v="8"/>
    <n v="1"/>
    <n v="1"/>
    <n v="41"/>
    <s v="Derice Warnsley"/>
    <s v="Collections Group"/>
    <d v="2025-10-08T00:00:00"/>
    <d v="1899-12-30T12:59:21"/>
    <d v="1899-12-30T22:00:06"/>
    <n v="9.02"/>
    <n v="9.01"/>
    <n v="5.9"/>
    <n v="0"/>
    <n v="0"/>
    <n v="0.12"/>
    <n v="1.04"/>
    <n v="1.49"/>
    <n v="0.45"/>
    <n v="0"/>
    <n v="0"/>
    <n v="0.02"/>
    <n v="9.01"/>
    <n v="65.53"/>
    <n v="0"/>
    <n v="0"/>
    <n v="1.3"/>
    <n v="11.57"/>
    <n v="16.489999999999998"/>
    <n v="4.9400000000000004"/>
    <n v="0"/>
    <n v="0"/>
    <n v="0.17"/>
    <n v="4"/>
    <x v="0"/>
  </r>
  <r>
    <x v="2"/>
    <x v="77"/>
    <x v="4"/>
    <x v="129"/>
    <n v="140"/>
    <n v="1"/>
    <n v="8"/>
    <n v="6"/>
    <n v="0"/>
    <n v="1"/>
    <n v="32"/>
    <s v="Isiah Thomas"/>
    <s v="Collections Group"/>
    <d v="2025-10-08T00:00:00"/>
    <d v="1899-12-30T13:00:58"/>
    <d v="1899-12-30T22:00:07"/>
    <n v="9"/>
    <n v="8.99"/>
    <n v="5.65"/>
    <n v="0.85"/>
    <n v="0"/>
    <n v="0.32"/>
    <n v="0.65"/>
    <n v="1.52"/>
    <n v="0"/>
    <n v="0"/>
    <n v="0"/>
    <n v="0.01"/>
    <n v="8.99"/>
    <n v="62.83"/>
    <n v="9.42"/>
    <n v="0"/>
    <n v="3.53"/>
    <n v="7.22"/>
    <n v="16.89"/>
    <n v="0"/>
    <n v="0"/>
    <n v="0"/>
    <n v="0.12"/>
    <n v="4"/>
    <x v="0"/>
  </r>
  <r>
    <x v="3"/>
    <x v="77"/>
    <x v="4"/>
    <x v="157"/>
    <n v="191"/>
    <n v="6"/>
    <n v="8"/>
    <n v="5"/>
    <n v="1"/>
    <n v="4"/>
    <n v="70"/>
    <s v="Jerrod Coleman"/>
    <s v="Collections Group"/>
    <d v="2025-10-08T00:00:00"/>
    <d v="1899-12-30T13:00:59"/>
    <d v="1899-12-30T22:09:58"/>
    <n v="9.15"/>
    <n v="9.15"/>
    <n v="3.39"/>
    <n v="0.43"/>
    <n v="0"/>
    <n v="0.37"/>
    <n v="2.74"/>
    <n v="1.48"/>
    <n v="0.73"/>
    <n v="0"/>
    <n v="0"/>
    <n v="0"/>
    <n v="9.15"/>
    <n v="37.020000000000003"/>
    <n v="4.74"/>
    <n v="0"/>
    <n v="4.07"/>
    <n v="29.99"/>
    <n v="16.149999999999999"/>
    <n v="8"/>
    <n v="0"/>
    <n v="0"/>
    <n v="0.03"/>
    <n v="4"/>
    <x v="0"/>
  </r>
  <r>
    <x v="5"/>
    <x v="77"/>
    <x v="4"/>
    <x v="158"/>
    <n v="181"/>
    <n v="7"/>
    <n v="11"/>
    <n v="2"/>
    <n v="0"/>
    <n v="2"/>
    <n v="48"/>
    <s v="Sabigh Masood"/>
    <s v="Collections Group"/>
    <d v="2025-10-08T00:00:00"/>
    <d v="1899-12-30T13:00:05"/>
    <d v="1899-12-30T22:09:38"/>
    <n v="9.15"/>
    <n v="9.16"/>
    <n v="5.1100000000000003"/>
    <n v="0.57999999999999996"/>
    <n v="0"/>
    <n v="0.34"/>
    <n v="1.68"/>
    <n v="1.44"/>
    <n v="0"/>
    <n v="0"/>
    <n v="0"/>
    <n v="0"/>
    <n v="9.16"/>
    <n v="55.77"/>
    <n v="6.37"/>
    <n v="0"/>
    <n v="3.75"/>
    <n v="18.309999999999999"/>
    <n v="15.77"/>
    <n v="0"/>
    <n v="0"/>
    <n v="0"/>
    <n v="0.03"/>
    <n v="4"/>
    <x v="0"/>
  </r>
  <r>
    <x v="6"/>
    <x v="77"/>
    <x v="4"/>
    <x v="159"/>
    <n v="0"/>
    <n v="0"/>
    <n v="0"/>
    <n v="0"/>
    <n v="0"/>
    <n v="0"/>
    <n v="0"/>
    <m/>
    <m/>
    <m/>
    <m/>
    <m/>
    <m/>
    <m/>
    <m/>
    <m/>
    <m/>
    <m/>
    <m/>
    <m/>
    <m/>
    <m/>
    <m/>
    <m/>
    <m/>
    <m/>
    <m/>
    <m/>
    <m/>
    <m/>
    <m/>
    <m/>
    <m/>
    <m/>
    <m/>
    <n v="4"/>
    <x v="0"/>
  </r>
  <r>
    <x v="0"/>
    <x v="78"/>
    <x v="4"/>
    <x v="158"/>
    <n v="155"/>
    <n v="8"/>
    <n v="22"/>
    <n v="3"/>
    <n v="0"/>
    <n v="0"/>
    <n v="30"/>
    <s v="Anais Orozco"/>
    <s v="Collections Group"/>
    <d v="2025-10-07T00:00:00"/>
    <d v="1899-12-30T13:00:19"/>
    <d v="1899-12-30T22:00:03"/>
    <n v="9"/>
    <n v="8.08"/>
    <n v="5.71"/>
    <n v="0.12"/>
    <n v="0"/>
    <n v="0.53"/>
    <n v="1.38"/>
    <n v="0.32"/>
    <n v="0"/>
    <n v="0"/>
    <n v="0"/>
    <n v="0.01"/>
    <n v="8.08"/>
    <n v="70.67"/>
    <n v="1.47"/>
    <n v="0"/>
    <n v="6.6"/>
    <n v="17.12"/>
    <n v="3.98"/>
    <n v="0"/>
    <n v="0"/>
    <n v="0"/>
    <n v="0.15"/>
    <n v="3"/>
    <x v="1"/>
  </r>
  <r>
    <x v="1"/>
    <x v="78"/>
    <x v="4"/>
    <x v="125"/>
    <n v="170"/>
    <n v="15"/>
    <n v="7"/>
    <n v="11"/>
    <n v="3"/>
    <n v="4"/>
    <n v="28"/>
    <s v="Derice Warnsley"/>
    <s v="Collections Group"/>
    <d v="2025-10-07T00:00:00"/>
    <d v="1899-12-30T13:01:01"/>
    <d v="1899-12-30T22:00:04"/>
    <n v="8.98"/>
    <n v="8.98"/>
    <n v="5.49"/>
    <n v="0.21"/>
    <n v="0"/>
    <n v="0.09"/>
    <n v="0.94"/>
    <n v="1.48"/>
    <n v="0.77"/>
    <n v="0"/>
    <n v="0"/>
    <n v="0"/>
    <n v="8.98"/>
    <n v="61.17"/>
    <n v="2.36"/>
    <n v="0"/>
    <n v="1"/>
    <n v="10.46"/>
    <n v="16.440000000000001"/>
    <n v="8.5299999999999994"/>
    <n v="0"/>
    <n v="0"/>
    <n v="0.04"/>
    <n v="3"/>
    <x v="1"/>
  </r>
  <r>
    <x v="2"/>
    <x v="78"/>
    <x v="4"/>
    <x v="143"/>
    <n v="141"/>
    <n v="4"/>
    <n v="4"/>
    <n v="6"/>
    <n v="0"/>
    <n v="1"/>
    <n v="18"/>
    <s v="Isiah Thomas"/>
    <s v="Collections Group"/>
    <d v="2025-10-07T00:00:00"/>
    <d v="1899-12-30T13:23:43"/>
    <d v="1899-12-30T22:00:05"/>
    <n v="8.6199999999999992"/>
    <n v="8.61"/>
    <n v="4.78"/>
    <n v="0.82"/>
    <n v="0"/>
    <n v="0.24"/>
    <n v="0.51"/>
    <n v="1.42"/>
    <n v="0.83"/>
    <n v="0"/>
    <n v="0"/>
    <n v="0"/>
    <n v="8.61"/>
    <n v="55.54"/>
    <n v="9.48"/>
    <n v="0"/>
    <n v="2.76"/>
    <n v="5.97"/>
    <n v="16.55"/>
    <n v="9.67"/>
    <n v="0"/>
    <n v="0"/>
    <n v="0.03"/>
    <n v="3"/>
    <x v="1"/>
  </r>
  <r>
    <x v="3"/>
    <x v="78"/>
    <x v="4"/>
    <x v="160"/>
    <n v="243"/>
    <n v="11"/>
    <n v="23"/>
    <n v="17"/>
    <n v="0"/>
    <n v="5"/>
    <n v="68"/>
    <s v="Jerrod Coleman"/>
    <s v="Collections Group"/>
    <d v="2025-10-07T00:00:00"/>
    <d v="1899-12-30T13:00:10"/>
    <d v="1899-12-30T21:59:05"/>
    <n v="8.98"/>
    <n v="8.98"/>
    <n v="4.71"/>
    <n v="0.13"/>
    <n v="0"/>
    <n v="0.8"/>
    <n v="1.85"/>
    <n v="1.47"/>
    <n v="0"/>
    <n v="0.01"/>
    <n v="0"/>
    <n v="0"/>
    <n v="8.98"/>
    <n v="52.5"/>
    <n v="1.5"/>
    <n v="0"/>
    <n v="8.9"/>
    <n v="20.58"/>
    <n v="16.41"/>
    <n v="0"/>
    <n v="0.06"/>
    <n v="0"/>
    <n v="0.05"/>
    <n v="3"/>
    <x v="1"/>
  </r>
  <r>
    <x v="5"/>
    <x v="78"/>
    <x v="4"/>
    <x v="126"/>
    <n v="174"/>
    <n v="7"/>
    <n v="13"/>
    <n v="8"/>
    <n v="3"/>
    <n v="0"/>
    <n v="33"/>
    <s v="Sabigh Masood"/>
    <s v="Collections Group"/>
    <d v="2025-10-07T00:00:00"/>
    <d v="1899-12-30T13:00:13"/>
    <d v="1899-12-30T22:01:29"/>
    <n v="9.02"/>
    <n v="9.02"/>
    <n v="5.62"/>
    <n v="0.7"/>
    <n v="0"/>
    <n v="0.32"/>
    <n v="0.92"/>
    <n v="1.46"/>
    <n v="0"/>
    <n v="0"/>
    <n v="0"/>
    <n v="0"/>
    <n v="9.02"/>
    <n v="62.34"/>
    <n v="7.73"/>
    <n v="0"/>
    <n v="3.58"/>
    <n v="10.19"/>
    <n v="16.13"/>
    <n v="0"/>
    <n v="0"/>
    <n v="0"/>
    <n v="0.03"/>
    <n v="3"/>
    <x v="1"/>
  </r>
  <r>
    <x v="10"/>
    <x v="78"/>
    <x v="4"/>
    <x v="13"/>
    <n v="2"/>
    <n v="1"/>
    <n v="0"/>
    <n v="0"/>
    <n v="0"/>
    <n v="0"/>
    <n v="0"/>
    <m/>
    <m/>
    <m/>
    <m/>
    <m/>
    <m/>
    <m/>
    <m/>
    <m/>
    <m/>
    <m/>
    <m/>
    <m/>
    <m/>
    <m/>
    <m/>
    <m/>
    <m/>
    <m/>
    <m/>
    <m/>
    <m/>
    <m/>
    <m/>
    <m/>
    <m/>
    <m/>
    <m/>
    <n v="3"/>
    <x v="1"/>
  </r>
  <r>
    <x v="6"/>
    <x v="78"/>
    <x v="4"/>
    <x v="161"/>
    <n v="0"/>
    <n v="0"/>
    <n v="0"/>
    <n v="0"/>
    <n v="0"/>
    <n v="0"/>
    <n v="0"/>
    <m/>
    <m/>
    <m/>
    <m/>
    <m/>
    <m/>
    <m/>
    <m/>
    <m/>
    <m/>
    <m/>
    <m/>
    <m/>
    <m/>
    <m/>
    <m/>
    <m/>
    <m/>
    <m/>
    <m/>
    <m/>
    <m/>
    <m/>
    <m/>
    <m/>
    <m/>
    <m/>
    <m/>
    <n v="3"/>
    <x v="1"/>
  </r>
  <r>
    <x v="0"/>
    <x v="79"/>
    <x v="4"/>
    <x v="143"/>
    <n v="162"/>
    <n v="3"/>
    <n v="7"/>
    <n v="8"/>
    <n v="0"/>
    <n v="4"/>
    <n v="48"/>
    <s v="Anais Orozco"/>
    <s v="Collections Group"/>
    <d v="2025-10-06T00:00:00"/>
    <d v="1899-12-30T13:02:25"/>
    <d v="1899-12-30T22:00:03"/>
    <n v="8.9700000000000006"/>
    <n v="8.01"/>
    <n v="5.58"/>
    <n v="0.22"/>
    <n v="0"/>
    <n v="0.51"/>
    <n v="1.46"/>
    <n v="0.13"/>
    <n v="0"/>
    <n v="0"/>
    <n v="7.0000000000000007E-2"/>
    <n v="0.03"/>
    <n v="8.01"/>
    <n v="69.69"/>
    <n v="2.78"/>
    <n v="0"/>
    <n v="6.36"/>
    <n v="18.239999999999998"/>
    <n v="1.68"/>
    <n v="0"/>
    <n v="0"/>
    <n v="0.85"/>
    <n v="0.4"/>
    <n v="2"/>
    <x v="2"/>
  </r>
  <r>
    <x v="1"/>
    <x v="79"/>
    <x v="4"/>
    <x v="162"/>
    <n v="144"/>
    <n v="9"/>
    <n v="14"/>
    <n v="5"/>
    <n v="1"/>
    <n v="1"/>
    <n v="28"/>
    <s v="Derice Warnsley"/>
    <s v="Collections Group"/>
    <d v="2025-10-06T00:00:00"/>
    <d v="1899-12-30T13:00:55"/>
    <d v="1899-12-30T22:00:10"/>
    <n v="9"/>
    <n v="8.99"/>
    <n v="5.07"/>
    <n v="0.04"/>
    <n v="0"/>
    <n v="0.11"/>
    <n v="1.82"/>
    <n v="1.45"/>
    <n v="0.49"/>
    <n v="0"/>
    <n v="0"/>
    <n v="0.01"/>
    <n v="8.99"/>
    <n v="56.46"/>
    <n v="0.45"/>
    <n v="0"/>
    <n v="1.26"/>
    <n v="20.23"/>
    <n v="16.14"/>
    <n v="5.4"/>
    <n v="0"/>
    <n v="0"/>
    <n v="0.06"/>
    <n v="2"/>
    <x v="2"/>
  </r>
  <r>
    <x v="2"/>
    <x v="79"/>
    <x v="4"/>
    <x v="163"/>
    <n v="115"/>
    <n v="3"/>
    <n v="2"/>
    <n v="4"/>
    <n v="0"/>
    <n v="4"/>
    <n v="32"/>
    <s v="Isiah Thomas"/>
    <s v="Collections Group"/>
    <d v="2025-10-06T00:00:00"/>
    <d v="1899-12-30T13:01:26"/>
    <d v="1899-12-30T22:00:03"/>
    <n v="8.98"/>
    <n v="8.98"/>
    <n v="4.88"/>
    <n v="0.42"/>
    <n v="0"/>
    <n v="0.18"/>
    <n v="1.24"/>
    <n v="1.5"/>
    <n v="0.76"/>
    <n v="0"/>
    <n v="0"/>
    <n v="0"/>
    <n v="8.98"/>
    <n v="54.35"/>
    <n v="4.63"/>
    <n v="0"/>
    <n v="1.96"/>
    <n v="13.8"/>
    <n v="16.71"/>
    <n v="8.51"/>
    <n v="0"/>
    <n v="0"/>
    <n v="0.04"/>
    <n v="2"/>
    <x v="2"/>
  </r>
  <r>
    <x v="3"/>
    <x v="79"/>
    <x v="4"/>
    <x v="164"/>
    <n v="152"/>
    <n v="12"/>
    <n v="12"/>
    <n v="4"/>
    <n v="0"/>
    <n v="6"/>
    <n v="27"/>
    <s v="Jerrod Coleman"/>
    <s v="Collections Group"/>
    <d v="2025-10-06T00:00:00"/>
    <d v="1899-12-30T13:07:29"/>
    <d v="1899-12-30T21:59:03"/>
    <n v="8.8699999999999992"/>
    <n v="8.86"/>
    <n v="4.5199999999999996"/>
    <n v="0.51"/>
    <n v="0"/>
    <n v="0.6"/>
    <n v="1.77"/>
    <n v="1.45"/>
    <n v="0"/>
    <n v="0"/>
    <n v="0"/>
    <n v="0.01"/>
    <n v="8.86"/>
    <n v="50.96"/>
    <n v="5.75"/>
    <n v="0"/>
    <n v="6.78"/>
    <n v="20"/>
    <n v="16.36"/>
    <n v="0"/>
    <n v="0"/>
    <n v="0"/>
    <n v="0.15"/>
    <n v="2"/>
    <x v="2"/>
  </r>
  <r>
    <x v="6"/>
    <x v="79"/>
    <x v="4"/>
    <x v="165"/>
    <n v="0"/>
    <n v="0"/>
    <n v="0"/>
    <n v="0"/>
    <n v="0"/>
    <n v="0"/>
    <n v="0"/>
    <m/>
    <m/>
    <m/>
    <m/>
    <m/>
    <m/>
    <m/>
    <m/>
    <m/>
    <m/>
    <m/>
    <m/>
    <m/>
    <m/>
    <m/>
    <m/>
    <m/>
    <m/>
    <m/>
    <m/>
    <m/>
    <m/>
    <m/>
    <m/>
    <m/>
    <m/>
    <m/>
    <m/>
    <n v="2"/>
    <x v="2"/>
  </r>
  <r>
    <x v="1"/>
    <x v="80"/>
    <x v="4"/>
    <x v="13"/>
    <n v="1"/>
    <n v="0"/>
    <n v="0"/>
    <n v="0"/>
    <n v="0"/>
    <n v="0"/>
    <n v="0"/>
    <m/>
    <m/>
    <m/>
    <m/>
    <m/>
    <m/>
    <m/>
    <m/>
    <m/>
    <m/>
    <m/>
    <m/>
    <m/>
    <m/>
    <m/>
    <m/>
    <m/>
    <m/>
    <m/>
    <m/>
    <m/>
    <m/>
    <m/>
    <m/>
    <m/>
    <m/>
    <m/>
    <m/>
    <n v="7"/>
    <x v="5"/>
  </r>
  <r>
    <x v="0"/>
    <x v="81"/>
    <x v="4"/>
    <x v="120"/>
    <n v="34"/>
    <n v="3"/>
    <n v="2"/>
    <n v="2"/>
    <n v="0"/>
    <n v="0"/>
    <n v="19"/>
    <s v="Anais Orozco"/>
    <s v="Collections Group"/>
    <d v="2025-10-03T00:00:00"/>
    <d v="1899-12-30T13:00:43"/>
    <d v="1899-12-30T22:00:10"/>
    <n v="9"/>
    <n v="8.0299999999999994"/>
    <n v="1.38"/>
    <n v="0"/>
    <n v="0"/>
    <n v="0.18"/>
    <n v="5.87"/>
    <n v="0.56999999999999995"/>
    <n v="0"/>
    <n v="0"/>
    <n v="0"/>
    <n v="0.02"/>
    <n v="8.0299999999999994"/>
    <n v="17.170000000000002"/>
    <n v="0"/>
    <n v="0"/>
    <n v="2.2999999999999998"/>
    <n v="73.150000000000006"/>
    <n v="7.16"/>
    <n v="0"/>
    <n v="0"/>
    <n v="0"/>
    <n v="0.22"/>
    <n v="6"/>
    <x v="3"/>
  </r>
  <r>
    <x v="1"/>
    <x v="81"/>
    <x v="4"/>
    <x v="116"/>
    <n v="51"/>
    <n v="2"/>
    <n v="2"/>
    <n v="1"/>
    <n v="2"/>
    <n v="0"/>
    <n v="25"/>
    <s v="Derice Warnsley"/>
    <s v="Collections Group"/>
    <d v="2025-10-03T00:00:00"/>
    <d v="1899-12-30T13:00:12"/>
    <d v="1899-12-30T22:00:03"/>
    <n v="9"/>
    <n v="9"/>
    <n v="1.66"/>
    <n v="0"/>
    <n v="0"/>
    <n v="0.04"/>
    <n v="5.91"/>
    <n v="1.38"/>
    <n v="0"/>
    <n v="0"/>
    <n v="0"/>
    <n v="0"/>
    <n v="9"/>
    <n v="18.489999999999998"/>
    <n v="0"/>
    <n v="0"/>
    <n v="0.43"/>
    <n v="65.67"/>
    <n v="15.37"/>
    <n v="0"/>
    <n v="0"/>
    <n v="0"/>
    <n v="0.04"/>
    <n v="6"/>
    <x v="3"/>
  </r>
  <r>
    <x v="2"/>
    <x v="81"/>
    <x v="4"/>
    <x v="76"/>
    <n v="36"/>
    <n v="2"/>
    <n v="0"/>
    <n v="12"/>
    <n v="0"/>
    <n v="0"/>
    <n v="17"/>
    <s v="Isiah Thomas"/>
    <s v="Collections Group"/>
    <d v="2025-10-03T00:00:00"/>
    <d v="1899-12-30T13:01:09"/>
    <d v="1899-12-30T22:00:04"/>
    <n v="8.98"/>
    <n v="8.98"/>
    <n v="0.68"/>
    <n v="7.0000000000000007E-2"/>
    <n v="0"/>
    <n v="0.17"/>
    <n v="6.54"/>
    <n v="1.52"/>
    <n v="0"/>
    <n v="0"/>
    <n v="0"/>
    <n v="0"/>
    <n v="8.98"/>
    <n v="7.58"/>
    <n v="0.82"/>
    <n v="0"/>
    <n v="1.86"/>
    <n v="72.8"/>
    <n v="16.91"/>
    <n v="0"/>
    <n v="0"/>
    <n v="0"/>
    <n v="0.03"/>
    <n v="6"/>
    <x v="3"/>
  </r>
  <r>
    <x v="3"/>
    <x v="81"/>
    <x v="4"/>
    <x v="113"/>
    <n v="46"/>
    <n v="0"/>
    <n v="0"/>
    <n v="4"/>
    <n v="0"/>
    <n v="2"/>
    <n v="25"/>
    <s v="Jerrod Coleman"/>
    <s v="Collections Group"/>
    <d v="2025-10-03T00:00:00"/>
    <d v="1899-12-30T13:00:10"/>
    <d v="1899-12-30T21:59:03"/>
    <n v="8.98"/>
    <n v="8.98"/>
    <n v="0.69"/>
    <n v="0.36"/>
    <n v="0"/>
    <n v="0.05"/>
    <n v="6.41"/>
    <n v="1.46"/>
    <n v="0"/>
    <n v="0"/>
    <n v="0"/>
    <n v="0.01"/>
    <n v="8.98"/>
    <n v="7.73"/>
    <n v="4.05"/>
    <n v="0"/>
    <n v="0.5"/>
    <n v="71.41"/>
    <n v="16.22"/>
    <n v="0"/>
    <n v="0"/>
    <n v="0"/>
    <n v="0.09"/>
    <n v="6"/>
    <x v="3"/>
  </r>
  <r>
    <x v="4"/>
    <x v="81"/>
    <x v="4"/>
    <x v="13"/>
    <n v="1"/>
    <n v="0"/>
    <n v="0"/>
    <n v="0"/>
    <n v="0"/>
    <n v="0"/>
    <n v="1"/>
    <s v="Rosette Rwabugahya"/>
    <s v="Collections Group"/>
    <d v="2025-10-03T00:00:00"/>
    <d v="1899-12-30T18:42:53"/>
    <d v="1899-12-30T18:45:44"/>
    <n v="0.05"/>
    <n v="0.05"/>
    <n v="0.04"/>
    <n v="0"/>
    <n v="0"/>
    <n v="0.01"/>
    <n v="0"/>
    <n v="0"/>
    <n v="0"/>
    <n v="0"/>
    <n v="0"/>
    <n v="0"/>
    <n v="0.05"/>
    <n v="75.44"/>
    <n v="0"/>
    <n v="0"/>
    <n v="15.2"/>
    <n v="0"/>
    <n v="0"/>
    <n v="0"/>
    <n v="0"/>
    <n v="0"/>
    <n v="9.36"/>
    <n v="6"/>
    <x v="3"/>
  </r>
  <r>
    <x v="5"/>
    <x v="81"/>
    <x v="4"/>
    <x v="73"/>
    <n v="51"/>
    <n v="5"/>
    <n v="0"/>
    <n v="3"/>
    <n v="0"/>
    <n v="0"/>
    <n v="13"/>
    <s v="Sabigh Masood"/>
    <s v="Collections Group"/>
    <d v="2025-10-03T00:00:00"/>
    <d v="1899-12-30T13:01:12"/>
    <d v="1899-12-30T22:00:23"/>
    <n v="8.98"/>
    <n v="8.99"/>
    <n v="1.1399999999999999"/>
    <n v="0.33"/>
    <n v="0"/>
    <n v="0.1"/>
    <n v="5.52"/>
    <n v="1.89"/>
    <n v="0"/>
    <n v="0"/>
    <n v="0"/>
    <n v="0"/>
    <n v="8.99"/>
    <n v="12.68"/>
    <n v="3.62"/>
    <n v="0"/>
    <n v="1.1299999999999999"/>
    <n v="61.47"/>
    <n v="21.06"/>
    <n v="0"/>
    <n v="0"/>
    <n v="0"/>
    <n v="0.03"/>
    <n v="6"/>
    <x v="3"/>
  </r>
  <r>
    <x v="6"/>
    <x v="81"/>
    <x v="4"/>
    <x v="135"/>
    <n v="0"/>
    <n v="0"/>
    <n v="0"/>
    <n v="0"/>
    <n v="0"/>
    <n v="0"/>
    <n v="0"/>
    <m/>
    <m/>
    <m/>
    <m/>
    <m/>
    <m/>
    <m/>
    <m/>
    <m/>
    <m/>
    <m/>
    <m/>
    <m/>
    <m/>
    <m/>
    <m/>
    <m/>
    <m/>
    <m/>
    <m/>
    <m/>
    <m/>
    <m/>
    <m/>
    <m/>
    <m/>
    <m/>
    <m/>
    <n v="6"/>
    <x v="3"/>
  </r>
  <r>
    <x v="0"/>
    <x v="82"/>
    <x v="4"/>
    <x v="76"/>
    <n v="39"/>
    <n v="3"/>
    <n v="2"/>
    <n v="0"/>
    <n v="0"/>
    <n v="0"/>
    <n v="18"/>
    <s v="Anais Orozco"/>
    <s v="Collections Group"/>
    <d v="2025-10-02T00:00:00"/>
    <d v="1899-12-30T13:00:52"/>
    <d v="1899-12-30T22:00:21"/>
    <n v="9"/>
    <n v="7.97"/>
    <n v="0.86"/>
    <n v="0.22"/>
    <n v="0"/>
    <n v="0.18"/>
    <n v="5.68"/>
    <n v="0.17"/>
    <n v="0.81"/>
    <n v="0"/>
    <n v="0"/>
    <n v="0.04"/>
    <n v="7.97"/>
    <n v="10.76"/>
    <n v="2.82"/>
    <n v="0"/>
    <n v="2.29"/>
    <n v="71.3"/>
    <n v="2.14"/>
    <n v="10.17"/>
    <n v="0"/>
    <n v="0"/>
    <n v="0.52"/>
    <n v="5"/>
    <x v="4"/>
  </r>
  <r>
    <x v="1"/>
    <x v="82"/>
    <x v="4"/>
    <x v="121"/>
    <n v="22"/>
    <n v="2"/>
    <n v="1"/>
    <n v="0"/>
    <n v="2"/>
    <n v="0"/>
    <n v="8"/>
    <s v="Derice Warnsley"/>
    <s v="Collections Group"/>
    <d v="2025-10-02T00:00:00"/>
    <d v="1899-12-30T13:01:07"/>
    <d v="1899-12-30T22:00:10"/>
    <n v="8.98"/>
    <n v="8.98"/>
    <n v="0.68"/>
    <n v="0.03"/>
    <n v="0"/>
    <n v="0.02"/>
    <n v="5.98"/>
    <n v="1.47"/>
    <n v="0.8"/>
    <n v="0"/>
    <n v="0"/>
    <n v="0"/>
    <n v="8.98"/>
    <n v="7.56"/>
    <n v="0.32"/>
    <n v="0"/>
    <n v="0.24"/>
    <n v="66.59"/>
    <n v="16.37"/>
    <n v="8.8800000000000008"/>
    <n v="0"/>
    <n v="0"/>
    <n v="0.04"/>
    <n v="5"/>
    <x v="4"/>
  </r>
  <r>
    <x v="2"/>
    <x v="82"/>
    <x v="4"/>
    <x v="104"/>
    <n v="55"/>
    <n v="3"/>
    <n v="3"/>
    <n v="3"/>
    <n v="0"/>
    <n v="0"/>
    <n v="35"/>
    <s v="Isiah Thomas"/>
    <s v="Collections Group"/>
    <d v="2025-10-02T00:00:00"/>
    <d v="1899-12-30T13:01:25"/>
    <d v="1899-12-30T22:00:02"/>
    <n v="8.98"/>
    <n v="8.98"/>
    <n v="0.8"/>
    <n v="0"/>
    <n v="0"/>
    <n v="0.14000000000000001"/>
    <n v="5.84"/>
    <n v="1.52"/>
    <n v="0.68"/>
    <n v="0"/>
    <n v="0"/>
    <n v="0"/>
    <n v="8.98"/>
    <n v="8.93"/>
    <n v="0"/>
    <n v="0"/>
    <n v="1.51"/>
    <n v="65.069999999999993"/>
    <n v="16.89"/>
    <n v="7.57"/>
    <n v="0"/>
    <n v="0"/>
    <n v="0.03"/>
    <n v="5"/>
    <x v="4"/>
  </r>
  <r>
    <x v="3"/>
    <x v="82"/>
    <x v="4"/>
    <x v="74"/>
    <n v="46"/>
    <n v="1"/>
    <n v="1"/>
    <n v="1"/>
    <n v="0"/>
    <n v="0"/>
    <n v="26"/>
    <s v="Jerrod Coleman"/>
    <s v="Collections Group"/>
    <d v="2025-10-02T00:00:00"/>
    <d v="1899-12-30T13:00:07"/>
    <d v="1899-12-30T21:59:07"/>
    <n v="8.98"/>
    <n v="8.98"/>
    <n v="0.52"/>
    <n v="0.17"/>
    <n v="0"/>
    <n v="0.05"/>
    <n v="5.98"/>
    <n v="1.46"/>
    <n v="0.8"/>
    <n v="0"/>
    <n v="0"/>
    <n v="0"/>
    <n v="8.98"/>
    <n v="5.77"/>
    <n v="1.93"/>
    <n v="0"/>
    <n v="0.56999999999999995"/>
    <n v="66.52"/>
    <n v="16.23"/>
    <n v="8.9499999999999993"/>
    <n v="0"/>
    <n v="0"/>
    <n v="0.04"/>
    <n v="5"/>
    <x v="4"/>
  </r>
  <r>
    <x v="5"/>
    <x v="82"/>
    <x v="4"/>
    <x v="73"/>
    <n v="52"/>
    <n v="2"/>
    <n v="5"/>
    <n v="2"/>
    <n v="0"/>
    <n v="0"/>
    <n v="24"/>
    <s v="Sabigh Masood"/>
    <s v="Collections Group"/>
    <d v="2025-10-02T00:00:00"/>
    <d v="1899-12-30T12:59:58"/>
    <d v="1899-12-30T22:08:53"/>
    <n v="9.15"/>
    <n v="9.15"/>
    <n v="0.88"/>
    <n v="0.33"/>
    <n v="0"/>
    <n v="0.28000000000000003"/>
    <n v="5.01"/>
    <n v="1.54"/>
    <n v="1.1100000000000001"/>
    <n v="0"/>
    <n v="0"/>
    <n v="0"/>
    <n v="9.15"/>
    <n v="9.58"/>
    <n v="3.57"/>
    <n v="0"/>
    <n v="3.09"/>
    <n v="54.76"/>
    <n v="16.8"/>
    <n v="12.17"/>
    <n v="0"/>
    <n v="0"/>
    <n v="0.03"/>
    <n v="5"/>
    <x v="4"/>
  </r>
  <r>
    <x v="6"/>
    <x v="82"/>
    <x v="4"/>
    <x v="166"/>
    <n v="0"/>
    <n v="0"/>
    <n v="0"/>
    <n v="0"/>
    <n v="0"/>
    <n v="0"/>
    <n v="0"/>
    <m/>
    <m/>
    <m/>
    <m/>
    <m/>
    <m/>
    <m/>
    <m/>
    <m/>
    <m/>
    <m/>
    <m/>
    <m/>
    <m/>
    <m/>
    <m/>
    <m/>
    <m/>
    <m/>
    <m/>
    <m/>
    <m/>
    <m/>
    <m/>
    <m/>
    <m/>
    <m/>
    <m/>
    <n v="5"/>
    <x v="4"/>
  </r>
  <r>
    <x v="0"/>
    <x v="83"/>
    <x v="4"/>
    <x v="78"/>
    <n v="61"/>
    <n v="1"/>
    <n v="3"/>
    <n v="0"/>
    <n v="0"/>
    <n v="0"/>
    <n v="22"/>
    <s v="Anais Orozco"/>
    <s v="Collections Group"/>
    <d v="2025-10-01T00:00:00"/>
    <d v="1899-12-30T13:01:08"/>
    <d v="1899-12-30T17:14:36"/>
    <n v="4.22"/>
    <n v="4.2300000000000004"/>
    <n v="2.5299999999999998"/>
    <n v="0"/>
    <n v="0"/>
    <n v="0.17"/>
    <n v="1.51"/>
    <n v="0"/>
    <n v="0"/>
    <n v="0"/>
    <n v="0"/>
    <n v="0.01"/>
    <n v="4.2300000000000004"/>
    <n v="59.94"/>
    <n v="0"/>
    <n v="0"/>
    <n v="4.0199999999999996"/>
    <n v="35.81"/>
    <n v="0"/>
    <n v="0"/>
    <n v="0"/>
    <n v="0"/>
    <n v="0.24"/>
    <n v="4"/>
    <x v="0"/>
  </r>
  <r>
    <x v="1"/>
    <x v="83"/>
    <x v="4"/>
    <x v="62"/>
    <n v="168"/>
    <n v="9"/>
    <n v="3"/>
    <n v="7"/>
    <n v="3"/>
    <n v="1"/>
    <n v="47"/>
    <s v="Derice Warnsley"/>
    <s v="Collections Group"/>
    <d v="2025-10-01T00:00:00"/>
    <d v="1899-12-30T13:00:14"/>
    <d v="1899-12-30T22:01:01"/>
    <n v="9.02"/>
    <n v="9.01"/>
    <n v="4.82"/>
    <n v="0.09"/>
    <n v="0"/>
    <n v="0.2"/>
    <n v="2.5499999999999998"/>
    <n v="1.35"/>
    <n v="0"/>
    <n v="0"/>
    <n v="0"/>
    <n v="0"/>
    <n v="9.01"/>
    <n v="53.54"/>
    <n v="0.97"/>
    <n v="0"/>
    <n v="2.1800000000000002"/>
    <n v="28.32"/>
    <n v="14.94"/>
    <n v="0"/>
    <n v="0"/>
    <n v="0"/>
    <n v="0.05"/>
    <n v="4"/>
    <x v="0"/>
  </r>
  <r>
    <x v="2"/>
    <x v="83"/>
    <x v="4"/>
    <x v="167"/>
    <n v="174"/>
    <n v="8"/>
    <n v="2"/>
    <n v="10"/>
    <n v="1"/>
    <n v="0"/>
    <n v="52"/>
    <s v="Isiah Thomas"/>
    <s v="Collections Group"/>
    <d v="2025-10-01T00:00:00"/>
    <d v="1899-12-30T13:01:40"/>
    <d v="1899-12-30T22:00:01"/>
    <n v="8.98"/>
    <n v="8.9700000000000006"/>
    <n v="4.74"/>
    <n v="0.64"/>
    <n v="0"/>
    <n v="0.56000000000000005"/>
    <n v="1.56"/>
    <n v="1.47"/>
    <n v="0"/>
    <n v="0"/>
    <n v="0"/>
    <n v="0"/>
    <n v="8.9700000000000006"/>
    <n v="52.88"/>
    <n v="7.1"/>
    <n v="0"/>
    <n v="6.22"/>
    <n v="17.34"/>
    <n v="16.43"/>
    <n v="0"/>
    <n v="0"/>
    <n v="0"/>
    <n v="0.04"/>
    <n v="4"/>
    <x v="0"/>
  </r>
  <r>
    <x v="3"/>
    <x v="83"/>
    <x v="4"/>
    <x v="138"/>
    <n v="178"/>
    <n v="2"/>
    <n v="7"/>
    <n v="4"/>
    <n v="0"/>
    <n v="0"/>
    <n v="51"/>
    <s v="Jerrod Coleman"/>
    <s v="Collections Group"/>
    <d v="2025-10-01T00:00:00"/>
    <d v="1899-12-30T13:00:06"/>
    <d v="1899-12-30T21:59:05"/>
    <n v="8.98"/>
    <n v="7.49"/>
    <n v="2.56"/>
    <n v="0.3"/>
    <n v="0"/>
    <n v="0.19"/>
    <n v="2.95"/>
    <n v="1.47"/>
    <n v="0"/>
    <n v="0"/>
    <n v="0"/>
    <n v="0.01"/>
    <n v="7.49"/>
    <n v="34.24"/>
    <n v="4.0599999999999996"/>
    <n v="0"/>
    <n v="2.5499999999999998"/>
    <n v="39.43"/>
    <n v="19.62"/>
    <n v="0"/>
    <n v="0"/>
    <n v="0"/>
    <n v="0.1"/>
    <n v="4"/>
    <x v="0"/>
  </r>
  <r>
    <x v="5"/>
    <x v="83"/>
    <x v="4"/>
    <x v="162"/>
    <n v="243"/>
    <n v="22"/>
    <n v="4"/>
    <n v="1"/>
    <n v="1"/>
    <n v="5"/>
    <n v="72"/>
    <s v="Sabigh Masood"/>
    <s v="Collections Group"/>
    <d v="2025-10-01T00:00:00"/>
    <d v="1899-12-30T13:01:13"/>
    <d v="1899-12-30T22:03:33"/>
    <n v="9.0299999999999994"/>
    <n v="9.0399999999999991"/>
    <n v="4.1900000000000004"/>
    <n v="0.4"/>
    <n v="0"/>
    <n v="0.52"/>
    <n v="2.48"/>
    <n v="1.44"/>
    <n v="0"/>
    <n v="0"/>
    <n v="0"/>
    <n v="0"/>
    <n v="9.0399999999999991"/>
    <n v="46.39"/>
    <n v="4.45"/>
    <n v="0"/>
    <n v="5.75"/>
    <n v="27.48"/>
    <n v="15.91"/>
    <n v="0"/>
    <n v="0"/>
    <n v="0"/>
    <n v="0.03"/>
    <n v="4"/>
    <x v="0"/>
  </r>
  <r>
    <x v="12"/>
    <x v="83"/>
    <x v="4"/>
    <x v="168"/>
    <n v="6"/>
    <n v="0"/>
    <n v="0"/>
    <n v="1"/>
    <n v="0"/>
    <n v="0"/>
    <n v="0"/>
    <s v="Tiffany Lane-Allen"/>
    <s v="Collections Group"/>
    <d v="2025-10-01T00:00:00"/>
    <d v="1899-12-30T20:43:44"/>
    <d v="1899-12-30T21:21:09"/>
    <n v="0.63"/>
    <n v="0.62"/>
    <n v="0.19"/>
    <n v="0"/>
    <n v="0"/>
    <n v="0.02"/>
    <n v="0"/>
    <n v="0"/>
    <n v="0"/>
    <n v="0"/>
    <n v="0"/>
    <n v="0.41"/>
    <n v="0.62"/>
    <n v="29.95"/>
    <n v="0"/>
    <n v="0"/>
    <n v="4"/>
    <n v="0"/>
    <n v="0"/>
    <n v="0"/>
    <n v="0"/>
    <n v="0"/>
    <n v="66.05"/>
    <n v="4"/>
    <x v="0"/>
  </r>
  <r>
    <x v="6"/>
    <x v="83"/>
    <x v="4"/>
    <x v="169"/>
    <n v="0"/>
    <n v="0"/>
    <n v="0"/>
    <n v="0"/>
    <n v="0"/>
    <n v="0"/>
    <n v="0"/>
    <m/>
    <m/>
    <m/>
    <m/>
    <m/>
    <m/>
    <m/>
    <m/>
    <m/>
    <m/>
    <m/>
    <m/>
    <m/>
    <m/>
    <m/>
    <m/>
    <m/>
    <m/>
    <m/>
    <m/>
    <m/>
    <m/>
    <m/>
    <m/>
    <m/>
    <m/>
    <m/>
    <m/>
    <n v="4"/>
    <x v="0"/>
  </r>
  <r>
    <x v="0"/>
    <x v="84"/>
    <x v="5"/>
    <x v="63"/>
    <n v="146"/>
    <n v="3"/>
    <n v="10"/>
    <n v="8"/>
    <n v="0"/>
    <n v="3"/>
    <n v="32"/>
    <s v="Anais Orozco"/>
    <s v="Collections Group"/>
    <d v="2025-09-30T00:00:00"/>
    <d v="1899-12-30T12:57:17"/>
    <d v="1899-12-30T22:00:16"/>
    <n v="9.0500000000000007"/>
    <n v="8.23"/>
    <n v="5.15"/>
    <n v="0.24"/>
    <n v="0"/>
    <n v="0.78"/>
    <n v="1.46"/>
    <n v="0.41"/>
    <n v="0.06"/>
    <n v="0"/>
    <n v="0.05"/>
    <n v="0.1"/>
    <n v="8.23"/>
    <n v="62.5"/>
    <n v="2.87"/>
    <n v="0"/>
    <n v="9.51"/>
    <n v="17.71"/>
    <n v="4.99"/>
    <n v="0.67"/>
    <n v="0"/>
    <n v="0.56999999999999995"/>
    <n v="1.18"/>
    <n v="3"/>
    <x v="1"/>
  </r>
  <r>
    <x v="1"/>
    <x v="84"/>
    <x v="5"/>
    <x v="164"/>
    <n v="169"/>
    <n v="7"/>
    <n v="2"/>
    <n v="11"/>
    <n v="0"/>
    <n v="0"/>
    <n v="39"/>
    <s v="Derice Warnsley"/>
    <s v="Collections Group"/>
    <d v="2025-09-30T00:00:00"/>
    <d v="1899-12-30T13:00:28"/>
    <d v="1899-12-30T22:00:11"/>
    <n v="9"/>
    <n v="8.99"/>
    <n v="5.09"/>
    <n v="0.25"/>
    <n v="0"/>
    <n v="0.17"/>
    <n v="1.4"/>
    <n v="1.41"/>
    <n v="0.67"/>
    <n v="0"/>
    <n v="0"/>
    <n v="0.01"/>
    <n v="8.99"/>
    <n v="56.61"/>
    <n v="2.83"/>
    <n v="0"/>
    <n v="1.86"/>
    <n v="15.53"/>
    <n v="15.68"/>
    <n v="7.43"/>
    <n v="0"/>
    <n v="0"/>
    <n v="7.0000000000000007E-2"/>
    <n v="3"/>
    <x v="1"/>
  </r>
  <r>
    <x v="2"/>
    <x v="84"/>
    <x v="5"/>
    <x v="170"/>
    <n v="157"/>
    <n v="5"/>
    <n v="2"/>
    <n v="9"/>
    <n v="0"/>
    <n v="1"/>
    <n v="23"/>
    <s v="Isiah Thomas"/>
    <s v="Collections Group"/>
    <d v="2025-09-30T00:00:00"/>
    <d v="1899-12-30T13:05:11"/>
    <d v="1899-12-30T22:00:03"/>
    <n v="8.92"/>
    <n v="8.91"/>
    <n v="5.82"/>
    <n v="0.17"/>
    <n v="0"/>
    <n v="0.4"/>
    <n v="1.04"/>
    <n v="1.48"/>
    <n v="0"/>
    <n v="0"/>
    <n v="0"/>
    <n v="0"/>
    <n v="8.91"/>
    <n v="65.33"/>
    <n v="1.86"/>
    <n v="0"/>
    <n v="4.4400000000000004"/>
    <n v="11.7"/>
    <n v="16.63"/>
    <n v="0"/>
    <n v="0"/>
    <n v="0"/>
    <n v="0.04"/>
    <n v="3"/>
    <x v="1"/>
  </r>
  <r>
    <x v="3"/>
    <x v="84"/>
    <x v="5"/>
    <x v="171"/>
    <n v="211"/>
    <n v="7"/>
    <n v="12"/>
    <n v="8"/>
    <n v="1"/>
    <n v="1"/>
    <n v="64"/>
    <s v="Jerrod Coleman"/>
    <s v="Collections Group"/>
    <d v="2025-09-30T00:00:00"/>
    <d v="1899-12-30T12:59:39"/>
    <d v="1899-12-30T22:02:15"/>
    <n v="9.0500000000000007"/>
    <n v="9.0399999999999991"/>
    <n v="4.37"/>
    <n v="0.13"/>
    <n v="0"/>
    <n v="0.67"/>
    <n v="2.44"/>
    <n v="1.42"/>
    <n v="0"/>
    <n v="0"/>
    <n v="0"/>
    <n v="0.01"/>
    <n v="9.0399999999999991"/>
    <n v="48.3"/>
    <n v="1.48"/>
    <n v="0"/>
    <n v="7.39"/>
    <n v="26.94"/>
    <n v="15.73"/>
    <n v="0"/>
    <n v="0"/>
    <n v="0"/>
    <n v="0.16"/>
    <n v="3"/>
    <x v="1"/>
  </r>
  <r>
    <x v="5"/>
    <x v="84"/>
    <x v="5"/>
    <x v="172"/>
    <n v="180"/>
    <n v="10"/>
    <n v="2"/>
    <n v="4"/>
    <n v="2"/>
    <n v="7"/>
    <n v="40"/>
    <s v="Sabigh Masood"/>
    <s v="Collections Group"/>
    <d v="2025-09-30T00:00:00"/>
    <d v="1899-12-30T13:00:33"/>
    <d v="1899-12-30T22:02:34"/>
    <n v="9.0299999999999994"/>
    <n v="9.0299999999999994"/>
    <n v="5.21"/>
    <n v="0.43"/>
    <n v="0"/>
    <n v="0.57999999999999996"/>
    <n v="1.32"/>
    <n v="1.48"/>
    <n v="0"/>
    <n v="0"/>
    <n v="0"/>
    <n v="0"/>
    <n v="9.0299999999999994"/>
    <n v="57.7"/>
    <n v="4.7300000000000004"/>
    <n v="0"/>
    <n v="6.46"/>
    <n v="14.66"/>
    <n v="16.420000000000002"/>
    <n v="0"/>
    <n v="0"/>
    <n v="0"/>
    <n v="0.03"/>
    <n v="3"/>
    <x v="1"/>
  </r>
  <r>
    <x v="6"/>
    <x v="84"/>
    <x v="5"/>
    <x v="173"/>
    <n v="0"/>
    <n v="0"/>
    <n v="0"/>
    <n v="0"/>
    <n v="0"/>
    <n v="0"/>
    <n v="0"/>
    <m/>
    <m/>
    <m/>
    <m/>
    <m/>
    <m/>
    <m/>
    <m/>
    <m/>
    <m/>
    <m/>
    <m/>
    <m/>
    <m/>
    <m/>
    <m/>
    <m/>
    <m/>
    <m/>
    <m/>
    <m/>
    <m/>
    <m/>
    <m/>
    <m/>
    <m/>
    <m/>
    <m/>
    <n v="3"/>
    <x v="1"/>
  </r>
  <r>
    <x v="0"/>
    <x v="85"/>
    <x v="5"/>
    <x v="71"/>
    <n v="141"/>
    <n v="5"/>
    <n v="5"/>
    <n v="1"/>
    <n v="1"/>
    <n v="5"/>
    <n v="37"/>
    <s v="Anais Orozco"/>
    <s v="Collections Group"/>
    <d v="2025-09-29T00:00:00"/>
    <d v="1899-12-30T12:59:53"/>
    <d v="1899-12-30T22:00:09"/>
    <n v="9.02"/>
    <n v="7.88"/>
    <n v="5.2"/>
    <n v="0.11"/>
    <n v="0"/>
    <n v="0.5"/>
    <n v="1.37"/>
    <n v="0.14000000000000001"/>
    <n v="0.53"/>
    <n v="0"/>
    <n v="0"/>
    <n v="0.02"/>
    <n v="7.88"/>
    <n v="66.08"/>
    <n v="1.42"/>
    <n v="0"/>
    <n v="6.33"/>
    <n v="17.350000000000001"/>
    <n v="1.79"/>
    <n v="6.76"/>
    <n v="0"/>
    <n v="0"/>
    <n v="0.27"/>
    <n v="2"/>
    <x v="2"/>
  </r>
  <r>
    <x v="1"/>
    <x v="85"/>
    <x v="5"/>
    <x v="174"/>
    <n v="192"/>
    <n v="13"/>
    <n v="11"/>
    <n v="7"/>
    <n v="0"/>
    <n v="2"/>
    <n v="39"/>
    <s v="Derice Warnsley"/>
    <s v="Collections Group"/>
    <d v="2025-09-29T00:00:00"/>
    <d v="1899-12-30T13:00:38"/>
    <d v="1899-12-30T22:23:51"/>
    <n v="9.3800000000000008"/>
    <n v="9.39"/>
    <n v="5.74"/>
    <n v="7.0000000000000007E-2"/>
    <n v="0"/>
    <n v="0.19"/>
    <n v="1.94"/>
    <n v="1.44"/>
    <n v="0"/>
    <n v="0"/>
    <n v="0"/>
    <n v="0"/>
    <n v="9.39"/>
    <n v="61.13"/>
    <n v="0.75"/>
    <n v="0"/>
    <n v="2.0699999999999998"/>
    <n v="20.68"/>
    <n v="15.33"/>
    <n v="0"/>
    <n v="0"/>
    <n v="0"/>
    <n v="0.04"/>
    <n v="2"/>
    <x v="2"/>
  </r>
  <r>
    <x v="2"/>
    <x v="85"/>
    <x v="5"/>
    <x v="175"/>
    <n v="104"/>
    <n v="4"/>
    <n v="2"/>
    <n v="6"/>
    <n v="0"/>
    <n v="2"/>
    <n v="10"/>
    <s v="Isiah Thomas"/>
    <s v="Collections Group"/>
    <d v="2025-09-29T00:00:00"/>
    <d v="1899-12-30T12:59:20"/>
    <d v="1899-12-30T22:00:05"/>
    <n v="9.02"/>
    <n v="9.01"/>
    <n v="6.32"/>
    <n v="0.32"/>
    <n v="0"/>
    <n v="0.38"/>
    <n v="0.47"/>
    <n v="1.5"/>
    <n v="0"/>
    <n v="0"/>
    <n v="0"/>
    <n v="0.03"/>
    <n v="9.01"/>
    <n v="70.150000000000006"/>
    <n v="3.51"/>
    <n v="0"/>
    <n v="4.1900000000000004"/>
    <n v="5.18"/>
    <n v="16.670000000000002"/>
    <n v="0"/>
    <n v="0"/>
    <n v="0"/>
    <n v="0.3"/>
    <n v="2"/>
    <x v="2"/>
  </r>
  <r>
    <x v="3"/>
    <x v="85"/>
    <x v="5"/>
    <x v="176"/>
    <n v="196"/>
    <n v="7"/>
    <n v="9"/>
    <n v="10"/>
    <n v="0"/>
    <n v="1"/>
    <n v="44"/>
    <s v="Jerrod Coleman"/>
    <s v="Collections Group"/>
    <d v="2025-09-29T00:00:00"/>
    <d v="1899-12-30T13:00:08"/>
    <d v="1899-12-30T21:59:21"/>
    <n v="8.98"/>
    <n v="8.99"/>
    <n v="4.78"/>
    <n v="0.6"/>
    <n v="0"/>
    <n v="0.63"/>
    <n v="1.55"/>
    <n v="1.41"/>
    <n v="0"/>
    <n v="0"/>
    <n v="0"/>
    <n v="0.01"/>
    <n v="8.99"/>
    <n v="53.19"/>
    <n v="6.72"/>
    <n v="0"/>
    <n v="7.06"/>
    <n v="17.25"/>
    <n v="15.71"/>
    <n v="0"/>
    <n v="0"/>
    <n v="0"/>
    <n v="0.06"/>
    <n v="2"/>
    <x v="2"/>
  </r>
  <r>
    <x v="5"/>
    <x v="85"/>
    <x v="5"/>
    <x v="126"/>
    <n v="143"/>
    <n v="6"/>
    <n v="9"/>
    <n v="6"/>
    <n v="1"/>
    <n v="2"/>
    <n v="23"/>
    <s v="Sabigh Masood"/>
    <s v="Collections Group"/>
    <d v="2025-09-29T00:00:00"/>
    <d v="1899-12-30T12:59:38"/>
    <d v="1899-12-30T22:05:21"/>
    <n v="9.1"/>
    <n v="9.1"/>
    <n v="5.73"/>
    <n v="0.26"/>
    <n v="0"/>
    <n v="0.6"/>
    <n v="0.97"/>
    <n v="1.47"/>
    <n v="0"/>
    <n v="0"/>
    <n v="0.06"/>
    <n v="0"/>
    <n v="9.1"/>
    <n v="62.98"/>
    <n v="2.81"/>
    <n v="0"/>
    <n v="6.65"/>
    <n v="10.72"/>
    <n v="16.14"/>
    <n v="0"/>
    <n v="0"/>
    <n v="0.68"/>
    <n v="0.03"/>
    <n v="2"/>
    <x v="2"/>
  </r>
  <r>
    <x v="6"/>
    <x v="85"/>
    <x v="5"/>
    <x v="177"/>
    <n v="0"/>
    <n v="0"/>
    <n v="0"/>
    <n v="0"/>
    <n v="0"/>
    <n v="0"/>
    <n v="0"/>
    <m/>
    <m/>
    <m/>
    <m/>
    <m/>
    <m/>
    <m/>
    <m/>
    <m/>
    <m/>
    <m/>
    <m/>
    <m/>
    <m/>
    <m/>
    <m/>
    <m/>
    <m/>
    <m/>
    <m/>
    <m/>
    <m/>
    <m/>
    <m/>
    <m/>
    <m/>
    <m/>
    <m/>
    <n v="2"/>
    <x v="2"/>
  </r>
  <r>
    <x v="0"/>
    <x v="86"/>
    <x v="5"/>
    <x v="178"/>
    <n v="26"/>
    <n v="2"/>
    <n v="3"/>
    <n v="2"/>
    <n v="2"/>
    <n v="1"/>
    <n v="10"/>
    <s v="Anais Orozco"/>
    <s v="Collections Group"/>
    <d v="2025-09-26T00:00:00"/>
    <d v="1899-12-30T12:59:59"/>
    <d v="1899-12-30T22:00:38"/>
    <n v="9.02"/>
    <n v="8.1199999999999992"/>
    <n v="1.86"/>
    <n v="0.28000000000000003"/>
    <n v="0"/>
    <n v="0.31"/>
    <n v="5.28"/>
    <n v="0.36"/>
    <n v="0"/>
    <n v="0"/>
    <n v="0"/>
    <n v="0.04"/>
    <n v="8.1199999999999992"/>
    <n v="22.86"/>
    <n v="3.45"/>
    <n v="0"/>
    <n v="3.79"/>
    <n v="64.97"/>
    <n v="4.3899999999999997"/>
    <n v="0"/>
    <n v="0"/>
    <n v="0"/>
    <n v="0.53"/>
    <n v="6"/>
    <x v="3"/>
  </r>
  <r>
    <x v="1"/>
    <x v="86"/>
    <x v="5"/>
    <x v="120"/>
    <n v="22"/>
    <n v="3"/>
    <n v="4"/>
    <n v="0"/>
    <n v="1"/>
    <n v="0"/>
    <n v="3"/>
    <s v="Derice Warnsley"/>
    <s v="Collections Group"/>
    <d v="2025-09-26T00:00:00"/>
    <d v="1899-12-30T13:00:20"/>
    <d v="1899-12-30T22:00:03"/>
    <n v="9"/>
    <n v="8.99"/>
    <n v="0.96"/>
    <n v="0.03"/>
    <n v="0"/>
    <n v="0.02"/>
    <n v="6.49"/>
    <n v="1.48"/>
    <n v="0"/>
    <n v="0"/>
    <n v="0"/>
    <n v="0.01"/>
    <n v="8.99"/>
    <n v="10.72"/>
    <n v="0.31"/>
    <n v="0"/>
    <n v="0.18"/>
    <n v="72.17"/>
    <n v="16.510000000000002"/>
    <n v="0"/>
    <n v="0"/>
    <n v="0"/>
    <n v="0.11"/>
    <n v="6"/>
    <x v="3"/>
  </r>
  <r>
    <x v="2"/>
    <x v="86"/>
    <x v="5"/>
    <x v="24"/>
    <n v="28"/>
    <n v="5"/>
    <n v="0"/>
    <n v="2"/>
    <n v="0"/>
    <n v="0"/>
    <n v="12"/>
    <s v="Isiah Thomas"/>
    <s v="Collections Group"/>
    <d v="2025-09-26T00:00:00"/>
    <d v="1899-12-30T13:00:05"/>
    <d v="1899-12-30T22:00:00"/>
    <n v="9"/>
    <n v="9"/>
    <n v="0.96"/>
    <n v="0.3"/>
    <n v="0"/>
    <n v="0.2"/>
    <n v="5.17"/>
    <n v="1.51"/>
    <n v="0.86"/>
    <n v="0"/>
    <n v="0"/>
    <n v="0"/>
    <n v="9"/>
    <n v="10.67"/>
    <n v="3.3"/>
    <n v="0"/>
    <n v="2.2200000000000002"/>
    <n v="57.49"/>
    <n v="16.75"/>
    <n v="9.5399999999999991"/>
    <n v="0"/>
    <n v="0"/>
    <n v="0.03"/>
    <n v="6"/>
    <x v="3"/>
  </r>
  <r>
    <x v="3"/>
    <x v="86"/>
    <x v="5"/>
    <x v="109"/>
    <n v="34"/>
    <n v="6"/>
    <n v="0"/>
    <n v="1"/>
    <n v="0"/>
    <n v="1"/>
    <n v="10"/>
    <s v="Jerrod Coleman"/>
    <s v="Collections Group"/>
    <d v="2025-09-26T00:00:00"/>
    <d v="1899-12-30T13:00:19"/>
    <d v="1899-12-30T21:59:47"/>
    <n v="8.98"/>
    <n v="8.99"/>
    <n v="1.23"/>
    <n v="0.36"/>
    <n v="0"/>
    <n v="0.25"/>
    <n v="5.66"/>
    <n v="1.49"/>
    <n v="0"/>
    <n v="0"/>
    <n v="0"/>
    <n v="0.01"/>
    <n v="8.99"/>
    <n v="13.7"/>
    <n v="3.96"/>
    <n v="0"/>
    <n v="2.78"/>
    <n v="62.9"/>
    <n v="16.61"/>
    <n v="0"/>
    <n v="0"/>
    <n v="0"/>
    <n v="0.06"/>
    <n v="6"/>
    <x v="3"/>
  </r>
  <r>
    <x v="5"/>
    <x v="86"/>
    <x v="5"/>
    <x v="147"/>
    <n v="22"/>
    <n v="5"/>
    <n v="1"/>
    <n v="1"/>
    <n v="2"/>
    <n v="0"/>
    <n v="5"/>
    <s v="Sabigh Masood"/>
    <s v="Collections Group"/>
    <d v="2025-09-26T00:00:00"/>
    <d v="1899-12-30T13:00:14"/>
    <d v="1899-12-30T18:37:11"/>
    <n v="5.62"/>
    <n v="5.62"/>
    <n v="1.47"/>
    <n v="0.28000000000000003"/>
    <n v="0"/>
    <n v="0.37"/>
    <n v="3.49"/>
    <n v="0"/>
    <n v="0"/>
    <n v="0"/>
    <n v="0"/>
    <n v="0"/>
    <n v="5.62"/>
    <n v="26.15"/>
    <n v="5.01"/>
    <n v="0"/>
    <n v="6.61"/>
    <n v="62.17"/>
    <n v="0"/>
    <n v="0"/>
    <n v="0"/>
    <n v="0"/>
    <n v="0.06"/>
    <n v="6"/>
    <x v="3"/>
  </r>
  <r>
    <x v="6"/>
    <x v="86"/>
    <x v="5"/>
    <x v="179"/>
    <n v="0"/>
    <n v="0"/>
    <n v="0"/>
    <n v="0"/>
    <n v="0"/>
    <n v="0"/>
    <n v="0"/>
    <m/>
    <m/>
    <m/>
    <m/>
    <m/>
    <m/>
    <m/>
    <m/>
    <m/>
    <m/>
    <m/>
    <m/>
    <m/>
    <m/>
    <m/>
    <m/>
    <m/>
    <m/>
    <m/>
    <m/>
    <m/>
    <m/>
    <m/>
    <m/>
    <m/>
    <m/>
    <m/>
    <m/>
    <n v="6"/>
    <x v="3"/>
  </r>
  <r>
    <x v="0"/>
    <x v="87"/>
    <x v="5"/>
    <x v="52"/>
    <n v="57"/>
    <n v="1"/>
    <n v="7"/>
    <n v="1"/>
    <n v="0"/>
    <n v="0"/>
    <n v="22"/>
    <s v="Anais Orozco"/>
    <s v="Collections Group"/>
    <d v="2025-09-25T00:00:00"/>
    <d v="1899-12-30T13:00:29"/>
    <d v="1899-12-30T22:04:11"/>
    <n v="9.07"/>
    <n v="8.19"/>
    <n v="2.31"/>
    <n v="0.51"/>
    <n v="0"/>
    <n v="0.34"/>
    <n v="3.55"/>
    <n v="0.15"/>
    <n v="1.3"/>
    <n v="0"/>
    <n v="0"/>
    <n v="0.03"/>
    <n v="8.19"/>
    <n v="28.21"/>
    <n v="6.26"/>
    <n v="0"/>
    <n v="4.1500000000000004"/>
    <n v="43.33"/>
    <n v="1.85"/>
    <n v="15.89"/>
    <n v="0"/>
    <n v="0"/>
    <n v="0.31"/>
    <n v="5"/>
    <x v="4"/>
  </r>
  <r>
    <x v="1"/>
    <x v="87"/>
    <x v="5"/>
    <x v="75"/>
    <n v="57"/>
    <n v="7"/>
    <n v="2"/>
    <n v="9"/>
    <n v="2"/>
    <n v="0"/>
    <n v="24"/>
    <s v="Derice Warnsley"/>
    <s v="Collections Group"/>
    <d v="2025-09-25T00:00:00"/>
    <d v="1899-12-30T13:00:19"/>
    <d v="1899-12-30T22:00:08"/>
    <n v="9"/>
    <n v="9"/>
    <n v="2.39"/>
    <n v="0.18"/>
    <n v="0"/>
    <n v="0.03"/>
    <n v="3.88"/>
    <n v="1.37"/>
    <n v="1.1399999999999999"/>
    <n v="0"/>
    <n v="0"/>
    <n v="0.01"/>
    <n v="9"/>
    <n v="26.52"/>
    <n v="2.0299999999999998"/>
    <n v="0"/>
    <n v="0.35"/>
    <n v="43.15"/>
    <n v="15.18"/>
    <n v="12.71"/>
    <n v="0"/>
    <n v="0"/>
    <n v="0.06"/>
    <n v="5"/>
    <x v="4"/>
  </r>
  <r>
    <x v="2"/>
    <x v="87"/>
    <x v="5"/>
    <x v="118"/>
    <n v="43"/>
    <n v="3"/>
    <n v="0"/>
    <n v="6"/>
    <n v="0"/>
    <n v="1"/>
    <n v="12"/>
    <s v="Isiah Thomas"/>
    <s v="Collections Group"/>
    <d v="2025-09-25T00:00:00"/>
    <d v="1899-12-30T13:01:43"/>
    <d v="1899-12-30T22:00:02"/>
    <n v="8.98"/>
    <n v="8.9700000000000006"/>
    <n v="2"/>
    <n v="0"/>
    <n v="0"/>
    <n v="0.18"/>
    <n v="4.0599999999999996"/>
    <n v="1.48"/>
    <n v="1.25"/>
    <n v="0"/>
    <n v="0"/>
    <n v="0"/>
    <n v="8.9700000000000006"/>
    <n v="22.31"/>
    <n v="0"/>
    <n v="0"/>
    <n v="2.06"/>
    <n v="45.24"/>
    <n v="16.440000000000001"/>
    <n v="13.92"/>
    <n v="0"/>
    <n v="0"/>
    <n v="0.03"/>
    <n v="5"/>
    <x v="4"/>
  </r>
  <r>
    <x v="3"/>
    <x v="87"/>
    <x v="5"/>
    <x v="108"/>
    <n v="41"/>
    <n v="5"/>
    <n v="4"/>
    <n v="6"/>
    <n v="0"/>
    <n v="4"/>
    <n v="15"/>
    <s v="Jerrod Coleman"/>
    <s v="Collections Group"/>
    <d v="2025-09-25T00:00:00"/>
    <d v="1899-12-30T13:00:19"/>
    <d v="1899-12-30T21:59:07"/>
    <n v="8.98"/>
    <n v="8.98"/>
    <n v="1.45"/>
    <n v="0.31"/>
    <n v="0"/>
    <n v="0.19"/>
    <n v="4.2699999999999996"/>
    <n v="1.47"/>
    <n v="1.29"/>
    <n v="0"/>
    <n v="0"/>
    <n v="0"/>
    <n v="8.98"/>
    <n v="16.14"/>
    <n v="3.41"/>
    <n v="0"/>
    <n v="2.08"/>
    <n v="47.56"/>
    <n v="16.420000000000002"/>
    <n v="14.34"/>
    <n v="0"/>
    <n v="0"/>
    <n v="0.05"/>
    <n v="5"/>
    <x v="4"/>
  </r>
  <r>
    <x v="13"/>
    <x v="87"/>
    <x v="5"/>
    <x v="13"/>
    <n v="2"/>
    <n v="0"/>
    <n v="0"/>
    <n v="1"/>
    <n v="0"/>
    <n v="0"/>
    <n v="0"/>
    <m/>
    <m/>
    <m/>
    <m/>
    <m/>
    <m/>
    <m/>
    <m/>
    <m/>
    <m/>
    <m/>
    <m/>
    <m/>
    <m/>
    <m/>
    <m/>
    <m/>
    <m/>
    <m/>
    <m/>
    <m/>
    <m/>
    <m/>
    <m/>
    <m/>
    <m/>
    <m/>
    <m/>
    <n v="5"/>
    <x v="4"/>
  </r>
  <r>
    <x v="5"/>
    <x v="87"/>
    <x v="5"/>
    <x v="69"/>
    <n v="67"/>
    <n v="7"/>
    <n v="3"/>
    <n v="4"/>
    <n v="1"/>
    <n v="1"/>
    <n v="32"/>
    <s v="Sabigh Masood"/>
    <s v="Collections Group"/>
    <d v="2025-09-25T00:00:00"/>
    <d v="1899-12-30T12:59:54"/>
    <d v="1899-12-30T22:13:04"/>
    <n v="9.23"/>
    <n v="9.2200000000000006"/>
    <n v="2.42"/>
    <n v="0.3"/>
    <n v="0"/>
    <n v="0.69"/>
    <n v="2.75"/>
    <n v="1.32"/>
    <n v="1.74"/>
    <n v="0"/>
    <n v="0"/>
    <n v="0"/>
    <n v="9.2200000000000006"/>
    <n v="26.23"/>
    <n v="3.24"/>
    <n v="0"/>
    <n v="7.46"/>
    <n v="29.87"/>
    <n v="14.33"/>
    <n v="18.84"/>
    <n v="0"/>
    <n v="0"/>
    <n v="0.03"/>
    <n v="5"/>
    <x v="4"/>
  </r>
  <r>
    <x v="6"/>
    <x v="87"/>
    <x v="5"/>
    <x v="180"/>
    <n v="0"/>
    <n v="0"/>
    <n v="0"/>
    <n v="0"/>
    <n v="0"/>
    <n v="0"/>
    <n v="0"/>
    <m/>
    <m/>
    <m/>
    <m/>
    <m/>
    <m/>
    <m/>
    <m/>
    <m/>
    <m/>
    <m/>
    <m/>
    <m/>
    <m/>
    <m/>
    <m/>
    <m/>
    <m/>
    <m/>
    <m/>
    <m/>
    <m/>
    <m/>
    <m/>
    <m/>
    <m/>
    <m/>
    <m/>
    <n v="5"/>
    <x v="4"/>
  </r>
  <r>
    <x v="0"/>
    <x v="88"/>
    <x v="5"/>
    <x v="62"/>
    <n v="165"/>
    <n v="10"/>
    <n v="16"/>
    <n v="12"/>
    <n v="0"/>
    <n v="0"/>
    <n v="44"/>
    <s v="Anais Orozco"/>
    <s v="Collections Group"/>
    <d v="2025-09-24T00:00:00"/>
    <d v="1899-12-30T13:00:09"/>
    <d v="1899-12-30T22:00:26"/>
    <n v="9"/>
    <n v="8.11"/>
    <n v="4.0199999999999996"/>
    <n v="0.23"/>
    <n v="0"/>
    <n v="0.97"/>
    <n v="2.52"/>
    <n v="0.35"/>
    <n v="0"/>
    <n v="0"/>
    <n v="0"/>
    <n v="0.02"/>
    <n v="8.11"/>
    <n v="49.61"/>
    <n v="2.8"/>
    <n v="0"/>
    <n v="11.97"/>
    <n v="31.06"/>
    <n v="4.3099999999999996"/>
    <n v="0"/>
    <n v="0"/>
    <n v="0"/>
    <n v="0.25"/>
    <n v="4"/>
    <x v="0"/>
  </r>
  <r>
    <x v="1"/>
    <x v="88"/>
    <x v="5"/>
    <x v="181"/>
    <n v="171"/>
    <n v="4"/>
    <n v="5"/>
    <n v="15"/>
    <n v="0"/>
    <n v="1"/>
    <n v="40"/>
    <s v="Derice Warnsley"/>
    <s v="Collections Group"/>
    <d v="2025-09-24T00:00:00"/>
    <d v="1899-12-30T13:00:13"/>
    <d v="1899-12-30T22:00:07"/>
    <n v="9"/>
    <n v="9"/>
    <n v="4.4400000000000004"/>
    <n v="0.09"/>
    <n v="0"/>
    <n v="0.1"/>
    <n v="2.91"/>
    <n v="1.46"/>
    <n v="0"/>
    <n v="0"/>
    <n v="0"/>
    <n v="0.01"/>
    <n v="9"/>
    <n v="49.3"/>
    <n v="0.95"/>
    <n v="0"/>
    <n v="1.1399999999999999"/>
    <n v="32.340000000000003"/>
    <n v="16.190000000000001"/>
    <n v="0"/>
    <n v="0"/>
    <n v="0"/>
    <n v="0.08"/>
    <n v="4"/>
    <x v="0"/>
  </r>
  <r>
    <x v="2"/>
    <x v="88"/>
    <x v="5"/>
    <x v="63"/>
    <n v="125"/>
    <n v="4"/>
    <n v="3"/>
    <n v="10"/>
    <n v="0"/>
    <n v="1"/>
    <n v="25"/>
    <s v="Isiah Thomas"/>
    <s v="Collections Group"/>
    <d v="2025-09-24T00:00:00"/>
    <d v="1899-12-30T13:03:10"/>
    <d v="1899-12-30T22:00:34"/>
    <n v="8.9499999999999993"/>
    <n v="8.9499999999999993"/>
    <n v="5.65"/>
    <n v="0.28999999999999998"/>
    <n v="0"/>
    <n v="0.4"/>
    <n v="1.1000000000000001"/>
    <n v="1.5"/>
    <n v="0"/>
    <n v="0"/>
    <n v="0"/>
    <n v="0.01"/>
    <n v="8.9499999999999993"/>
    <n v="63.15"/>
    <n v="3.25"/>
    <n v="0"/>
    <n v="4.49"/>
    <n v="12.27"/>
    <n v="16.760000000000002"/>
    <n v="0"/>
    <n v="0"/>
    <n v="0"/>
    <n v="7.0000000000000007E-2"/>
    <n v="4"/>
    <x v="0"/>
  </r>
  <r>
    <x v="3"/>
    <x v="88"/>
    <x v="5"/>
    <x v="182"/>
    <n v="196"/>
    <n v="5"/>
    <n v="5"/>
    <n v="3"/>
    <n v="0"/>
    <n v="2"/>
    <n v="61"/>
    <s v="Jerrod Coleman"/>
    <s v="Collections Group"/>
    <d v="2025-09-24T00:00:00"/>
    <d v="1899-12-30T13:00:59"/>
    <d v="1899-12-30T21:59:11"/>
    <n v="8.98"/>
    <n v="8.94"/>
    <n v="3.09"/>
    <n v="0.75"/>
    <n v="0"/>
    <n v="0.32"/>
    <n v="3.31"/>
    <n v="1.47"/>
    <n v="0"/>
    <n v="0"/>
    <n v="0"/>
    <n v="0.01"/>
    <n v="8.94"/>
    <n v="34.56"/>
    <n v="8.34"/>
    <n v="0"/>
    <n v="3.54"/>
    <n v="37.049999999999997"/>
    <n v="16.41"/>
    <n v="0"/>
    <n v="0"/>
    <n v="0"/>
    <n v="0.1"/>
    <n v="4"/>
    <x v="0"/>
  </r>
  <r>
    <x v="5"/>
    <x v="88"/>
    <x v="5"/>
    <x v="183"/>
    <n v="168"/>
    <n v="10"/>
    <n v="10"/>
    <n v="10"/>
    <n v="0"/>
    <n v="1"/>
    <n v="41"/>
    <s v="Sabigh Masood"/>
    <s v="Collections Group"/>
    <d v="2025-09-24T00:00:00"/>
    <d v="1899-12-30T13:01:36"/>
    <d v="1899-12-30T22:02:05"/>
    <n v="9.02"/>
    <n v="9.01"/>
    <n v="4.95"/>
    <n v="0.26"/>
    <n v="0"/>
    <n v="0.61"/>
    <n v="1.48"/>
    <n v="1.44"/>
    <n v="0.28000000000000003"/>
    <n v="0"/>
    <n v="0"/>
    <n v="0"/>
    <n v="9.01"/>
    <n v="54.9"/>
    <n v="2.91"/>
    <n v="0"/>
    <n v="6.76"/>
    <n v="16.37"/>
    <n v="15.96"/>
    <n v="3.06"/>
    <n v="0"/>
    <n v="0"/>
    <n v="0.03"/>
    <n v="4"/>
    <x v="0"/>
  </r>
  <r>
    <x v="6"/>
    <x v="88"/>
    <x v="5"/>
    <x v="184"/>
    <n v="0"/>
    <n v="0"/>
    <n v="0"/>
    <n v="0"/>
    <n v="0"/>
    <n v="0"/>
    <n v="0"/>
    <m/>
    <m/>
    <m/>
    <m/>
    <m/>
    <m/>
    <m/>
    <m/>
    <m/>
    <m/>
    <m/>
    <m/>
    <m/>
    <m/>
    <m/>
    <m/>
    <m/>
    <m/>
    <m/>
    <m/>
    <m/>
    <m/>
    <m/>
    <m/>
    <m/>
    <m/>
    <m/>
    <m/>
    <n v="4"/>
    <x v="0"/>
  </r>
  <r>
    <x v="0"/>
    <x v="89"/>
    <x v="5"/>
    <x v="94"/>
    <n v="113"/>
    <n v="13"/>
    <n v="7"/>
    <n v="8"/>
    <n v="0"/>
    <n v="1"/>
    <n v="32"/>
    <s v="Anais Orozco"/>
    <s v="Collections Group"/>
    <d v="2025-09-23T00:00:00"/>
    <d v="1899-12-30T13:00:24"/>
    <d v="1899-12-30T22:08:23"/>
    <n v="9.1300000000000008"/>
    <n v="8.24"/>
    <n v="5.2"/>
    <n v="0.33"/>
    <n v="0"/>
    <n v="0.76"/>
    <n v="1.4"/>
    <n v="0.54"/>
    <n v="0"/>
    <n v="0"/>
    <n v="0"/>
    <n v="0.02"/>
    <n v="8.24"/>
    <n v="63.14"/>
    <n v="3.99"/>
    <n v="0"/>
    <n v="9.17"/>
    <n v="16.95"/>
    <n v="6.56"/>
    <n v="0"/>
    <n v="0"/>
    <n v="0"/>
    <n v="0.2"/>
    <n v="3"/>
    <x v="1"/>
  </r>
  <r>
    <x v="1"/>
    <x v="89"/>
    <x v="5"/>
    <x v="185"/>
    <n v="186"/>
    <n v="16"/>
    <n v="5"/>
    <n v="10"/>
    <n v="1"/>
    <n v="0"/>
    <n v="36"/>
    <s v="Derice Warnsley"/>
    <s v="Collections Group"/>
    <d v="2025-09-23T00:00:00"/>
    <d v="1899-12-30T13:00:06"/>
    <d v="1899-12-30T22:00:06"/>
    <n v="9"/>
    <n v="9"/>
    <n v="5.91"/>
    <n v="0"/>
    <n v="0"/>
    <n v="0.11"/>
    <n v="1.51"/>
    <n v="1.46"/>
    <n v="0"/>
    <n v="0"/>
    <n v="0"/>
    <n v="0.01"/>
    <n v="9"/>
    <n v="65.7"/>
    <n v="0"/>
    <n v="0"/>
    <n v="1.2"/>
    <n v="16.78"/>
    <n v="16.239999999999998"/>
    <n v="0"/>
    <n v="0"/>
    <n v="0"/>
    <n v="0.08"/>
    <n v="3"/>
    <x v="1"/>
  </r>
  <r>
    <x v="2"/>
    <x v="89"/>
    <x v="5"/>
    <x v="22"/>
    <n v="92"/>
    <n v="9"/>
    <n v="2"/>
    <n v="11"/>
    <n v="0"/>
    <n v="2"/>
    <n v="11"/>
    <s v="Isiah Thomas"/>
    <s v="Collections Group"/>
    <d v="2025-09-23T00:00:00"/>
    <d v="1899-12-30T13:02:32"/>
    <d v="1899-12-30T22:00:02"/>
    <n v="8.9700000000000006"/>
    <n v="8.9600000000000009"/>
    <n v="6.01"/>
    <n v="0.05"/>
    <n v="0"/>
    <n v="0.5"/>
    <n v="0.82"/>
    <n v="1.52"/>
    <n v="0"/>
    <n v="0"/>
    <n v="0.06"/>
    <n v="0"/>
    <n v="8.9600000000000009"/>
    <n v="67.099999999999994"/>
    <n v="0.51"/>
    <n v="0"/>
    <n v="5.6"/>
    <n v="9.11"/>
    <n v="16.940000000000001"/>
    <n v="0"/>
    <n v="0"/>
    <n v="0.71"/>
    <n v="0.03"/>
    <n v="3"/>
    <x v="1"/>
  </r>
  <r>
    <x v="3"/>
    <x v="89"/>
    <x v="5"/>
    <x v="186"/>
    <n v="173"/>
    <n v="13"/>
    <n v="9"/>
    <n v="6"/>
    <n v="0"/>
    <n v="2"/>
    <n v="34"/>
    <s v="Jerrod Coleman"/>
    <s v="Collections Group"/>
    <d v="2025-09-23T00:00:00"/>
    <d v="1899-12-30T12:59:23"/>
    <d v="1899-12-30T21:59:11"/>
    <n v="9"/>
    <n v="8.93"/>
    <n v="4.9800000000000004"/>
    <n v="0.22"/>
    <n v="0"/>
    <n v="0.46"/>
    <n v="1.8"/>
    <n v="1.45"/>
    <n v="0"/>
    <n v="0"/>
    <n v="0"/>
    <n v="0.01"/>
    <n v="8.93"/>
    <n v="55.75"/>
    <n v="2.5099999999999998"/>
    <n v="0"/>
    <n v="5.19"/>
    <n v="20.18"/>
    <n v="16.28"/>
    <n v="0"/>
    <n v="0"/>
    <n v="0"/>
    <n v="0.09"/>
    <n v="3"/>
    <x v="1"/>
  </r>
  <r>
    <x v="5"/>
    <x v="89"/>
    <x v="5"/>
    <x v="137"/>
    <n v="136"/>
    <n v="4"/>
    <n v="3"/>
    <n v="6"/>
    <n v="1"/>
    <n v="0"/>
    <n v="21"/>
    <s v="Sabigh Masood"/>
    <s v="Collections Group"/>
    <d v="2025-09-23T00:00:00"/>
    <d v="1899-12-30T13:00:42"/>
    <d v="1899-12-30T22:02:44"/>
    <n v="9.0299999999999994"/>
    <n v="9.0399999999999991"/>
    <n v="5.48"/>
    <n v="0.48"/>
    <n v="0"/>
    <n v="0.27"/>
    <n v="1.36"/>
    <n v="1.45"/>
    <n v="0"/>
    <n v="0"/>
    <n v="0"/>
    <n v="0"/>
    <n v="9.0399999999999991"/>
    <n v="60.61"/>
    <n v="5.27"/>
    <n v="0"/>
    <n v="3.02"/>
    <n v="15"/>
    <n v="16.059999999999999"/>
    <n v="0"/>
    <n v="0"/>
    <n v="0"/>
    <n v="0.03"/>
    <n v="3"/>
    <x v="1"/>
  </r>
  <r>
    <x v="6"/>
    <x v="89"/>
    <x v="5"/>
    <x v="187"/>
    <n v="0"/>
    <n v="0"/>
    <n v="0"/>
    <n v="0"/>
    <n v="0"/>
    <n v="0"/>
    <n v="0"/>
    <m/>
    <m/>
    <m/>
    <m/>
    <m/>
    <m/>
    <m/>
    <m/>
    <m/>
    <m/>
    <m/>
    <m/>
    <m/>
    <m/>
    <m/>
    <m/>
    <m/>
    <m/>
    <m/>
    <m/>
    <m/>
    <m/>
    <m/>
    <m/>
    <m/>
    <m/>
    <m/>
    <m/>
    <n v="3"/>
    <x v="1"/>
  </r>
  <r>
    <x v="0"/>
    <x v="90"/>
    <x v="5"/>
    <x v="22"/>
    <n v="113"/>
    <n v="1"/>
    <n v="7"/>
    <n v="5"/>
    <n v="0"/>
    <n v="5"/>
    <n v="23"/>
    <s v="Anais Orozco"/>
    <s v="Collections Group"/>
    <d v="2025-09-22T00:00:00"/>
    <d v="1899-12-30T13:00:56"/>
    <d v="1899-12-30T22:04:48"/>
    <n v="9.07"/>
    <n v="8.17"/>
    <n v="3.79"/>
    <n v="0.04"/>
    <n v="0"/>
    <n v="0.55000000000000004"/>
    <n v="3.28"/>
    <n v="0.46"/>
    <n v="0"/>
    <n v="0"/>
    <n v="0.01"/>
    <n v="0.04"/>
    <n v="8.17"/>
    <n v="46.44"/>
    <n v="0.5"/>
    <n v="0"/>
    <n v="6.69"/>
    <n v="40.130000000000003"/>
    <n v="5.69"/>
    <n v="0"/>
    <n v="0"/>
    <n v="0.08"/>
    <n v="0.48"/>
    <n v="2"/>
    <x v="2"/>
  </r>
  <r>
    <x v="1"/>
    <x v="90"/>
    <x v="5"/>
    <x v="150"/>
    <n v="140"/>
    <n v="11"/>
    <n v="8"/>
    <n v="30"/>
    <n v="0"/>
    <n v="0"/>
    <n v="28"/>
    <s v="Derice Warnsley"/>
    <s v="Collections Group"/>
    <d v="2025-09-22T00:00:00"/>
    <d v="1899-12-30T13:00:30"/>
    <d v="1899-12-30T22:00:52"/>
    <n v="9"/>
    <n v="8.9600000000000009"/>
    <n v="4"/>
    <n v="0.09"/>
    <n v="0"/>
    <n v="0.12"/>
    <n v="3.2"/>
    <n v="1.24"/>
    <n v="0.3"/>
    <n v="0"/>
    <n v="0"/>
    <n v="0.01"/>
    <n v="8.9600000000000009"/>
    <n v="44.67"/>
    <n v="0.99"/>
    <n v="0"/>
    <n v="1.36"/>
    <n v="35.700000000000003"/>
    <n v="13.8"/>
    <n v="3.38"/>
    <n v="0"/>
    <n v="0"/>
    <n v="0.1"/>
    <n v="2"/>
    <x v="2"/>
  </r>
  <r>
    <x v="2"/>
    <x v="90"/>
    <x v="5"/>
    <x v="34"/>
    <n v="77"/>
    <n v="4"/>
    <n v="8"/>
    <n v="6"/>
    <n v="0"/>
    <n v="1"/>
    <n v="22"/>
    <s v="Isiah Thomas"/>
    <s v="Collections Group"/>
    <d v="2025-09-22T00:00:00"/>
    <d v="1899-12-30T13:02:12"/>
    <d v="1899-12-30T22:03:14"/>
    <n v="9.02"/>
    <n v="9.02"/>
    <n v="3.89"/>
    <n v="0.2"/>
    <n v="0"/>
    <n v="0.4"/>
    <n v="2.5499999999999998"/>
    <n v="1.48"/>
    <n v="0.47"/>
    <n v="0.03"/>
    <n v="0"/>
    <n v="0"/>
    <n v="9.02"/>
    <n v="43.12"/>
    <n v="2.25"/>
    <n v="0"/>
    <n v="4.4400000000000004"/>
    <n v="28.29"/>
    <n v="16.41"/>
    <n v="5.17"/>
    <n v="0.28999999999999998"/>
    <n v="0"/>
    <n v="0.04"/>
    <n v="2"/>
    <x v="2"/>
  </r>
  <r>
    <x v="3"/>
    <x v="90"/>
    <x v="5"/>
    <x v="188"/>
    <n v="153"/>
    <n v="2"/>
    <n v="9"/>
    <n v="4"/>
    <n v="0"/>
    <n v="4"/>
    <n v="25"/>
    <s v="Jerrod Coleman"/>
    <s v="Collections Group"/>
    <d v="2025-09-22T00:00:00"/>
    <d v="1899-12-30T13:00:30"/>
    <d v="1899-12-30T22:00:05"/>
    <n v="9"/>
    <n v="8.99"/>
    <n v="4.6399999999999997"/>
    <n v="0.51"/>
    <n v="0"/>
    <n v="0.46"/>
    <n v="1.94"/>
    <n v="1.44"/>
    <n v="0"/>
    <n v="0"/>
    <n v="0"/>
    <n v="0"/>
    <n v="8.99"/>
    <n v="51.58"/>
    <n v="5.63"/>
    <n v="0"/>
    <n v="5.08"/>
    <n v="21.61"/>
    <n v="16.059999999999999"/>
    <n v="0"/>
    <n v="0"/>
    <n v="0"/>
    <n v="0.04"/>
    <n v="2"/>
    <x v="2"/>
  </r>
  <r>
    <x v="4"/>
    <x v="90"/>
    <x v="5"/>
    <x v="13"/>
    <n v="2"/>
    <n v="0"/>
    <n v="0"/>
    <n v="0"/>
    <n v="0"/>
    <n v="0"/>
    <n v="0"/>
    <s v="Rosette Rwabugahya"/>
    <s v="Collections Group"/>
    <d v="2025-09-22T00:00:00"/>
    <d v="1899-12-30T15:50:55"/>
    <d v="1899-12-30T15:53:30"/>
    <n v="0.05"/>
    <n v="0.04"/>
    <n v="0.03"/>
    <n v="0"/>
    <n v="0"/>
    <n v="0"/>
    <n v="0"/>
    <n v="0"/>
    <n v="0"/>
    <n v="0"/>
    <n v="0"/>
    <n v="0"/>
    <n v="0.04"/>
    <n v="81.17"/>
    <n v="0"/>
    <n v="0"/>
    <n v="9.74"/>
    <n v="0"/>
    <n v="0"/>
    <n v="0"/>
    <n v="0"/>
    <n v="0"/>
    <n v="9.09"/>
    <n v="2"/>
    <x v="2"/>
  </r>
  <r>
    <x v="5"/>
    <x v="90"/>
    <x v="5"/>
    <x v="156"/>
    <n v="111"/>
    <n v="8"/>
    <n v="9"/>
    <n v="7"/>
    <n v="0"/>
    <n v="0"/>
    <n v="16"/>
    <s v="Sabigh Masood"/>
    <s v="Collections Group"/>
    <d v="2025-09-22T00:00:00"/>
    <d v="1899-12-30T13:00:11"/>
    <d v="1899-12-30T22:01:29"/>
    <n v="9.02"/>
    <n v="9.0299999999999994"/>
    <n v="4.6100000000000003"/>
    <n v="0.26"/>
    <n v="0"/>
    <n v="0.64"/>
    <n v="2.0699999999999998"/>
    <n v="1.45"/>
    <n v="0"/>
    <n v="0"/>
    <n v="0"/>
    <n v="0"/>
    <n v="9.0299999999999994"/>
    <n v="51.05"/>
    <n v="2.93"/>
    <n v="0"/>
    <n v="7.08"/>
    <n v="22.89"/>
    <n v="16.02"/>
    <n v="0"/>
    <n v="0"/>
    <n v="0"/>
    <n v="0.03"/>
    <n v="2"/>
    <x v="2"/>
  </r>
  <r>
    <x v="6"/>
    <x v="90"/>
    <x v="5"/>
    <x v="189"/>
    <n v="0"/>
    <n v="0"/>
    <n v="0"/>
    <n v="0"/>
    <n v="0"/>
    <n v="0"/>
    <n v="0"/>
    <m/>
    <m/>
    <m/>
    <m/>
    <m/>
    <m/>
    <m/>
    <m/>
    <m/>
    <m/>
    <m/>
    <m/>
    <m/>
    <m/>
    <m/>
    <m/>
    <m/>
    <m/>
    <m/>
    <m/>
    <m/>
    <m/>
    <m/>
    <m/>
    <m/>
    <m/>
    <m/>
    <m/>
    <n v="2"/>
    <x v="2"/>
  </r>
  <r>
    <x v="0"/>
    <x v="91"/>
    <x v="5"/>
    <x v="109"/>
    <n v="54"/>
    <n v="5"/>
    <n v="13"/>
    <n v="8"/>
    <n v="2"/>
    <n v="2"/>
    <n v="18"/>
    <s v="Anais Orozco"/>
    <s v="Collections Group"/>
    <d v="2025-09-19T00:00:00"/>
    <d v="1899-12-30T12:58:51"/>
    <d v="1899-12-30T22:01:21"/>
    <n v="9.0500000000000007"/>
    <n v="8.56"/>
    <n v="2.4300000000000002"/>
    <n v="0.11"/>
    <n v="0"/>
    <n v="0.31"/>
    <n v="4.57"/>
    <n v="0.78"/>
    <n v="0.33"/>
    <n v="0"/>
    <n v="0"/>
    <n v="0.04"/>
    <n v="8.56"/>
    <n v="28.38"/>
    <n v="1.27"/>
    <n v="0"/>
    <n v="3.58"/>
    <n v="53.37"/>
    <n v="9.1"/>
    <n v="3.87"/>
    <n v="0"/>
    <n v="0"/>
    <n v="0.43"/>
    <n v="6"/>
    <x v="3"/>
  </r>
  <r>
    <x v="1"/>
    <x v="91"/>
    <x v="5"/>
    <x v="190"/>
    <n v="19"/>
    <n v="1"/>
    <n v="0"/>
    <n v="4"/>
    <n v="0"/>
    <n v="0"/>
    <n v="10"/>
    <s v="Derice Warnsley"/>
    <s v="Collections Group"/>
    <d v="2025-09-19T00:00:00"/>
    <d v="1899-12-30T13:00:49"/>
    <d v="1899-12-30T16:00:10"/>
    <n v="3"/>
    <n v="2.99"/>
    <n v="0.47"/>
    <n v="0.12"/>
    <n v="0"/>
    <n v="0.01"/>
    <n v="2.16"/>
    <n v="0.24"/>
    <n v="0"/>
    <n v="0"/>
    <n v="0"/>
    <n v="0"/>
    <n v="2.99"/>
    <n v="15.62"/>
    <n v="3.92"/>
    <n v="0"/>
    <n v="0.2"/>
    <n v="72.16"/>
    <n v="7.94"/>
    <n v="0"/>
    <n v="0"/>
    <n v="0"/>
    <n v="0.16"/>
    <n v="6"/>
    <x v="3"/>
  </r>
  <r>
    <x v="2"/>
    <x v="91"/>
    <x v="5"/>
    <x v="74"/>
    <n v="63"/>
    <n v="3"/>
    <n v="2"/>
    <n v="2"/>
    <n v="0"/>
    <n v="0"/>
    <n v="50"/>
    <s v="Isiah Thomas"/>
    <s v="Collections Group"/>
    <d v="2025-09-19T00:00:00"/>
    <d v="1899-12-30T13:01:55"/>
    <d v="1899-12-30T22:00:02"/>
    <n v="8.98"/>
    <n v="8.92"/>
    <n v="0.6"/>
    <n v="0"/>
    <n v="0"/>
    <n v="0.17"/>
    <n v="6.88"/>
    <n v="1.26"/>
    <n v="0"/>
    <n v="0"/>
    <n v="0"/>
    <n v="0.01"/>
    <n v="8.92"/>
    <n v="6.78"/>
    <n v="0"/>
    <n v="0"/>
    <n v="1.9"/>
    <n v="77.12"/>
    <n v="14.13"/>
    <n v="0"/>
    <n v="0"/>
    <n v="0"/>
    <n v="7.0000000000000007E-2"/>
    <n v="6"/>
    <x v="3"/>
  </r>
  <r>
    <x v="5"/>
    <x v="91"/>
    <x v="5"/>
    <x v="24"/>
    <n v="40"/>
    <n v="4"/>
    <n v="2"/>
    <n v="4"/>
    <n v="0"/>
    <n v="0"/>
    <n v="20"/>
    <s v="Sabigh Masood"/>
    <s v="Collections Group"/>
    <d v="2025-09-19T00:00:00"/>
    <d v="1899-12-30T13:00:40"/>
    <d v="1899-12-30T22:05:24"/>
    <n v="9.08"/>
    <n v="8.9700000000000006"/>
    <n v="1.75"/>
    <n v="0.23"/>
    <n v="0"/>
    <n v="0.32"/>
    <n v="4.57"/>
    <n v="1.89"/>
    <n v="0"/>
    <n v="0"/>
    <n v="0.09"/>
    <n v="0.12"/>
    <n v="8.9700000000000006"/>
    <n v="19.559999999999999"/>
    <n v="2.52"/>
    <n v="0"/>
    <n v="3.55"/>
    <n v="50.99"/>
    <n v="21.05"/>
    <n v="0"/>
    <n v="0"/>
    <n v="1"/>
    <n v="1.33"/>
    <n v="6"/>
    <x v="3"/>
  </r>
  <r>
    <x v="6"/>
    <x v="91"/>
    <x v="5"/>
    <x v="191"/>
    <n v="0"/>
    <n v="0"/>
    <n v="0"/>
    <n v="0"/>
    <n v="0"/>
    <n v="0"/>
    <n v="0"/>
    <m/>
    <m/>
    <m/>
    <m/>
    <m/>
    <m/>
    <m/>
    <m/>
    <m/>
    <m/>
    <m/>
    <m/>
    <m/>
    <m/>
    <m/>
    <m/>
    <m/>
    <m/>
    <m/>
    <m/>
    <m/>
    <m/>
    <m/>
    <m/>
    <m/>
    <m/>
    <m/>
    <m/>
    <n v="6"/>
    <x v="3"/>
  </r>
  <r>
    <x v="0"/>
    <x v="92"/>
    <x v="5"/>
    <x v="120"/>
    <n v="44"/>
    <n v="10"/>
    <n v="1"/>
    <n v="5"/>
    <n v="4"/>
    <n v="0"/>
    <n v="19"/>
    <s v="Anais Orozco"/>
    <s v="Collections Group"/>
    <d v="2025-09-18T00:00:00"/>
    <d v="1899-12-30T13:01:43"/>
    <d v="1899-12-30T22:00:06"/>
    <n v="8.98"/>
    <n v="8.0299999999999994"/>
    <n v="2.0099999999999998"/>
    <n v="1.1000000000000001"/>
    <n v="0"/>
    <n v="0.41"/>
    <n v="3.66"/>
    <n v="0.57999999999999996"/>
    <n v="0.27"/>
    <n v="0"/>
    <n v="0"/>
    <n v="0.01"/>
    <n v="8.0299999999999994"/>
    <n v="25.04"/>
    <n v="13.65"/>
    <n v="0"/>
    <n v="5.14"/>
    <n v="45.57"/>
    <n v="7.16"/>
    <n v="3.32"/>
    <n v="0"/>
    <n v="0"/>
    <n v="0.12"/>
    <n v="5"/>
    <x v="4"/>
  </r>
  <r>
    <x v="1"/>
    <x v="92"/>
    <x v="5"/>
    <x v="110"/>
    <n v="55"/>
    <n v="4"/>
    <n v="1"/>
    <n v="4"/>
    <n v="1"/>
    <n v="0"/>
    <n v="36"/>
    <s v="Derice Warnsley"/>
    <s v="Collections Group"/>
    <d v="2025-09-18T00:00:00"/>
    <d v="1899-12-30T13:00:01"/>
    <d v="1899-12-30T20:59:59"/>
    <n v="7.98"/>
    <n v="8"/>
    <n v="1.02"/>
    <n v="0.27"/>
    <n v="0"/>
    <n v="0.03"/>
    <n v="4.5199999999999996"/>
    <n v="1.5"/>
    <n v="0.66"/>
    <n v="0"/>
    <n v="0"/>
    <n v="0.01"/>
    <n v="8"/>
    <n v="12.76"/>
    <n v="3.39"/>
    <n v="0"/>
    <n v="0.35"/>
    <n v="56.47"/>
    <n v="18.739999999999998"/>
    <n v="8.2100000000000009"/>
    <n v="0"/>
    <n v="0"/>
    <n v="0.09"/>
    <n v="5"/>
    <x v="4"/>
  </r>
  <r>
    <x v="2"/>
    <x v="92"/>
    <x v="5"/>
    <x v="113"/>
    <n v="47"/>
    <n v="7"/>
    <n v="2"/>
    <n v="5"/>
    <n v="0"/>
    <n v="0"/>
    <n v="21"/>
    <s v="Isiah Thomas"/>
    <s v="Collections Group"/>
    <d v="2025-09-18T00:00:00"/>
    <d v="1899-12-30T13:02:22"/>
    <d v="1899-12-30T22:00:02"/>
    <n v="8.9700000000000006"/>
    <n v="8.9600000000000009"/>
    <n v="1.47"/>
    <n v="0.76"/>
    <n v="0"/>
    <n v="0.8"/>
    <n v="3.59"/>
    <n v="1.49"/>
    <n v="0.85"/>
    <n v="0"/>
    <n v="0"/>
    <n v="0"/>
    <n v="8.9600000000000009"/>
    <n v="16.440000000000001"/>
    <n v="8.49"/>
    <n v="0"/>
    <n v="8.89"/>
    <n v="40.04"/>
    <n v="16.64"/>
    <n v="9.4499999999999993"/>
    <n v="0"/>
    <n v="0"/>
    <n v="0.04"/>
    <n v="5"/>
    <x v="4"/>
  </r>
  <r>
    <x v="5"/>
    <x v="92"/>
    <x v="5"/>
    <x v="108"/>
    <n v="54"/>
    <n v="6"/>
    <n v="0"/>
    <n v="6"/>
    <n v="0"/>
    <n v="0"/>
    <n v="28"/>
    <s v="Sabigh Masood"/>
    <s v="Collections Group"/>
    <d v="2025-09-18T00:00:00"/>
    <d v="1899-12-30T13:04:47"/>
    <d v="1899-12-30T22:01:16"/>
    <n v="8.9499999999999993"/>
    <n v="8.94"/>
    <n v="1.56"/>
    <n v="0.2"/>
    <n v="0"/>
    <n v="0.64"/>
    <n v="4.1399999999999997"/>
    <n v="1.55"/>
    <n v="0.84"/>
    <n v="0"/>
    <n v="0"/>
    <n v="0.01"/>
    <n v="8.94"/>
    <n v="17.41"/>
    <n v="2.27"/>
    <n v="0"/>
    <n v="7.16"/>
    <n v="46.3"/>
    <n v="17.329999999999998"/>
    <n v="9.39"/>
    <n v="0"/>
    <n v="0"/>
    <n v="0.15"/>
    <n v="5"/>
    <x v="4"/>
  </r>
  <r>
    <x v="6"/>
    <x v="92"/>
    <x v="5"/>
    <x v="146"/>
    <n v="0"/>
    <n v="0"/>
    <n v="0"/>
    <n v="0"/>
    <n v="0"/>
    <n v="0"/>
    <n v="0"/>
    <m/>
    <m/>
    <m/>
    <m/>
    <m/>
    <m/>
    <m/>
    <m/>
    <m/>
    <m/>
    <m/>
    <m/>
    <m/>
    <m/>
    <m/>
    <m/>
    <m/>
    <m/>
    <m/>
    <m/>
    <m/>
    <m/>
    <m/>
    <m/>
    <m/>
    <m/>
    <m/>
    <m/>
    <n v="5"/>
    <x v="4"/>
  </r>
  <r>
    <x v="0"/>
    <x v="93"/>
    <x v="5"/>
    <x v="76"/>
    <n v="44"/>
    <n v="6"/>
    <n v="1"/>
    <n v="2"/>
    <n v="0"/>
    <n v="0"/>
    <n v="28"/>
    <s v="Anais Orozco"/>
    <s v="Collections Group"/>
    <d v="2025-09-17T00:00:00"/>
    <d v="1899-12-30T13:00:42"/>
    <d v="1899-12-30T22:00:10"/>
    <n v="9"/>
    <n v="8.02"/>
    <n v="1.2"/>
    <n v="0.14000000000000001"/>
    <n v="0"/>
    <n v="0.16"/>
    <n v="5.74"/>
    <n v="0.35"/>
    <n v="0.42"/>
    <n v="0"/>
    <n v="0"/>
    <n v="0.01"/>
    <n v="8.02"/>
    <n v="14.9"/>
    <n v="1.81"/>
    <n v="0"/>
    <n v="1.98"/>
    <n v="71.540000000000006"/>
    <n v="4.3600000000000003"/>
    <n v="5.28"/>
    <n v="0"/>
    <n v="0"/>
    <n v="0.13"/>
    <n v="4"/>
    <x v="0"/>
  </r>
  <r>
    <x v="1"/>
    <x v="93"/>
    <x v="5"/>
    <x v="104"/>
    <n v="70"/>
    <n v="19"/>
    <n v="6"/>
    <n v="15"/>
    <n v="1"/>
    <n v="0"/>
    <n v="24"/>
    <s v="Derice Warnsley"/>
    <s v="Collections Group"/>
    <d v="2025-09-17T00:00:00"/>
    <d v="1899-12-30T13:00:46"/>
    <d v="1899-12-30T22:00:03"/>
    <n v="9"/>
    <n v="8.99"/>
    <n v="1.41"/>
    <n v="0.14000000000000001"/>
    <n v="0"/>
    <n v="0.03"/>
    <n v="5.51"/>
    <n v="1.47"/>
    <n v="0.43"/>
    <n v="0"/>
    <n v="0"/>
    <n v="0"/>
    <n v="8.99"/>
    <n v="15.67"/>
    <n v="1.58"/>
    <n v="0"/>
    <n v="0.28999999999999998"/>
    <n v="61.29"/>
    <n v="16.309999999999999"/>
    <n v="4.8099999999999996"/>
    <n v="0"/>
    <n v="0"/>
    <n v="0.04"/>
    <n v="4"/>
    <x v="0"/>
  </r>
  <r>
    <x v="2"/>
    <x v="93"/>
    <x v="5"/>
    <x v="76"/>
    <n v="43"/>
    <n v="1"/>
    <n v="0"/>
    <n v="4"/>
    <n v="0"/>
    <n v="0"/>
    <n v="31"/>
    <s v="Isiah Thomas"/>
    <s v="Collections Group"/>
    <d v="2025-09-17T00:00:00"/>
    <d v="1899-12-30T13:03:04"/>
    <d v="1899-12-30T22:00:02"/>
    <n v="8.9499999999999993"/>
    <n v="8.9499999999999993"/>
    <n v="1.65"/>
    <n v="0.45"/>
    <n v="0"/>
    <n v="0.64"/>
    <n v="4.57"/>
    <n v="1.1299999999999999"/>
    <n v="0.47"/>
    <n v="0.03"/>
    <n v="0"/>
    <n v="0"/>
    <n v="8.9499999999999993"/>
    <n v="18.48"/>
    <n v="4.97"/>
    <n v="0"/>
    <n v="7.2"/>
    <n v="51"/>
    <n v="12.64"/>
    <n v="5.3"/>
    <n v="0.37"/>
    <n v="0"/>
    <n v="0.03"/>
    <n v="4"/>
    <x v="0"/>
  </r>
  <r>
    <x v="3"/>
    <x v="93"/>
    <x v="5"/>
    <x v="120"/>
    <n v="50"/>
    <n v="8"/>
    <n v="3"/>
    <n v="6"/>
    <n v="1"/>
    <n v="0"/>
    <n v="21"/>
    <s v="Jerrod Coleman"/>
    <s v="Collections Group"/>
    <d v="2025-09-17T00:00:00"/>
    <d v="1899-12-30T13:01:11"/>
    <d v="1899-12-30T19:28:08"/>
    <n v="6.45"/>
    <n v="6.45"/>
    <n v="1.03"/>
    <n v="0.47"/>
    <n v="0"/>
    <n v="0.22"/>
    <n v="3.29"/>
    <n v="1.45"/>
    <n v="0"/>
    <n v="0"/>
    <n v="0"/>
    <n v="0"/>
    <n v="6.45"/>
    <n v="15.93"/>
    <n v="7.25"/>
    <n v="0"/>
    <n v="3.35"/>
    <n v="50.97"/>
    <n v="22.45"/>
    <n v="0"/>
    <n v="0"/>
    <n v="0"/>
    <n v="0.05"/>
    <n v="4"/>
    <x v="0"/>
  </r>
  <r>
    <x v="5"/>
    <x v="93"/>
    <x v="5"/>
    <x v="113"/>
    <n v="58"/>
    <n v="7"/>
    <n v="5"/>
    <n v="17"/>
    <n v="1"/>
    <n v="0"/>
    <n v="18"/>
    <s v="Sabigh Masood"/>
    <s v="Collections Group"/>
    <d v="2025-09-17T00:00:00"/>
    <d v="1899-12-30T13:01:03"/>
    <d v="1899-12-30T22:03:44"/>
    <n v="9.0299999999999994"/>
    <n v="9.0399999999999991"/>
    <n v="3.25"/>
    <n v="0.09"/>
    <n v="0"/>
    <n v="0.52"/>
    <n v="3.73"/>
    <n v="1.44"/>
    <n v="0"/>
    <n v="0"/>
    <n v="0"/>
    <n v="0.01"/>
    <n v="9.0399999999999991"/>
    <n v="35.979999999999997"/>
    <n v="1.04"/>
    <n v="0"/>
    <n v="5.71"/>
    <n v="41.23"/>
    <n v="15.89"/>
    <n v="0"/>
    <n v="0"/>
    <n v="0"/>
    <n v="0.14000000000000001"/>
    <n v="4"/>
    <x v="0"/>
  </r>
  <r>
    <x v="6"/>
    <x v="93"/>
    <x v="5"/>
    <x v="192"/>
    <n v="0"/>
    <n v="0"/>
    <n v="0"/>
    <n v="0"/>
    <n v="0"/>
    <n v="0"/>
    <n v="0"/>
    <m/>
    <m/>
    <m/>
    <m/>
    <m/>
    <m/>
    <m/>
    <m/>
    <m/>
    <m/>
    <m/>
    <m/>
    <m/>
    <m/>
    <m/>
    <m/>
    <m/>
    <m/>
    <m/>
    <m/>
    <m/>
    <m/>
    <m/>
    <m/>
    <m/>
    <m/>
    <m/>
    <m/>
    <n v="4"/>
    <x v="0"/>
  </r>
  <r>
    <x v="0"/>
    <x v="94"/>
    <x v="5"/>
    <x v="104"/>
    <n v="43"/>
    <n v="2"/>
    <n v="9"/>
    <n v="2"/>
    <n v="0"/>
    <n v="0"/>
    <n v="25"/>
    <s v="Anais Orozco"/>
    <s v="Collections Group"/>
    <d v="2025-09-16T00:00:00"/>
    <d v="1899-12-30T13:00:32"/>
    <d v="1899-12-30T22:00:09"/>
    <n v="9"/>
    <n v="8.07"/>
    <n v="2.12"/>
    <n v="0.4"/>
    <n v="0"/>
    <n v="0.32"/>
    <n v="4.63"/>
    <n v="0.6"/>
    <n v="0"/>
    <n v="0"/>
    <n v="0"/>
    <n v="0.01"/>
    <n v="8.07"/>
    <n v="26.22"/>
    <n v="4.9400000000000004"/>
    <n v="0"/>
    <n v="3.94"/>
    <n v="57.29"/>
    <n v="7.46"/>
    <n v="0"/>
    <n v="0"/>
    <n v="0"/>
    <n v="0.15"/>
    <n v="3"/>
    <x v="1"/>
  </r>
  <r>
    <x v="1"/>
    <x v="94"/>
    <x v="5"/>
    <x v="110"/>
    <n v="57"/>
    <n v="5"/>
    <n v="0"/>
    <n v="5"/>
    <n v="1"/>
    <n v="0"/>
    <n v="36"/>
    <s v="Derice Warnsley"/>
    <s v="Collections Group"/>
    <d v="2025-09-16T00:00:00"/>
    <d v="1899-12-30T13:01:04"/>
    <d v="1899-12-30T22:03:33"/>
    <n v="9.0299999999999994"/>
    <n v="9.0399999999999991"/>
    <n v="1.5"/>
    <n v="0.18"/>
    <n v="0"/>
    <n v="0.02"/>
    <n v="5.93"/>
    <n v="1.42"/>
    <n v="0"/>
    <n v="0"/>
    <n v="0"/>
    <n v="0"/>
    <n v="9.0399999999999991"/>
    <n v="16.59"/>
    <n v="1.96"/>
    <n v="0"/>
    <n v="0.17"/>
    <n v="65.55"/>
    <n v="15.68"/>
    <n v="0"/>
    <n v="0"/>
    <n v="0"/>
    <n v="0.05"/>
    <n v="3"/>
    <x v="1"/>
  </r>
  <r>
    <x v="3"/>
    <x v="94"/>
    <x v="5"/>
    <x v="39"/>
    <n v="89"/>
    <n v="6"/>
    <n v="8"/>
    <n v="6"/>
    <n v="0"/>
    <n v="1"/>
    <n v="49"/>
    <s v="Jerrod Coleman"/>
    <s v="Collections Group"/>
    <d v="2025-09-16T00:00:00"/>
    <d v="1899-12-30T13:00:14"/>
    <d v="1899-12-30T22:00:57"/>
    <n v="9"/>
    <n v="9.01"/>
    <n v="1.25"/>
    <n v="0.27"/>
    <n v="0"/>
    <n v="0.36"/>
    <n v="5.66"/>
    <n v="1.47"/>
    <n v="0"/>
    <n v="0"/>
    <n v="0"/>
    <n v="0"/>
    <n v="9.01"/>
    <n v="13.87"/>
    <n v="2.99"/>
    <n v="0"/>
    <n v="3.98"/>
    <n v="62.77"/>
    <n v="16.329999999999998"/>
    <n v="0"/>
    <n v="0"/>
    <n v="0"/>
    <n v="0.05"/>
    <n v="3"/>
    <x v="1"/>
  </r>
  <r>
    <x v="5"/>
    <x v="94"/>
    <x v="5"/>
    <x v="75"/>
    <n v="78"/>
    <n v="7"/>
    <n v="3"/>
    <n v="11"/>
    <n v="0"/>
    <n v="0"/>
    <n v="43"/>
    <s v="Sabigh Masood"/>
    <s v="Collections Group"/>
    <d v="2025-09-16T00:00:00"/>
    <d v="1899-12-30T13:00:43"/>
    <d v="1899-12-30T22:02:33"/>
    <n v="9.0299999999999994"/>
    <n v="9.0299999999999994"/>
    <n v="2.68"/>
    <n v="0.06"/>
    <n v="0"/>
    <n v="0.71"/>
    <n v="4.1100000000000003"/>
    <n v="1.42"/>
    <n v="0"/>
    <n v="0"/>
    <n v="0.02"/>
    <n v="0.01"/>
    <n v="9.0299999999999994"/>
    <n v="29.73"/>
    <n v="0.7"/>
    <n v="0"/>
    <n v="7.88"/>
    <n v="45.53"/>
    <n v="15.77"/>
    <n v="0"/>
    <n v="0"/>
    <n v="0.24"/>
    <n v="0.14000000000000001"/>
    <n v="3"/>
    <x v="1"/>
  </r>
  <r>
    <x v="6"/>
    <x v="94"/>
    <x v="5"/>
    <x v="193"/>
    <n v="0"/>
    <n v="0"/>
    <n v="0"/>
    <n v="0"/>
    <n v="0"/>
    <n v="0"/>
    <n v="0"/>
    <m/>
    <m/>
    <m/>
    <m/>
    <m/>
    <m/>
    <m/>
    <m/>
    <m/>
    <m/>
    <m/>
    <m/>
    <m/>
    <m/>
    <m/>
    <m/>
    <m/>
    <m/>
    <m/>
    <m/>
    <m/>
    <m/>
    <m/>
    <m/>
    <m/>
    <m/>
    <m/>
    <m/>
    <n v="3"/>
    <x v="1"/>
  </r>
  <r>
    <x v="0"/>
    <x v="95"/>
    <x v="5"/>
    <x v="109"/>
    <n v="53"/>
    <n v="2"/>
    <n v="5"/>
    <n v="1"/>
    <n v="1"/>
    <n v="0"/>
    <n v="34"/>
    <s v="Anais Orozco"/>
    <s v="Collections Group"/>
    <d v="2025-09-15T00:00:00"/>
    <d v="1899-12-30T13:00:36"/>
    <d v="1899-12-30T22:00:23"/>
    <n v="9"/>
    <n v="7.9"/>
    <n v="1.1100000000000001"/>
    <n v="0.06"/>
    <n v="0"/>
    <n v="0.2"/>
    <n v="6.13"/>
    <n v="0.39"/>
    <n v="0"/>
    <n v="0"/>
    <n v="0"/>
    <n v="0.01"/>
    <n v="7.9"/>
    <n v="14.03"/>
    <n v="0.72"/>
    <n v="0"/>
    <n v="2.54"/>
    <n v="77.62"/>
    <n v="4.92"/>
    <n v="0"/>
    <n v="0"/>
    <n v="0"/>
    <n v="0.18"/>
    <n v="2"/>
    <x v="2"/>
  </r>
  <r>
    <x v="1"/>
    <x v="95"/>
    <x v="5"/>
    <x v="52"/>
    <n v="59"/>
    <n v="7"/>
    <n v="1"/>
    <n v="3"/>
    <n v="0"/>
    <n v="0"/>
    <n v="34"/>
    <s v="Derice Warnsley"/>
    <s v="Collections Group"/>
    <d v="2025-09-15T00:00:00"/>
    <d v="1899-12-30T12:59:48"/>
    <d v="1899-12-30T22:00:06"/>
    <n v="9.02"/>
    <n v="9"/>
    <n v="0.88"/>
    <n v="0.06"/>
    <n v="0"/>
    <n v="0.05"/>
    <n v="6.6"/>
    <n v="1.42"/>
    <n v="0"/>
    <n v="0"/>
    <n v="0"/>
    <n v="0"/>
    <n v="9"/>
    <n v="9.77"/>
    <n v="0.61"/>
    <n v="0"/>
    <n v="0.54"/>
    <n v="73.27"/>
    <n v="15.77"/>
    <n v="0"/>
    <n v="0"/>
    <n v="0"/>
    <n v="0.05"/>
    <n v="2"/>
    <x v="2"/>
  </r>
  <r>
    <x v="2"/>
    <x v="95"/>
    <x v="5"/>
    <x v="154"/>
    <n v="25"/>
    <n v="4"/>
    <n v="2"/>
    <n v="5"/>
    <n v="0"/>
    <n v="0"/>
    <n v="12"/>
    <s v="Isiah Thomas"/>
    <s v="Collections Group"/>
    <d v="2025-09-15T00:00:00"/>
    <d v="1899-12-30T13:01:21"/>
    <d v="1899-12-30T22:00:06"/>
    <n v="8.98"/>
    <n v="8.93"/>
    <n v="0.55000000000000004"/>
    <n v="0.16"/>
    <n v="0"/>
    <n v="0.21"/>
    <n v="5.81"/>
    <n v="1.5"/>
    <n v="0.56000000000000005"/>
    <n v="0"/>
    <n v="0"/>
    <n v="0.15"/>
    <n v="8.93"/>
    <n v="6.1"/>
    <n v="1.74"/>
    <n v="0"/>
    <n v="2.39"/>
    <n v="65.05"/>
    <n v="16.78"/>
    <n v="6.32"/>
    <n v="0"/>
    <n v="0"/>
    <n v="1.63"/>
    <n v="2"/>
    <x v="2"/>
  </r>
  <r>
    <x v="3"/>
    <x v="95"/>
    <x v="5"/>
    <x v="89"/>
    <n v="72"/>
    <n v="7"/>
    <n v="6"/>
    <n v="6"/>
    <n v="0"/>
    <n v="1"/>
    <n v="40"/>
    <s v="Jerrod Coleman"/>
    <s v="Collections Group"/>
    <d v="2025-09-15T00:00:00"/>
    <d v="1899-12-30T13:00:14"/>
    <d v="1899-12-30T22:00:13"/>
    <n v="9"/>
    <n v="9"/>
    <n v="1.1599999999999999"/>
    <n v="0.49"/>
    <n v="0"/>
    <n v="0.36"/>
    <n v="5.52"/>
    <n v="1.46"/>
    <n v="0"/>
    <n v="0"/>
    <n v="0"/>
    <n v="0"/>
    <n v="9"/>
    <n v="12.88"/>
    <n v="5.49"/>
    <n v="0"/>
    <n v="4.04"/>
    <n v="61.28"/>
    <n v="16.260000000000002"/>
    <n v="0"/>
    <n v="0"/>
    <n v="0"/>
    <n v="0.05"/>
    <n v="2"/>
    <x v="2"/>
  </r>
  <r>
    <x v="4"/>
    <x v="95"/>
    <x v="5"/>
    <x v="13"/>
    <n v="1"/>
    <n v="0"/>
    <n v="0"/>
    <n v="0"/>
    <n v="0"/>
    <n v="0"/>
    <n v="0"/>
    <s v="Rosette Rwabugahya"/>
    <s v="Collections Group"/>
    <d v="2025-09-15T00:00:00"/>
    <d v="1899-12-30T20:31:13"/>
    <d v="1899-12-30T21:22:04"/>
    <n v="0.85"/>
    <n v="0.85"/>
    <n v="0.84"/>
    <n v="0"/>
    <n v="0"/>
    <n v="0"/>
    <n v="0"/>
    <n v="0"/>
    <n v="0"/>
    <n v="0"/>
    <n v="0"/>
    <n v="0"/>
    <n v="0.85"/>
    <n v="99.25"/>
    <n v="0"/>
    <n v="0"/>
    <n v="0.26"/>
    <n v="0"/>
    <n v="0"/>
    <n v="0"/>
    <n v="0"/>
    <n v="0"/>
    <n v="0.49"/>
    <n v="2"/>
    <x v="2"/>
  </r>
  <r>
    <x v="5"/>
    <x v="95"/>
    <x v="5"/>
    <x v="109"/>
    <n v="50"/>
    <n v="7"/>
    <n v="3"/>
    <n v="0"/>
    <n v="1"/>
    <n v="0"/>
    <n v="21"/>
    <s v="Sabigh Masood"/>
    <s v="Collections Group"/>
    <d v="2025-09-15T00:00:00"/>
    <d v="1899-12-30T13:01:01"/>
    <d v="1899-12-30T22:02:14"/>
    <n v="9.02"/>
    <n v="9.02"/>
    <n v="1.56"/>
    <n v="0.22"/>
    <n v="0"/>
    <n v="0.19"/>
    <n v="5.61"/>
    <n v="1.44"/>
    <n v="0"/>
    <n v="0"/>
    <n v="0"/>
    <n v="0"/>
    <n v="9.02"/>
    <n v="17.29"/>
    <n v="2.41"/>
    <n v="0"/>
    <n v="2.16"/>
    <n v="62.14"/>
    <n v="15.97"/>
    <n v="0"/>
    <n v="0"/>
    <n v="0"/>
    <n v="0.04"/>
    <n v="2"/>
    <x v="2"/>
  </r>
  <r>
    <x v="6"/>
    <x v="95"/>
    <x v="5"/>
    <x v="144"/>
    <n v="0"/>
    <n v="0"/>
    <n v="0"/>
    <n v="0"/>
    <n v="0"/>
    <n v="0"/>
    <n v="0"/>
    <m/>
    <m/>
    <m/>
    <m/>
    <m/>
    <m/>
    <m/>
    <m/>
    <m/>
    <m/>
    <m/>
    <m/>
    <m/>
    <m/>
    <m/>
    <m/>
    <m/>
    <m/>
    <m/>
    <m/>
    <m/>
    <m/>
    <m/>
    <m/>
    <m/>
    <m/>
    <m/>
    <m/>
    <n v="2"/>
    <x v="2"/>
  </r>
  <r>
    <x v="0"/>
    <x v="96"/>
    <x v="5"/>
    <x v="104"/>
    <n v="43"/>
    <n v="2"/>
    <n v="2"/>
    <n v="1"/>
    <n v="0"/>
    <n v="0"/>
    <n v="29"/>
    <s v="Anais Orozco"/>
    <s v="Collections Group"/>
    <d v="2025-09-12T00:00:00"/>
    <d v="1899-12-30T13:01:14"/>
    <d v="1899-12-30T22:00:04"/>
    <n v="8.98"/>
    <n v="8.07"/>
    <n v="0.72"/>
    <n v="0"/>
    <n v="0"/>
    <n v="0.21"/>
    <n v="6.45"/>
    <n v="0.59"/>
    <n v="0"/>
    <n v="0"/>
    <n v="0.01"/>
    <n v="0.09"/>
    <n v="8.07"/>
    <n v="8.9700000000000006"/>
    <n v="0"/>
    <n v="0"/>
    <n v="2.62"/>
    <n v="79.849999999999994"/>
    <n v="7.3"/>
    <n v="0"/>
    <n v="0"/>
    <n v="0.18"/>
    <n v="1.08"/>
    <n v="6"/>
    <x v="3"/>
  </r>
  <r>
    <x v="1"/>
    <x v="96"/>
    <x v="5"/>
    <x v="109"/>
    <n v="34"/>
    <n v="10"/>
    <n v="0"/>
    <n v="4"/>
    <n v="0"/>
    <n v="0"/>
    <n v="13"/>
    <s v="Derice Warnsley"/>
    <s v="Collections Group"/>
    <d v="2025-09-12T00:00:00"/>
    <d v="1899-12-30T13:01:31"/>
    <d v="1899-12-30T22:00:03"/>
    <n v="8.98"/>
    <n v="8.9700000000000006"/>
    <n v="1.23"/>
    <n v="0.08"/>
    <n v="0"/>
    <n v="0.05"/>
    <n v="6.11"/>
    <n v="1.5"/>
    <n v="0"/>
    <n v="0"/>
    <n v="0"/>
    <n v="0.01"/>
    <n v="8.9700000000000006"/>
    <n v="13.76"/>
    <n v="0.89"/>
    <n v="0"/>
    <n v="0.51"/>
    <n v="68.08"/>
    <n v="16.7"/>
    <n v="0"/>
    <n v="0"/>
    <n v="0"/>
    <n v="0.06"/>
    <n v="6"/>
    <x v="3"/>
  </r>
  <r>
    <x v="2"/>
    <x v="96"/>
    <x v="5"/>
    <x v="120"/>
    <n v="45"/>
    <n v="12"/>
    <n v="1"/>
    <n v="1"/>
    <n v="0"/>
    <n v="0"/>
    <n v="24"/>
    <s v="Isiah Thomas"/>
    <s v="Collections Group"/>
    <d v="2025-09-12T00:00:00"/>
    <d v="1899-12-30T13:01:22"/>
    <d v="1899-12-30T22:00:30"/>
    <n v="8.98"/>
    <n v="8.98"/>
    <n v="1.07"/>
    <n v="0.33"/>
    <n v="0"/>
    <n v="0.51"/>
    <n v="5.56"/>
    <n v="1.28"/>
    <n v="0.23"/>
    <n v="0"/>
    <n v="0"/>
    <n v="0"/>
    <n v="8.98"/>
    <n v="11.96"/>
    <n v="3.71"/>
    <n v="0"/>
    <n v="5.64"/>
    <n v="61.86"/>
    <n v="14.24"/>
    <n v="2.5499999999999998"/>
    <n v="0"/>
    <n v="0"/>
    <n v="0.04"/>
    <n v="6"/>
    <x v="3"/>
  </r>
  <r>
    <x v="3"/>
    <x v="96"/>
    <x v="5"/>
    <x v="121"/>
    <n v="24"/>
    <n v="3"/>
    <n v="1"/>
    <n v="0"/>
    <n v="0"/>
    <n v="0"/>
    <n v="14"/>
    <s v="Jerrod Coleman"/>
    <s v="Collections Group"/>
    <d v="2025-09-12T00:00:00"/>
    <d v="1899-12-30T13:00:14"/>
    <d v="1899-12-30T16:58:03"/>
    <n v="3.97"/>
    <n v="3.96"/>
    <n v="0.64"/>
    <n v="0.18"/>
    <n v="0"/>
    <n v="0.12"/>
    <n v="2.81"/>
    <n v="0.21"/>
    <n v="0"/>
    <n v="0"/>
    <n v="0"/>
    <n v="0.01"/>
    <n v="3.96"/>
    <n v="16.18"/>
    <n v="4.6500000000000004"/>
    <n v="0"/>
    <n v="2.97"/>
    <n v="70.86"/>
    <n v="5.22"/>
    <n v="0"/>
    <n v="0"/>
    <n v="0"/>
    <n v="0.13"/>
    <n v="6"/>
    <x v="3"/>
  </r>
  <r>
    <x v="5"/>
    <x v="96"/>
    <x v="5"/>
    <x v="110"/>
    <n v="82"/>
    <n v="11"/>
    <n v="1"/>
    <n v="3"/>
    <n v="0"/>
    <n v="0"/>
    <n v="54"/>
    <s v="Sabigh Masood"/>
    <s v="Collections Group"/>
    <d v="2025-09-12T00:00:00"/>
    <d v="1899-12-30T13:00:04"/>
    <d v="1899-12-30T22:00:24"/>
    <n v="9"/>
    <n v="9"/>
    <n v="1.1599999999999999"/>
    <n v="0.31"/>
    <n v="0"/>
    <n v="0.47"/>
    <n v="5.2"/>
    <n v="1.87"/>
    <n v="0"/>
    <n v="0"/>
    <n v="0"/>
    <n v="0"/>
    <n v="9"/>
    <n v="12.9"/>
    <n v="3.41"/>
    <n v="0"/>
    <n v="5.17"/>
    <n v="57.74"/>
    <n v="20.75"/>
    <n v="0"/>
    <n v="0"/>
    <n v="0"/>
    <n v="0.03"/>
    <n v="6"/>
    <x v="3"/>
  </r>
  <r>
    <x v="6"/>
    <x v="96"/>
    <x v="5"/>
    <x v="180"/>
    <n v="0"/>
    <n v="0"/>
    <n v="0"/>
    <n v="0"/>
    <n v="0"/>
    <n v="0"/>
    <n v="0"/>
    <m/>
    <m/>
    <m/>
    <m/>
    <m/>
    <m/>
    <m/>
    <m/>
    <m/>
    <m/>
    <m/>
    <m/>
    <m/>
    <m/>
    <m/>
    <m/>
    <m/>
    <m/>
    <m/>
    <m/>
    <m/>
    <m/>
    <m/>
    <m/>
    <m/>
    <m/>
    <m/>
    <m/>
    <n v="6"/>
    <x v="3"/>
  </r>
  <r>
    <x v="0"/>
    <x v="97"/>
    <x v="5"/>
    <x v="147"/>
    <n v="34"/>
    <n v="0"/>
    <n v="2"/>
    <n v="3"/>
    <n v="0"/>
    <n v="0"/>
    <n v="27"/>
    <s v="Anais Orozco"/>
    <s v="Collections Group"/>
    <d v="2025-09-11T00:00:00"/>
    <d v="1899-12-30T13:00:50"/>
    <d v="1899-12-30T22:00:13"/>
    <n v="9"/>
    <n v="8.06"/>
    <n v="0.47"/>
    <n v="0.05"/>
    <n v="0"/>
    <n v="0.17"/>
    <n v="6.09"/>
    <n v="1.26"/>
    <n v="0"/>
    <n v="0"/>
    <n v="0.01"/>
    <n v="0.01"/>
    <n v="8.06"/>
    <n v="5.79"/>
    <n v="0.67"/>
    <n v="0"/>
    <n v="2.0499999999999998"/>
    <n v="75.53"/>
    <n v="15.68"/>
    <n v="0"/>
    <n v="0"/>
    <n v="0.12"/>
    <n v="0.16"/>
    <n v="5"/>
    <x v="4"/>
  </r>
  <r>
    <x v="1"/>
    <x v="97"/>
    <x v="5"/>
    <x v="104"/>
    <n v="43"/>
    <n v="5"/>
    <n v="9"/>
    <n v="5"/>
    <n v="1"/>
    <n v="0"/>
    <n v="18"/>
    <s v="Derice Warnsley"/>
    <s v="Collections Group"/>
    <d v="2025-09-11T00:00:00"/>
    <d v="1899-12-30T12:59:56"/>
    <d v="1899-12-30T22:00:13"/>
    <n v="9.02"/>
    <n v="9"/>
    <n v="1.01"/>
    <n v="0.2"/>
    <n v="0"/>
    <n v="0.01"/>
    <n v="5.55"/>
    <n v="1.47"/>
    <n v="0.75"/>
    <n v="0"/>
    <n v="0"/>
    <n v="0.01"/>
    <n v="9"/>
    <n v="11.26"/>
    <n v="2.2000000000000002"/>
    <n v="0"/>
    <n v="0.14000000000000001"/>
    <n v="61.68"/>
    <n v="16.350000000000001"/>
    <n v="8.2899999999999991"/>
    <n v="0"/>
    <n v="0"/>
    <n v="7.0000000000000007E-2"/>
    <n v="5"/>
    <x v="4"/>
  </r>
  <r>
    <x v="2"/>
    <x v="97"/>
    <x v="5"/>
    <x v="114"/>
    <n v="34"/>
    <n v="3"/>
    <n v="5"/>
    <n v="4"/>
    <n v="0"/>
    <n v="3"/>
    <n v="15"/>
    <s v="Isiah Thomas"/>
    <s v="Collections Group"/>
    <d v="2025-09-11T00:00:00"/>
    <d v="1899-12-30T13:00:21"/>
    <d v="1899-12-30T22:00:01"/>
    <n v="9"/>
    <n v="8.99"/>
    <n v="0.81"/>
    <n v="0.35"/>
    <n v="0"/>
    <n v="0.28000000000000003"/>
    <n v="5.22"/>
    <n v="1.19"/>
    <n v="1.1499999999999999"/>
    <n v="0"/>
    <n v="0"/>
    <n v="0"/>
    <n v="8.99"/>
    <n v="9"/>
    <n v="3.85"/>
    <n v="0"/>
    <n v="3.1"/>
    <n v="58"/>
    <n v="13.21"/>
    <n v="12.8"/>
    <n v="0"/>
    <n v="0"/>
    <n v="0.04"/>
    <n v="5"/>
    <x v="4"/>
  </r>
  <r>
    <x v="3"/>
    <x v="97"/>
    <x v="5"/>
    <x v="24"/>
    <n v="43"/>
    <n v="2"/>
    <n v="0"/>
    <n v="4"/>
    <n v="0"/>
    <n v="0"/>
    <n v="31"/>
    <s v="Jerrod Coleman"/>
    <s v="Collections Group"/>
    <d v="2025-09-11T00:00:00"/>
    <d v="1899-12-30T13:00:22"/>
    <d v="1899-12-30T22:00:37"/>
    <n v="9"/>
    <n v="9"/>
    <n v="0.9"/>
    <n v="0.33"/>
    <n v="0"/>
    <n v="0.18"/>
    <n v="5.42"/>
    <n v="1.48"/>
    <n v="0.7"/>
    <n v="0"/>
    <n v="0"/>
    <n v="0"/>
    <n v="9"/>
    <n v="9.99"/>
    <n v="3.68"/>
    <n v="0"/>
    <n v="1.97"/>
    <n v="60.16"/>
    <n v="16.39"/>
    <n v="7.78"/>
    <n v="0"/>
    <n v="0"/>
    <n v="0.04"/>
    <n v="5"/>
    <x v="4"/>
  </r>
  <r>
    <x v="5"/>
    <x v="97"/>
    <x v="5"/>
    <x v="121"/>
    <n v="40"/>
    <n v="2"/>
    <n v="3"/>
    <n v="1"/>
    <n v="1"/>
    <n v="0"/>
    <n v="22"/>
    <s v="Sabigh Masood"/>
    <s v="Collections Group"/>
    <d v="2025-09-11T00:00:00"/>
    <d v="1899-12-30T13:00:07"/>
    <d v="1899-12-30T22:06:08"/>
    <n v="9.1"/>
    <n v="9.1"/>
    <n v="1.57"/>
    <n v="0.13"/>
    <n v="0"/>
    <n v="0.26"/>
    <n v="4.5599999999999996"/>
    <n v="1.5"/>
    <n v="1.06"/>
    <n v="0"/>
    <n v="0"/>
    <n v="0.01"/>
    <n v="9.1"/>
    <n v="17.260000000000002"/>
    <n v="1.43"/>
    <n v="0"/>
    <n v="2.84"/>
    <n v="50.16"/>
    <n v="16.48"/>
    <n v="11.69"/>
    <n v="0"/>
    <n v="0"/>
    <n v="0.14000000000000001"/>
    <n v="5"/>
    <x v="4"/>
  </r>
  <r>
    <x v="6"/>
    <x v="97"/>
    <x v="5"/>
    <x v="194"/>
    <n v="0"/>
    <n v="0"/>
    <n v="0"/>
    <n v="0"/>
    <n v="0"/>
    <n v="0"/>
    <n v="0"/>
    <m/>
    <m/>
    <m/>
    <m/>
    <m/>
    <m/>
    <m/>
    <m/>
    <m/>
    <m/>
    <m/>
    <m/>
    <m/>
    <m/>
    <m/>
    <m/>
    <m/>
    <m/>
    <m/>
    <m/>
    <m/>
    <m/>
    <m/>
    <m/>
    <m/>
    <m/>
    <m/>
    <m/>
    <n v="5"/>
    <x v="4"/>
  </r>
  <r>
    <x v="0"/>
    <x v="98"/>
    <x v="5"/>
    <x v="109"/>
    <n v="45"/>
    <n v="2"/>
    <n v="3"/>
    <n v="1"/>
    <n v="1"/>
    <n v="1"/>
    <n v="22"/>
    <s v="Anais Orozco"/>
    <s v="Collections Group"/>
    <d v="2025-09-10T00:00:00"/>
    <d v="1899-12-30T13:00:41"/>
    <d v="1899-12-30T22:01:02"/>
    <n v="9.02"/>
    <n v="8.11"/>
    <n v="1.2"/>
    <n v="0"/>
    <n v="0"/>
    <n v="0.31"/>
    <n v="6.24"/>
    <n v="0.33"/>
    <n v="0"/>
    <n v="0"/>
    <n v="0"/>
    <n v="0.03"/>
    <n v="8.11"/>
    <n v="14.81"/>
    <n v="0"/>
    <n v="0"/>
    <n v="3.82"/>
    <n v="76.88"/>
    <n v="4.0599999999999996"/>
    <n v="0"/>
    <n v="0"/>
    <n v="0"/>
    <n v="0.42"/>
    <n v="4"/>
    <x v="0"/>
  </r>
  <r>
    <x v="1"/>
    <x v="98"/>
    <x v="5"/>
    <x v="73"/>
    <n v="54"/>
    <n v="2"/>
    <n v="3"/>
    <n v="4"/>
    <n v="6"/>
    <n v="0"/>
    <n v="19"/>
    <s v="Derice Warnsley"/>
    <s v="Collections Group"/>
    <d v="2025-09-10T00:00:00"/>
    <d v="1899-12-30T13:00:47"/>
    <d v="1899-12-30T22:00:13"/>
    <n v="9"/>
    <n v="8.99"/>
    <n v="1.7"/>
    <n v="0.11"/>
    <n v="0"/>
    <n v="0.02"/>
    <n v="5.67"/>
    <n v="1.48"/>
    <n v="0"/>
    <n v="0"/>
    <n v="0"/>
    <n v="0"/>
    <n v="8.99"/>
    <n v="18.940000000000001"/>
    <n v="1.25"/>
    <n v="0"/>
    <n v="0.25"/>
    <n v="63.01"/>
    <n v="16.489999999999998"/>
    <n v="0"/>
    <n v="0"/>
    <n v="0"/>
    <n v="0.05"/>
    <n v="4"/>
    <x v="0"/>
  </r>
  <r>
    <x v="2"/>
    <x v="98"/>
    <x v="5"/>
    <x v="120"/>
    <n v="51"/>
    <n v="2"/>
    <n v="0"/>
    <n v="5"/>
    <n v="0"/>
    <n v="0"/>
    <n v="37"/>
    <s v="Isiah Thomas"/>
    <s v="Collections Group"/>
    <d v="2025-09-10T00:00:00"/>
    <d v="1899-12-30T13:02:31"/>
    <d v="1899-12-30T22:03:42"/>
    <n v="9.02"/>
    <n v="9.02"/>
    <n v="0.64"/>
    <n v="0.2"/>
    <n v="0"/>
    <n v="0.44"/>
    <n v="6.47"/>
    <n v="1.26"/>
    <n v="0"/>
    <n v="0"/>
    <n v="0"/>
    <n v="0"/>
    <n v="9.02"/>
    <n v="7.11"/>
    <n v="2.17"/>
    <n v="0"/>
    <n v="4.9000000000000004"/>
    <n v="71.760000000000005"/>
    <n v="14.02"/>
    <n v="0"/>
    <n v="0"/>
    <n v="0"/>
    <n v="0.04"/>
    <n v="4"/>
    <x v="0"/>
  </r>
  <r>
    <x v="3"/>
    <x v="98"/>
    <x v="5"/>
    <x v="75"/>
    <n v="55"/>
    <n v="3"/>
    <n v="3"/>
    <n v="4"/>
    <n v="0"/>
    <n v="1"/>
    <n v="23"/>
    <s v="Jerrod Coleman"/>
    <s v="Collections Group"/>
    <d v="2025-09-10T00:00:00"/>
    <d v="1899-12-30T13:00:19"/>
    <d v="1899-12-30T21:59:18"/>
    <n v="8.98"/>
    <n v="8.98"/>
    <n v="1.1399999999999999"/>
    <n v="0.32"/>
    <n v="0"/>
    <n v="0.24"/>
    <n v="5.79"/>
    <n v="1.5"/>
    <n v="0"/>
    <n v="0"/>
    <n v="0"/>
    <n v="0"/>
    <n v="8.98"/>
    <n v="12.65"/>
    <n v="3.51"/>
    <n v="0"/>
    <n v="2.62"/>
    <n v="64.47"/>
    <n v="16.71"/>
    <n v="0"/>
    <n v="0"/>
    <n v="0"/>
    <n v="0.04"/>
    <n v="4"/>
    <x v="0"/>
  </r>
  <r>
    <x v="5"/>
    <x v="98"/>
    <x v="5"/>
    <x v="24"/>
    <n v="33"/>
    <n v="2"/>
    <n v="1"/>
    <n v="5"/>
    <n v="0"/>
    <n v="0"/>
    <n v="16"/>
    <s v="Sabigh Masood"/>
    <s v="Collections Group"/>
    <d v="2025-09-10T00:00:00"/>
    <d v="1899-12-30T13:01:16"/>
    <d v="1899-12-30T22:47:43"/>
    <n v="9.77"/>
    <n v="9.77"/>
    <n v="1.79"/>
    <n v="0.17"/>
    <n v="0"/>
    <n v="0.37"/>
    <n v="5.04"/>
    <n v="1.45"/>
    <n v="0.94"/>
    <n v="0"/>
    <n v="0"/>
    <n v="0"/>
    <n v="9.77"/>
    <n v="18.32"/>
    <n v="1.79"/>
    <n v="0"/>
    <n v="3.77"/>
    <n v="51.58"/>
    <n v="14.86"/>
    <n v="9.65"/>
    <n v="0"/>
    <n v="0"/>
    <n v="0.03"/>
    <n v="4"/>
    <x v="0"/>
  </r>
  <r>
    <x v="6"/>
    <x v="98"/>
    <x v="5"/>
    <x v="195"/>
    <n v="0"/>
    <n v="0"/>
    <n v="0"/>
    <n v="0"/>
    <n v="0"/>
    <n v="0"/>
    <n v="0"/>
    <m/>
    <m/>
    <m/>
    <m/>
    <m/>
    <m/>
    <m/>
    <m/>
    <m/>
    <m/>
    <m/>
    <m/>
    <m/>
    <m/>
    <m/>
    <m/>
    <m/>
    <m/>
    <m/>
    <m/>
    <m/>
    <m/>
    <m/>
    <m/>
    <m/>
    <m/>
    <m/>
    <m/>
    <n v="4"/>
    <x v="0"/>
  </r>
  <r>
    <x v="0"/>
    <x v="99"/>
    <x v="5"/>
    <x v="90"/>
    <n v="62"/>
    <n v="2"/>
    <n v="8"/>
    <n v="9"/>
    <n v="0"/>
    <n v="0"/>
    <n v="34"/>
    <s v="Anais Orozco"/>
    <s v="Collections Group"/>
    <d v="2025-09-09T00:00:00"/>
    <d v="1899-12-30T13:01:37"/>
    <d v="1899-12-30T22:01:07"/>
    <n v="9"/>
    <n v="8.15"/>
    <n v="2.14"/>
    <n v="0.28999999999999998"/>
    <n v="0"/>
    <n v="0.42"/>
    <n v="4.9000000000000004"/>
    <n v="0.36"/>
    <n v="0"/>
    <n v="0"/>
    <n v="0"/>
    <n v="0.05"/>
    <n v="8.15"/>
    <n v="26.19"/>
    <n v="3.54"/>
    <n v="0"/>
    <n v="5.16"/>
    <n v="60.14"/>
    <n v="4.41"/>
    <n v="0"/>
    <n v="0"/>
    <n v="0"/>
    <n v="0.56999999999999995"/>
    <n v="3"/>
    <x v="1"/>
  </r>
  <r>
    <x v="1"/>
    <x v="99"/>
    <x v="5"/>
    <x v="51"/>
    <n v="68"/>
    <n v="8"/>
    <n v="2"/>
    <n v="8"/>
    <n v="0"/>
    <n v="0"/>
    <n v="28"/>
    <s v="Derice Warnsley"/>
    <s v="Collections Group"/>
    <d v="2025-09-09T00:00:00"/>
    <d v="1899-12-30T12:59:24"/>
    <d v="1899-12-30T22:00:16"/>
    <n v="9.02"/>
    <n v="9.01"/>
    <n v="1.7"/>
    <n v="0.23"/>
    <n v="0"/>
    <n v="0.04"/>
    <n v="4.92"/>
    <n v="1.47"/>
    <n v="0.63"/>
    <n v="0"/>
    <n v="0"/>
    <n v="0.01"/>
    <n v="9.01"/>
    <n v="18.91"/>
    <n v="2.6"/>
    <n v="0"/>
    <n v="0.5"/>
    <n v="54.62"/>
    <n v="16.28"/>
    <n v="6.96"/>
    <n v="0"/>
    <n v="0"/>
    <n v="0.12"/>
    <n v="3"/>
    <x v="1"/>
  </r>
  <r>
    <x v="2"/>
    <x v="99"/>
    <x v="5"/>
    <x v="118"/>
    <n v="60"/>
    <n v="6"/>
    <n v="2"/>
    <n v="11"/>
    <n v="0"/>
    <n v="2"/>
    <n v="32"/>
    <s v="Isiah Thomas"/>
    <s v="Collections Group"/>
    <d v="2025-09-09T00:00:00"/>
    <d v="1899-12-30T13:00:30"/>
    <d v="1899-12-30T22:00:01"/>
    <n v="9"/>
    <n v="8.99"/>
    <n v="1.64"/>
    <n v="0.57999999999999996"/>
    <n v="0"/>
    <n v="0.41"/>
    <n v="5.1100000000000003"/>
    <n v="1.25"/>
    <n v="0"/>
    <n v="0"/>
    <n v="0"/>
    <n v="0"/>
    <n v="8.99"/>
    <n v="18.190000000000001"/>
    <n v="6.43"/>
    <n v="0"/>
    <n v="4.58"/>
    <n v="56.87"/>
    <n v="13.88"/>
    <n v="0"/>
    <n v="0"/>
    <n v="0"/>
    <n v="0.04"/>
    <n v="3"/>
    <x v="1"/>
  </r>
  <r>
    <x v="3"/>
    <x v="99"/>
    <x v="5"/>
    <x v="18"/>
    <n v="70"/>
    <n v="4"/>
    <n v="6"/>
    <n v="5"/>
    <n v="0"/>
    <n v="0"/>
    <n v="39"/>
    <s v="Jerrod Coleman"/>
    <s v="Collections Group"/>
    <d v="2025-09-09T00:00:00"/>
    <d v="1899-12-30T13:00:18"/>
    <d v="1899-12-30T22:00:07"/>
    <n v="9"/>
    <n v="9"/>
    <n v="1.37"/>
    <n v="0.56999999999999995"/>
    <n v="0"/>
    <n v="0.4"/>
    <n v="4.9000000000000004"/>
    <n v="1.45"/>
    <n v="0.31"/>
    <n v="0"/>
    <n v="0"/>
    <n v="0"/>
    <n v="9"/>
    <n v="15.21"/>
    <n v="6.28"/>
    <n v="0"/>
    <n v="4.42"/>
    <n v="54.44"/>
    <n v="16.12"/>
    <n v="3.5"/>
    <n v="0"/>
    <n v="0"/>
    <n v="0.04"/>
    <n v="3"/>
    <x v="1"/>
  </r>
  <r>
    <x v="14"/>
    <x v="99"/>
    <x v="5"/>
    <x v="13"/>
    <n v="4"/>
    <n v="0"/>
    <n v="0"/>
    <n v="0"/>
    <n v="0"/>
    <n v="0"/>
    <n v="0"/>
    <m/>
    <m/>
    <m/>
    <m/>
    <m/>
    <m/>
    <m/>
    <m/>
    <m/>
    <m/>
    <m/>
    <m/>
    <m/>
    <m/>
    <m/>
    <m/>
    <m/>
    <m/>
    <m/>
    <m/>
    <m/>
    <m/>
    <m/>
    <m/>
    <m/>
    <m/>
    <m/>
    <m/>
    <n v="3"/>
    <x v="1"/>
  </r>
  <r>
    <x v="5"/>
    <x v="99"/>
    <x v="5"/>
    <x v="73"/>
    <n v="45"/>
    <n v="5"/>
    <n v="3"/>
    <n v="4"/>
    <n v="1"/>
    <n v="0"/>
    <n v="20"/>
    <s v="Sabigh Masood"/>
    <s v="Collections Group"/>
    <d v="2025-09-09T00:00:00"/>
    <d v="1899-12-30T13:00:38"/>
    <d v="1899-12-30T22:04:31"/>
    <n v="9.07"/>
    <n v="9.06"/>
    <n v="2.38"/>
    <n v="0.11"/>
    <n v="0"/>
    <n v="0.56000000000000005"/>
    <n v="4.5199999999999996"/>
    <n v="1.48"/>
    <n v="0"/>
    <n v="0"/>
    <n v="0"/>
    <n v="0.01"/>
    <n v="9.06"/>
    <n v="26.3"/>
    <n v="1.23"/>
    <n v="0"/>
    <n v="6.14"/>
    <n v="49.87"/>
    <n v="16.32"/>
    <n v="0"/>
    <n v="0"/>
    <n v="0"/>
    <n v="0.15"/>
    <n v="3"/>
    <x v="1"/>
  </r>
  <r>
    <x v="6"/>
    <x v="99"/>
    <x v="5"/>
    <x v="196"/>
    <n v="0"/>
    <n v="0"/>
    <n v="0"/>
    <n v="0"/>
    <n v="0"/>
    <n v="0"/>
    <n v="0"/>
    <m/>
    <m/>
    <m/>
    <m/>
    <m/>
    <m/>
    <m/>
    <m/>
    <m/>
    <m/>
    <m/>
    <m/>
    <m/>
    <m/>
    <m/>
    <m/>
    <m/>
    <m/>
    <m/>
    <m/>
    <m/>
    <m/>
    <m/>
    <m/>
    <m/>
    <m/>
    <m/>
    <m/>
    <n v="3"/>
    <x v="1"/>
  </r>
  <r>
    <x v="0"/>
    <x v="100"/>
    <x v="5"/>
    <x v="110"/>
    <n v="42"/>
    <n v="5"/>
    <n v="7"/>
    <n v="7"/>
    <n v="0"/>
    <n v="5"/>
    <n v="11"/>
    <s v="Anais Orozco"/>
    <s v="Collections Group"/>
    <d v="2025-09-08T00:00:00"/>
    <d v="1899-12-30T13:00:48"/>
    <d v="1899-12-30T22:00:14"/>
    <n v="9"/>
    <n v="8.1"/>
    <n v="2.33"/>
    <n v="0.5"/>
    <n v="0"/>
    <n v="0.31"/>
    <n v="4.0199999999999996"/>
    <n v="0.56000000000000005"/>
    <n v="0.34"/>
    <n v="0"/>
    <n v="0"/>
    <n v="0.05"/>
    <n v="8.1"/>
    <n v="28.76"/>
    <n v="6.17"/>
    <n v="0"/>
    <n v="3.87"/>
    <n v="49.56"/>
    <n v="6.89"/>
    <n v="4.1500000000000004"/>
    <n v="0"/>
    <n v="0"/>
    <n v="0.6"/>
    <n v="2"/>
    <x v="2"/>
  </r>
  <r>
    <x v="1"/>
    <x v="100"/>
    <x v="5"/>
    <x v="18"/>
    <n v="79"/>
    <n v="2"/>
    <n v="10"/>
    <n v="6"/>
    <n v="0"/>
    <n v="0"/>
    <n v="45"/>
    <s v="Derice Warnsley"/>
    <s v="Collections Group"/>
    <d v="2025-09-08T00:00:00"/>
    <d v="1899-12-30T13:00:11"/>
    <d v="1899-12-30T22:00:13"/>
    <n v="9"/>
    <n v="9"/>
    <n v="1.31"/>
    <n v="0.13"/>
    <n v="0"/>
    <n v="0.02"/>
    <n v="5.44"/>
    <n v="1.51"/>
    <n v="0.57999999999999996"/>
    <n v="0"/>
    <n v="0"/>
    <n v="0.01"/>
    <n v="9"/>
    <n v="14.54"/>
    <n v="1.46"/>
    <n v="0"/>
    <n v="0.23"/>
    <n v="60.43"/>
    <n v="16.8"/>
    <n v="6.48"/>
    <n v="0"/>
    <n v="0"/>
    <n v="0.06"/>
    <n v="2"/>
    <x v="2"/>
  </r>
  <r>
    <x v="2"/>
    <x v="100"/>
    <x v="5"/>
    <x v="110"/>
    <n v="39"/>
    <n v="8"/>
    <n v="3"/>
    <n v="14"/>
    <n v="0"/>
    <n v="2"/>
    <n v="6"/>
    <s v="Isiah Thomas"/>
    <s v="Collections Group"/>
    <d v="2025-09-08T00:00:00"/>
    <d v="1899-12-30T13:01:43"/>
    <d v="1899-12-30T22:00:01"/>
    <n v="8.98"/>
    <n v="8.9700000000000006"/>
    <n v="1.42"/>
    <n v="0"/>
    <n v="0"/>
    <n v="0.43"/>
    <n v="5.27"/>
    <n v="1.27"/>
    <n v="0.57999999999999996"/>
    <n v="0"/>
    <n v="0"/>
    <n v="0.01"/>
    <n v="8.9700000000000006"/>
    <n v="15.83"/>
    <n v="0"/>
    <n v="0"/>
    <n v="4.75"/>
    <n v="58.75"/>
    <n v="14.13"/>
    <n v="6.48"/>
    <n v="0"/>
    <n v="0"/>
    <n v="7.0000000000000007E-2"/>
    <n v="2"/>
    <x v="2"/>
  </r>
  <r>
    <x v="3"/>
    <x v="100"/>
    <x v="5"/>
    <x v="64"/>
    <n v="87"/>
    <n v="3"/>
    <n v="5"/>
    <n v="1"/>
    <n v="1"/>
    <n v="0"/>
    <n v="58"/>
    <s v="Jerrod Coleman"/>
    <s v="Collections Group"/>
    <d v="2025-09-08T00:00:00"/>
    <d v="1899-12-30T13:00:24"/>
    <d v="1899-12-30T21:59:34"/>
    <n v="8.98"/>
    <n v="8.34"/>
    <n v="1.55"/>
    <n v="0.5"/>
    <n v="0"/>
    <n v="0.33"/>
    <n v="4.9400000000000004"/>
    <n v="0.86"/>
    <n v="0.16"/>
    <n v="0"/>
    <n v="0"/>
    <n v="0.01"/>
    <n v="8.34"/>
    <n v="18.600000000000001"/>
    <n v="5.98"/>
    <n v="0"/>
    <n v="3.95"/>
    <n v="59.19"/>
    <n v="10.3"/>
    <n v="1.87"/>
    <n v="0"/>
    <n v="0"/>
    <n v="0.1"/>
    <n v="2"/>
    <x v="2"/>
  </r>
  <r>
    <x v="6"/>
    <x v="100"/>
    <x v="5"/>
    <x v="197"/>
    <n v="0"/>
    <n v="0"/>
    <n v="0"/>
    <n v="0"/>
    <n v="0"/>
    <n v="0"/>
    <n v="0"/>
    <m/>
    <m/>
    <m/>
    <m/>
    <m/>
    <m/>
    <m/>
    <m/>
    <m/>
    <m/>
    <m/>
    <m/>
    <m/>
    <m/>
    <m/>
    <m/>
    <m/>
    <m/>
    <m/>
    <m/>
    <m/>
    <m/>
    <m/>
    <m/>
    <m/>
    <m/>
    <m/>
    <m/>
    <n v="2"/>
    <x v="2"/>
  </r>
  <r>
    <x v="0"/>
    <x v="101"/>
    <x v="5"/>
    <x v="116"/>
    <n v="57"/>
    <n v="4"/>
    <n v="1"/>
    <n v="1"/>
    <n v="0"/>
    <n v="2"/>
    <n v="33"/>
    <s v="Anais Orozco"/>
    <s v="Collections Group"/>
    <d v="2025-09-05T00:00:00"/>
    <d v="1899-12-30T13:00:00"/>
    <d v="1899-12-30T22:01:07"/>
    <n v="9.02"/>
    <n v="8.14"/>
    <n v="1.62"/>
    <n v="0.9"/>
    <n v="0"/>
    <n v="0.26"/>
    <n v="4.91"/>
    <n v="0.42"/>
    <n v="0"/>
    <n v="0"/>
    <n v="0"/>
    <n v="0.03"/>
    <n v="8.14"/>
    <n v="19.850000000000001"/>
    <n v="11.06"/>
    <n v="0"/>
    <n v="3.17"/>
    <n v="60.37"/>
    <n v="5.22"/>
    <n v="0"/>
    <n v="0"/>
    <n v="0"/>
    <n v="0.33"/>
    <n v="6"/>
    <x v="3"/>
  </r>
  <r>
    <x v="1"/>
    <x v="101"/>
    <x v="5"/>
    <x v="73"/>
    <n v="45"/>
    <n v="0"/>
    <n v="3"/>
    <n v="6"/>
    <n v="1"/>
    <n v="0"/>
    <n v="28"/>
    <s v="Derice Warnsley"/>
    <s v="Collections Group"/>
    <d v="2025-09-05T00:00:00"/>
    <d v="1899-12-30T13:00:24"/>
    <d v="1899-12-30T22:00:15"/>
    <n v="9"/>
    <n v="9"/>
    <n v="1.08"/>
    <n v="0.1"/>
    <n v="0"/>
    <n v="0.02"/>
    <n v="6.32"/>
    <n v="1.47"/>
    <n v="0"/>
    <n v="0"/>
    <n v="0"/>
    <n v="0"/>
    <n v="9"/>
    <n v="12.05"/>
    <n v="1.1000000000000001"/>
    <n v="0"/>
    <n v="0.22"/>
    <n v="70.25"/>
    <n v="16.34"/>
    <n v="0"/>
    <n v="0"/>
    <n v="0"/>
    <n v="0.04"/>
    <n v="6"/>
    <x v="3"/>
  </r>
  <r>
    <x v="2"/>
    <x v="101"/>
    <x v="5"/>
    <x v="178"/>
    <n v="33"/>
    <n v="1"/>
    <n v="0"/>
    <n v="4"/>
    <n v="0"/>
    <n v="0"/>
    <n v="23"/>
    <s v="Isiah Thomas"/>
    <s v="Collections Group"/>
    <d v="2025-09-05T00:00:00"/>
    <d v="1899-12-30T13:00:13"/>
    <d v="1899-12-30T22:00:01"/>
    <n v="9"/>
    <n v="9"/>
    <n v="0.75"/>
    <n v="1.17"/>
    <n v="0"/>
    <n v="0.21"/>
    <n v="5.4"/>
    <n v="1.26"/>
    <n v="0.2"/>
    <n v="0"/>
    <n v="0"/>
    <n v="0"/>
    <n v="9"/>
    <n v="8.39"/>
    <n v="13.05"/>
    <n v="0"/>
    <n v="2.29"/>
    <n v="60.06"/>
    <n v="13.96"/>
    <n v="2.19"/>
    <n v="0"/>
    <n v="0"/>
    <n v="0.05"/>
    <n v="6"/>
    <x v="3"/>
  </r>
  <r>
    <x v="3"/>
    <x v="101"/>
    <x v="5"/>
    <x v="116"/>
    <n v="49"/>
    <n v="3"/>
    <n v="7"/>
    <n v="2"/>
    <n v="0"/>
    <n v="1"/>
    <n v="25"/>
    <s v="Jerrod Coleman"/>
    <s v="Collections Group"/>
    <d v="2025-09-05T00:00:00"/>
    <d v="1899-12-30T13:00:11"/>
    <d v="1899-12-30T22:03:57"/>
    <n v="9.0500000000000007"/>
    <n v="9.06"/>
    <n v="1.01"/>
    <n v="0.22"/>
    <n v="0"/>
    <n v="0.4"/>
    <n v="5.97"/>
    <n v="1.46"/>
    <n v="0"/>
    <n v="0"/>
    <n v="0"/>
    <n v="0"/>
    <n v="9.06"/>
    <n v="11.14"/>
    <n v="2.38"/>
    <n v="0"/>
    <n v="4.42"/>
    <n v="65.900000000000006"/>
    <n v="16.11"/>
    <n v="0"/>
    <n v="0"/>
    <n v="0"/>
    <n v="0.05"/>
    <n v="6"/>
    <x v="3"/>
  </r>
  <r>
    <x v="6"/>
    <x v="101"/>
    <x v="5"/>
    <x v="198"/>
    <n v="0"/>
    <n v="0"/>
    <n v="0"/>
    <n v="0"/>
    <n v="0"/>
    <n v="0"/>
    <n v="0"/>
    <m/>
    <m/>
    <m/>
    <m/>
    <m/>
    <m/>
    <m/>
    <m/>
    <m/>
    <m/>
    <m/>
    <m/>
    <m/>
    <m/>
    <m/>
    <m/>
    <m/>
    <m/>
    <m/>
    <m/>
    <m/>
    <m/>
    <m/>
    <m/>
    <m/>
    <m/>
    <m/>
    <m/>
    <n v="6"/>
    <x v="3"/>
  </r>
  <r>
    <x v="1"/>
    <x v="102"/>
    <x v="5"/>
    <x v="69"/>
    <n v="55"/>
    <n v="11"/>
    <n v="4"/>
    <n v="3"/>
    <n v="1"/>
    <n v="0"/>
    <n v="25"/>
    <s v="Derice Warnsley"/>
    <s v="Collections Group"/>
    <d v="2025-09-04T00:00:00"/>
    <d v="1899-12-30T13:00:35"/>
    <d v="1899-12-30T22:00:09"/>
    <n v="9"/>
    <n v="8.99"/>
    <n v="1.9"/>
    <n v="0.09"/>
    <n v="0"/>
    <n v="0.04"/>
    <n v="5.49"/>
    <n v="1.47"/>
    <n v="0"/>
    <n v="0"/>
    <n v="0"/>
    <n v="0"/>
    <n v="8.99"/>
    <n v="21.11"/>
    <n v="0.98"/>
    <n v="0"/>
    <n v="0.48"/>
    <n v="61.06"/>
    <n v="16.329999999999998"/>
    <n v="0"/>
    <n v="0"/>
    <n v="0"/>
    <n v="0.05"/>
    <n v="5"/>
    <x v="4"/>
  </r>
  <r>
    <x v="2"/>
    <x v="102"/>
    <x v="5"/>
    <x v="89"/>
    <n v="78"/>
    <n v="2"/>
    <n v="1"/>
    <n v="7"/>
    <n v="4"/>
    <n v="0"/>
    <n v="47"/>
    <s v="Isiah Thomas"/>
    <s v="Collections Group"/>
    <d v="2025-09-04T00:00:00"/>
    <d v="1899-12-30T13:00:44"/>
    <d v="1899-12-30T22:00:30"/>
    <n v="9"/>
    <n v="8.99"/>
    <n v="1.41"/>
    <n v="0.25"/>
    <n v="0"/>
    <n v="0.4"/>
    <n v="5.07"/>
    <n v="0.99"/>
    <n v="0.87"/>
    <n v="0"/>
    <n v="0"/>
    <n v="0"/>
    <n v="8.99"/>
    <n v="15.71"/>
    <n v="2.79"/>
    <n v="0"/>
    <n v="4.47"/>
    <n v="56.37"/>
    <n v="11"/>
    <n v="9.6199999999999992"/>
    <n v="0"/>
    <n v="0"/>
    <n v="0.04"/>
    <n v="5"/>
    <x v="4"/>
  </r>
  <r>
    <x v="3"/>
    <x v="102"/>
    <x v="5"/>
    <x v="116"/>
    <n v="60"/>
    <n v="10"/>
    <n v="5"/>
    <n v="5"/>
    <n v="0"/>
    <n v="1"/>
    <n v="34"/>
    <s v="Jerrod Coleman"/>
    <s v="Collections Group"/>
    <d v="2025-09-04T00:00:00"/>
    <d v="1899-12-30T13:00:06"/>
    <d v="1899-12-30T21:59:15"/>
    <n v="8.98"/>
    <n v="8.98"/>
    <n v="1.51"/>
    <n v="0.22"/>
    <n v="0"/>
    <n v="0.33"/>
    <n v="5.48"/>
    <n v="1.43"/>
    <n v="0"/>
    <n v="0"/>
    <n v="0"/>
    <n v="0"/>
    <n v="8.98"/>
    <n v="16.829999999999998"/>
    <n v="2.5"/>
    <n v="0"/>
    <n v="3.63"/>
    <n v="61.03"/>
    <n v="15.97"/>
    <n v="0"/>
    <n v="0"/>
    <n v="0"/>
    <n v="0.04"/>
    <n v="5"/>
    <x v="4"/>
  </r>
  <r>
    <x v="5"/>
    <x v="102"/>
    <x v="5"/>
    <x v="108"/>
    <n v="57"/>
    <n v="5"/>
    <n v="2"/>
    <n v="6"/>
    <n v="2"/>
    <n v="1"/>
    <n v="28"/>
    <s v="Sabigh Masood"/>
    <s v="Collections Group"/>
    <d v="2025-09-04T00:00:00"/>
    <d v="1899-12-30T12:59:38"/>
    <d v="1899-12-30T22:32:35"/>
    <n v="9.5500000000000007"/>
    <n v="9.5500000000000007"/>
    <n v="2.36"/>
    <n v="0.2"/>
    <n v="0"/>
    <n v="0.34"/>
    <n v="5.16"/>
    <n v="1.47"/>
    <n v="0"/>
    <n v="0"/>
    <n v="0.01"/>
    <n v="0.01"/>
    <n v="9.5500000000000007"/>
    <n v="24.69"/>
    <n v="2.11"/>
    <n v="0"/>
    <n v="3.58"/>
    <n v="54.02"/>
    <n v="15.37"/>
    <n v="0"/>
    <n v="0"/>
    <n v="0.1"/>
    <n v="0.13"/>
    <n v="5"/>
    <x v="4"/>
  </r>
  <r>
    <x v="6"/>
    <x v="102"/>
    <x v="5"/>
    <x v="199"/>
    <n v="0"/>
    <n v="0"/>
    <n v="0"/>
    <n v="0"/>
    <n v="0"/>
    <n v="0"/>
    <n v="0"/>
    <m/>
    <m/>
    <m/>
    <m/>
    <m/>
    <m/>
    <m/>
    <m/>
    <m/>
    <m/>
    <m/>
    <m/>
    <m/>
    <m/>
    <m/>
    <m/>
    <m/>
    <m/>
    <m/>
    <m/>
    <m/>
    <m/>
    <m/>
    <m/>
    <m/>
    <m/>
    <m/>
    <m/>
    <n v="5"/>
    <x v="4"/>
  </r>
  <r>
    <x v="0"/>
    <x v="103"/>
    <x v="5"/>
    <x v="74"/>
    <n v="47"/>
    <n v="1"/>
    <n v="2"/>
    <n v="0"/>
    <n v="0"/>
    <n v="1"/>
    <n v="32"/>
    <s v="Anais Orozco"/>
    <s v="Collections Group"/>
    <d v="2025-09-03T00:00:00"/>
    <d v="1899-12-30T13:00:54"/>
    <d v="1899-12-30T16:19:32"/>
    <n v="3.32"/>
    <n v="3.31"/>
    <n v="0.4"/>
    <n v="7.0000000000000007E-2"/>
    <n v="0"/>
    <n v="0.1"/>
    <n v="2.2999999999999998"/>
    <n v="0.4"/>
    <n v="0"/>
    <n v="0"/>
    <n v="0"/>
    <n v="0.03"/>
    <n v="3.31"/>
    <n v="12.24"/>
    <n v="2.15"/>
    <n v="0"/>
    <n v="3"/>
    <n v="69.45"/>
    <n v="12.2"/>
    <n v="0"/>
    <n v="0"/>
    <n v="0"/>
    <n v="0.97"/>
    <n v="4"/>
    <x v="0"/>
  </r>
  <r>
    <x v="1"/>
    <x v="103"/>
    <x v="5"/>
    <x v="21"/>
    <n v="86"/>
    <n v="6"/>
    <n v="4"/>
    <n v="7"/>
    <n v="0"/>
    <n v="0"/>
    <n v="38"/>
    <s v="Derice Warnsley"/>
    <s v="Collections Group"/>
    <d v="2025-09-03T00:00:00"/>
    <d v="1899-12-30T13:00:08"/>
    <d v="1899-12-30T22:02:16"/>
    <n v="9.0299999999999994"/>
    <n v="9.0299999999999994"/>
    <n v="2.36"/>
    <n v="0.04"/>
    <n v="0"/>
    <n v="0.04"/>
    <n v="5.0999999999999996"/>
    <n v="1.48"/>
    <n v="0"/>
    <n v="0"/>
    <n v="0"/>
    <n v="0.01"/>
    <n v="9.0299999999999994"/>
    <n v="26.1"/>
    <n v="0.47"/>
    <n v="0"/>
    <n v="0.45"/>
    <n v="56.44"/>
    <n v="16.38"/>
    <n v="0"/>
    <n v="0"/>
    <n v="0"/>
    <n v="0.16"/>
    <n v="4"/>
    <x v="0"/>
  </r>
  <r>
    <x v="2"/>
    <x v="103"/>
    <x v="5"/>
    <x v="64"/>
    <n v="88"/>
    <n v="8"/>
    <n v="0"/>
    <n v="11"/>
    <n v="1"/>
    <n v="0"/>
    <n v="51"/>
    <s v="Isiah Thomas"/>
    <s v="Collections Group"/>
    <d v="2025-09-03T00:00:00"/>
    <d v="1899-12-30T13:00:05"/>
    <d v="1899-12-30T22:00:04"/>
    <n v="9"/>
    <n v="8.98"/>
    <n v="1.76"/>
    <n v="0.28000000000000003"/>
    <n v="0"/>
    <n v="0.56999999999999995"/>
    <n v="4.7699999999999996"/>
    <n v="1.53"/>
    <n v="0"/>
    <n v="0.06"/>
    <n v="0"/>
    <n v="0.01"/>
    <n v="8.98"/>
    <n v="19.579999999999998"/>
    <n v="3.13"/>
    <n v="0"/>
    <n v="6.34"/>
    <n v="53.09"/>
    <n v="17.079999999999998"/>
    <n v="0"/>
    <n v="0.65"/>
    <n v="0"/>
    <n v="0.12"/>
    <n v="4"/>
    <x v="0"/>
  </r>
  <r>
    <x v="3"/>
    <x v="103"/>
    <x v="5"/>
    <x v="51"/>
    <n v="103"/>
    <n v="5"/>
    <n v="3"/>
    <n v="7"/>
    <n v="0"/>
    <n v="0"/>
    <n v="60"/>
    <s v="Jerrod Coleman"/>
    <s v="Collections Group"/>
    <d v="2025-09-03T00:00:00"/>
    <d v="1899-12-30T13:00:13"/>
    <d v="1899-12-30T21:59:12"/>
    <n v="8.98"/>
    <n v="8.98"/>
    <n v="1.35"/>
    <n v="0.46"/>
    <n v="0"/>
    <n v="0.17"/>
    <n v="5.54"/>
    <n v="1.46"/>
    <n v="0"/>
    <n v="0"/>
    <n v="0"/>
    <n v="0"/>
    <n v="8.98"/>
    <n v="15"/>
    <n v="5.1100000000000003"/>
    <n v="0"/>
    <n v="1.91"/>
    <n v="61.67"/>
    <n v="16.27"/>
    <n v="0"/>
    <n v="0"/>
    <n v="0"/>
    <n v="0.04"/>
    <n v="4"/>
    <x v="0"/>
  </r>
  <r>
    <x v="5"/>
    <x v="103"/>
    <x v="5"/>
    <x v="108"/>
    <n v="77"/>
    <n v="7"/>
    <n v="11"/>
    <n v="8"/>
    <n v="0"/>
    <n v="0"/>
    <n v="31"/>
    <s v="Sabigh Masood"/>
    <s v="Collections Group"/>
    <d v="2025-09-03T00:00:00"/>
    <d v="1899-12-30T12:59:49"/>
    <d v="1899-12-30T22:02:24"/>
    <n v="9.0500000000000007"/>
    <n v="9.0399999999999991"/>
    <n v="2.46"/>
    <n v="0.22"/>
    <n v="0"/>
    <n v="0.52"/>
    <n v="4.0999999999999996"/>
    <n v="1.47"/>
    <n v="0.2"/>
    <n v="0"/>
    <n v="0.06"/>
    <n v="0.01"/>
    <n v="9.0399999999999991"/>
    <n v="27.21"/>
    <n v="2.4300000000000002"/>
    <n v="0"/>
    <n v="5.71"/>
    <n v="45.34"/>
    <n v="16.239999999999998"/>
    <n v="2.2599999999999998"/>
    <n v="0"/>
    <n v="0.67"/>
    <n v="0.14000000000000001"/>
    <n v="4"/>
    <x v="0"/>
  </r>
  <r>
    <x v="6"/>
    <x v="103"/>
    <x v="5"/>
    <x v="193"/>
    <n v="0"/>
    <n v="0"/>
    <n v="0"/>
    <n v="0"/>
    <n v="0"/>
    <n v="0"/>
    <n v="0"/>
    <m/>
    <m/>
    <m/>
    <m/>
    <m/>
    <m/>
    <m/>
    <m/>
    <m/>
    <m/>
    <m/>
    <m/>
    <m/>
    <m/>
    <m/>
    <m/>
    <m/>
    <m/>
    <m/>
    <m/>
    <m/>
    <m/>
    <m/>
    <m/>
    <m/>
    <m/>
    <m/>
    <m/>
    <n v="4"/>
    <x v="0"/>
  </r>
  <r>
    <x v="1"/>
    <x v="104"/>
    <x v="5"/>
    <x v="116"/>
    <n v="57"/>
    <n v="7"/>
    <n v="6"/>
    <n v="12"/>
    <n v="0"/>
    <n v="0"/>
    <n v="19"/>
    <s v="Derice Warnsley"/>
    <s v="Collections Group"/>
    <d v="2025-09-02T00:00:00"/>
    <d v="1899-12-30T13:00:37"/>
    <d v="1899-12-30T22:00:11"/>
    <n v="9"/>
    <n v="8.99"/>
    <n v="1.59"/>
    <n v="0.09"/>
    <n v="0"/>
    <n v="0.04"/>
    <n v="5.61"/>
    <n v="1.49"/>
    <n v="0.16"/>
    <n v="0"/>
    <n v="0"/>
    <n v="0"/>
    <n v="8.99"/>
    <n v="17.71"/>
    <n v="1"/>
    <n v="0"/>
    <n v="0.42"/>
    <n v="62.44"/>
    <n v="16.579999999999998"/>
    <n v="1.81"/>
    <n v="0"/>
    <n v="0"/>
    <n v="0.04"/>
    <n v="3"/>
    <x v="1"/>
  </r>
  <r>
    <x v="2"/>
    <x v="104"/>
    <x v="5"/>
    <x v="118"/>
    <n v="64"/>
    <n v="3"/>
    <n v="3"/>
    <n v="10"/>
    <n v="2"/>
    <n v="0"/>
    <n v="42"/>
    <s v="Isiah Thomas"/>
    <s v="Collections Group"/>
    <d v="2025-09-02T00:00:00"/>
    <d v="1899-12-30T13:00:27"/>
    <d v="1899-12-30T22:00:03"/>
    <n v="9"/>
    <n v="8.99"/>
    <n v="1.1200000000000001"/>
    <n v="0.4"/>
    <n v="0"/>
    <n v="0.64"/>
    <n v="5.09"/>
    <n v="1.52"/>
    <n v="0.22"/>
    <n v="0"/>
    <n v="0"/>
    <n v="0"/>
    <n v="8.99"/>
    <n v="12.49"/>
    <n v="4.42"/>
    <n v="0"/>
    <n v="7.08"/>
    <n v="56.63"/>
    <n v="16.899999999999999"/>
    <n v="2.44"/>
    <n v="0"/>
    <n v="0"/>
    <n v="0.04"/>
    <n v="3"/>
    <x v="1"/>
  </r>
  <r>
    <x v="3"/>
    <x v="104"/>
    <x v="5"/>
    <x v="73"/>
    <n v="50"/>
    <n v="1"/>
    <n v="3"/>
    <n v="5"/>
    <n v="0"/>
    <n v="5"/>
    <n v="28"/>
    <s v="Jerrod Coleman"/>
    <s v="Collections Group"/>
    <d v="2025-09-02T00:00:00"/>
    <d v="1899-12-30T15:31:18"/>
    <d v="1899-12-30T22:00:42"/>
    <n v="6.48"/>
    <n v="6.49"/>
    <n v="0.73"/>
    <n v="0.26"/>
    <n v="0"/>
    <n v="0.19"/>
    <n v="3.88"/>
    <n v="1.42"/>
    <n v="0"/>
    <n v="0"/>
    <n v="0"/>
    <n v="0"/>
    <n v="6.49"/>
    <n v="11.22"/>
    <n v="4"/>
    <n v="0"/>
    <n v="2.98"/>
    <n v="59.83"/>
    <n v="21.9"/>
    <n v="0"/>
    <n v="0"/>
    <n v="0"/>
    <n v="7.0000000000000007E-2"/>
    <n v="3"/>
    <x v="1"/>
  </r>
  <r>
    <x v="5"/>
    <x v="104"/>
    <x v="5"/>
    <x v="89"/>
    <n v="93"/>
    <n v="0"/>
    <n v="7"/>
    <n v="3"/>
    <n v="1"/>
    <n v="1"/>
    <n v="52"/>
    <s v="Sabigh Masood"/>
    <s v="Collections Group"/>
    <d v="2025-09-02T00:00:00"/>
    <d v="1899-12-30T13:00:23"/>
    <d v="1899-12-30T22:01:05"/>
    <n v="9.02"/>
    <n v="9.01"/>
    <n v="1.82"/>
    <n v="0.16"/>
    <n v="0"/>
    <n v="0.6"/>
    <n v="4.93"/>
    <n v="1.48"/>
    <n v="0"/>
    <n v="0"/>
    <n v="0"/>
    <n v="0.01"/>
    <n v="9.01"/>
    <n v="20.22"/>
    <n v="1.83"/>
    <n v="0"/>
    <n v="6.64"/>
    <n v="54.73"/>
    <n v="16.440000000000001"/>
    <n v="0"/>
    <n v="0"/>
    <n v="0"/>
    <n v="0.14000000000000001"/>
    <n v="3"/>
    <x v="1"/>
  </r>
  <r>
    <x v="6"/>
    <x v="104"/>
    <x v="5"/>
    <x v="144"/>
    <n v="0"/>
    <n v="0"/>
    <n v="0"/>
    <n v="0"/>
    <n v="0"/>
    <n v="0"/>
    <n v="0"/>
    <m/>
    <m/>
    <m/>
    <m/>
    <m/>
    <m/>
    <m/>
    <m/>
    <m/>
    <m/>
    <m/>
    <m/>
    <m/>
    <m/>
    <m/>
    <m/>
    <m/>
    <m/>
    <m/>
    <m/>
    <m/>
    <m/>
    <m/>
    <m/>
    <m/>
    <m/>
    <m/>
    <m/>
    <n v="3"/>
    <x v="1"/>
  </r>
  <r>
    <x v="0"/>
    <x v="105"/>
    <x v="6"/>
    <x v="99"/>
    <n v="98"/>
    <n v="6"/>
    <n v="3"/>
    <n v="4"/>
    <n v="0"/>
    <n v="1"/>
    <n v="57"/>
    <s v="Anais Orozco"/>
    <s v="Collections Group"/>
    <d v="2025-08-29T00:00:00"/>
    <d v="1899-12-30T13:01:10"/>
    <d v="1899-12-30T22:00:10"/>
    <n v="8.98"/>
    <n v="8.2799999999999994"/>
    <n v="1.66"/>
    <n v="0.4"/>
    <n v="0"/>
    <n v="0.28999999999999998"/>
    <n v="4.2699999999999996"/>
    <n v="0.56999999999999995"/>
    <n v="1.08"/>
    <n v="0"/>
    <n v="0"/>
    <n v="0.01"/>
    <n v="8.2799999999999994"/>
    <n v="19.98"/>
    <n v="4.88"/>
    <n v="0"/>
    <n v="3.48"/>
    <n v="51.54"/>
    <n v="6.91"/>
    <n v="13.09"/>
    <n v="0"/>
    <n v="0"/>
    <n v="0.12"/>
    <n v="6"/>
    <x v="3"/>
  </r>
  <r>
    <x v="1"/>
    <x v="105"/>
    <x v="6"/>
    <x v="75"/>
    <n v="65"/>
    <n v="5"/>
    <n v="1"/>
    <n v="4"/>
    <n v="0"/>
    <n v="1"/>
    <n v="38"/>
    <s v="Derice Warnsley"/>
    <s v="Collections Group"/>
    <d v="2025-08-29T00:00:00"/>
    <d v="1899-12-30T12:59:29"/>
    <d v="1899-12-30T22:00:03"/>
    <n v="9.02"/>
    <n v="9.01"/>
    <n v="1.48"/>
    <n v="0.02"/>
    <n v="0"/>
    <n v="0.03"/>
    <n v="5.89"/>
    <n v="1.48"/>
    <n v="0.09"/>
    <n v="0"/>
    <n v="0"/>
    <n v="0.01"/>
    <n v="9.01"/>
    <n v="16.47"/>
    <n v="0.26"/>
    <n v="0.01"/>
    <n v="0.31"/>
    <n v="65.37"/>
    <n v="16.47"/>
    <n v="1"/>
    <n v="0"/>
    <n v="0"/>
    <n v="0.11"/>
    <n v="6"/>
    <x v="3"/>
  </r>
  <r>
    <x v="2"/>
    <x v="105"/>
    <x v="6"/>
    <x v="110"/>
    <n v="61"/>
    <n v="6"/>
    <n v="0"/>
    <n v="2"/>
    <n v="0"/>
    <n v="0"/>
    <n v="40"/>
    <s v="Isiah Thomas"/>
    <s v="Collections Group"/>
    <d v="2025-08-29T00:00:00"/>
    <d v="1899-12-30T13:00:44"/>
    <d v="1899-12-30T22:00:01"/>
    <n v="9"/>
    <n v="8.99"/>
    <n v="0.96"/>
    <n v="0.09"/>
    <n v="0"/>
    <n v="0.36"/>
    <n v="6.19"/>
    <n v="1.24"/>
    <n v="0.15"/>
    <n v="0"/>
    <n v="0"/>
    <n v="0.01"/>
    <n v="8.99"/>
    <n v="10.67"/>
    <n v="0.95"/>
    <n v="0"/>
    <n v="3.96"/>
    <n v="68.89"/>
    <n v="13.8"/>
    <n v="1.67"/>
    <n v="0"/>
    <n v="0"/>
    <n v="0.06"/>
    <n v="6"/>
    <x v="3"/>
  </r>
  <r>
    <x v="6"/>
    <x v="105"/>
    <x v="6"/>
    <x v="200"/>
    <n v="0"/>
    <n v="0"/>
    <n v="0"/>
    <n v="0"/>
    <n v="0"/>
    <n v="0"/>
    <n v="0"/>
    <m/>
    <m/>
    <m/>
    <m/>
    <m/>
    <m/>
    <m/>
    <m/>
    <m/>
    <m/>
    <m/>
    <m/>
    <m/>
    <m/>
    <m/>
    <m/>
    <m/>
    <m/>
    <m/>
    <m/>
    <m/>
    <m/>
    <m/>
    <m/>
    <m/>
    <m/>
    <m/>
    <m/>
    <n v="6"/>
    <x v="3"/>
  </r>
  <r>
    <x v="0"/>
    <x v="106"/>
    <x v="6"/>
    <x v="89"/>
    <n v="79"/>
    <n v="2"/>
    <n v="6"/>
    <n v="0"/>
    <n v="0"/>
    <n v="2"/>
    <n v="39"/>
    <s v="Anais Orozco"/>
    <s v="Collections Group"/>
    <d v="2025-08-28T00:00:00"/>
    <d v="1899-12-30T13:00:02"/>
    <d v="1899-12-30T22:09:36"/>
    <n v="9.15"/>
    <n v="8.2100000000000009"/>
    <n v="1.49"/>
    <n v="0.28999999999999998"/>
    <n v="0"/>
    <n v="0.21"/>
    <n v="5.85"/>
    <n v="0.34"/>
    <n v="0"/>
    <n v="0"/>
    <n v="0"/>
    <n v="0.03"/>
    <n v="8.2100000000000009"/>
    <n v="18.190000000000001"/>
    <n v="3.54"/>
    <n v="0"/>
    <n v="2.59"/>
    <n v="71.260000000000005"/>
    <n v="4.1100000000000003"/>
    <n v="0"/>
    <n v="0"/>
    <n v="0"/>
    <n v="0.31"/>
    <n v="5"/>
    <x v="4"/>
  </r>
  <r>
    <x v="1"/>
    <x v="106"/>
    <x v="6"/>
    <x v="73"/>
    <n v="44"/>
    <n v="3"/>
    <n v="1"/>
    <n v="5"/>
    <n v="1"/>
    <n v="0"/>
    <n v="23"/>
    <s v="Derice Warnsley"/>
    <s v="Collections Group"/>
    <d v="2025-08-28T00:00:00"/>
    <d v="1899-12-30T13:00:38"/>
    <d v="1899-12-30T22:00:06"/>
    <n v="9"/>
    <n v="8.99"/>
    <n v="0.85"/>
    <n v="0.05"/>
    <n v="0"/>
    <n v="0.02"/>
    <n v="5.63"/>
    <n v="1.24"/>
    <n v="1.2"/>
    <n v="0"/>
    <n v="0"/>
    <n v="0"/>
    <n v="8.99"/>
    <n v="9.49"/>
    <n v="0.56999999999999995"/>
    <n v="0"/>
    <n v="0.18"/>
    <n v="62.58"/>
    <n v="13.74"/>
    <n v="13.39"/>
    <n v="0"/>
    <n v="0"/>
    <n v="0.05"/>
    <n v="5"/>
    <x v="4"/>
  </r>
  <r>
    <x v="2"/>
    <x v="106"/>
    <x v="6"/>
    <x v="147"/>
    <n v="34"/>
    <n v="0"/>
    <n v="2"/>
    <n v="3"/>
    <n v="0"/>
    <n v="2"/>
    <n v="23"/>
    <s v="Isiah Thomas"/>
    <s v="Collections Group"/>
    <d v="2025-08-28T00:00:00"/>
    <d v="1899-12-30T13:01:09"/>
    <d v="1899-12-30T22:00:38"/>
    <n v="8.98"/>
    <n v="8.99"/>
    <n v="0.36"/>
    <n v="0"/>
    <n v="0"/>
    <n v="0.16"/>
    <n v="4.22"/>
    <n v="1.25"/>
    <n v="3"/>
    <n v="0"/>
    <n v="0"/>
    <n v="0"/>
    <n v="8.99"/>
    <n v="3.95"/>
    <n v="0"/>
    <n v="0"/>
    <n v="1.81"/>
    <n v="46.89"/>
    <n v="13.95"/>
    <n v="33.36"/>
    <n v="0"/>
    <n v="0"/>
    <n v="0.05"/>
    <n v="5"/>
    <x v="4"/>
  </r>
  <r>
    <x v="3"/>
    <x v="106"/>
    <x v="6"/>
    <x v="114"/>
    <n v="25"/>
    <n v="1"/>
    <n v="2"/>
    <n v="4"/>
    <n v="0"/>
    <n v="0"/>
    <n v="11"/>
    <s v="Jerrod Coleman"/>
    <s v="Collections Group"/>
    <d v="2025-08-28T00:00:00"/>
    <d v="1899-12-30T13:00:50"/>
    <d v="1899-12-30T17:56:54"/>
    <n v="4.93"/>
    <n v="4.93"/>
    <n v="0.43"/>
    <n v="0.31"/>
    <n v="0"/>
    <n v="0.15"/>
    <n v="3.07"/>
    <n v="0.98"/>
    <n v="0"/>
    <n v="0"/>
    <n v="0"/>
    <n v="0"/>
    <n v="4.93"/>
    <n v="8.6199999999999992"/>
    <n v="6.28"/>
    <n v="0"/>
    <n v="2.95"/>
    <n v="62.26"/>
    <n v="19.82"/>
    <n v="0"/>
    <n v="0"/>
    <n v="0"/>
    <n v="7.0000000000000007E-2"/>
    <n v="5"/>
    <x v="4"/>
  </r>
  <r>
    <x v="4"/>
    <x v="106"/>
    <x v="6"/>
    <x v="13"/>
    <n v="1"/>
    <n v="0"/>
    <n v="0"/>
    <n v="0"/>
    <n v="0"/>
    <n v="0"/>
    <n v="0"/>
    <s v="Rosette Rwabugahya"/>
    <s v="Collections Group"/>
    <d v="2025-08-28T00:00:00"/>
    <d v="1899-12-30T22:05:30"/>
    <d v="1899-12-30T22:08:20"/>
    <n v="0.05"/>
    <n v="0.05"/>
    <n v="0.02"/>
    <n v="0"/>
    <n v="0"/>
    <n v="0.02"/>
    <n v="0"/>
    <n v="0"/>
    <n v="0"/>
    <n v="0"/>
    <n v="0"/>
    <n v="0.01"/>
    <n v="0.05"/>
    <n v="45.29"/>
    <n v="0"/>
    <n v="0"/>
    <n v="31.76"/>
    <n v="0"/>
    <n v="0"/>
    <n v="0"/>
    <n v="0"/>
    <n v="0"/>
    <n v="22.94"/>
    <n v="5"/>
    <x v="4"/>
  </r>
  <r>
    <x v="5"/>
    <x v="106"/>
    <x v="6"/>
    <x v="74"/>
    <n v="45"/>
    <n v="4"/>
    <n v="2"/>
    <n v="3"/>
    <n v="0"/>
    <n v="0"/>
    <n v="18"/>
    <s v="Sabigh Masood"/>
    <s v="Collections Group"/>
    <d v="2025-08-28T00:00:00"/>
    <d v="1899-12-30T12:59:34"/>
    <d v="1899-12-30T23:02:44"/>
    <n v="10.050000000000001"/>
    <n v="9.9600000000000009"/>
    <n v="1.73"/>
    <n v="0.12"/>
    <n v="0"/>
    <n v="0.4"/>
    <n v="5.56"/>
    <n v="1.48"/>
    <n v="0"/>
    <n v="0"/>
    <n v="0.17"/>
    <n v="0.5"/>
    <n v="9.9600000000000009"/>
    <n v="17.350000000000001"/>
    <n v="1.1599999999999999"/>
    <n v="0"/>
    <n v="4.0599999999999996"/>
    <n v="55.85"/>
    <n v="14.87"/>
    <n v="0"/>
    <n v="0"/>
    <n v="1.69"/>
    <n v="5.01"/>
    <n v="5"/>
    <x v="4"/>
  </r>
  <r>
    <x v="6"/>
    <x v="106"/>
    <x v="6"/>
    <x v="201"/>
    <n v="0"/>
    <n v="0"/>
    <n v="0"/>
    <n v="0"/>
    <n v="0"/>
    <n v="0"/>
    <n v="0"/>
    <m/>
    <m/>
    <m/>
    <m/>
    <m/>
    <m/>
    <m/>
    <m/>
    <m/>
    <m/>
    <m/>
    <m/>
    <m/>
    <m/>
    <m/>
    <m/>
    <m/>
    <m/>
    <m/>
    <m/>
    <m/>
    <m/>
    <m/>
    <m/>
    <m/>
    <m/>
    <m/>
    <m/>
    <n v="5"/>
    <x v="4"/>
  </r>
  <r>
    <x v="0"/>
    <x v="107"/>
    <x v="6"/>
    <x v="56"/>
    <n v="84"/>
    <n v="1"/>
    <n v="2"/>
    <n v="1"/>
    <n v="0"/>
    <n v="1"/>
    <n v="41"/>
    <s v="Anais Orozco"/>
    <s v="Collections Group"/>
    <d v="2025-08-27T00:00:00"/>
    <d v="1899-12-30T12:59:22"/>
    <d v="1899-12-30T22:00:19"/>
    <n v="9.02"/>
    <n v="8.19"/>
    <n v="1.6"/>
    <n v="0.81"/>
    <n v="0"/>
    <n v="0.31"/>
    <n v="3.7"/>
    <n v="0.56999999999999995"/>
    <n v="1.17"/>
    <n v="0"/>
    <n v="0"/>
    <n v="0.04"/>
    <n v="8.19"/>
    <n v="19.52"/>
    <n v="9.8699999999999992"/>
    <n v="0"/>
    <n v="3.8"/>
    <n v="45.13"/>
    <n v="6.93"/>
    <n v="14.27"/>
    <n v="0"/>
    <n v="0"/>
    <n v="0.48"/>
    <n v="4"/>
    <x v="0"/>
  </r>
  <r>
    <x v="1"/>
    <x v="107"/>
    <x v="6"/>
    <x v="18"/>
    <n v="87"/>
    <n v="7"/>
    <n v="4"/>
    <n v="3"/>
    <n v="0"/>
    <n v="0"/>
    <n v="53"/>
    <s v="Derice Warnsley"/>
    <s v="Collections Group"/>
    <d v="2025-08-27T00:00:00"/>
    <d v="1899-12-30T13:00:20"/>
    <d v="1899-12-30T22:00:07"/>
    <n v="9"/>
    <n v="9"/>
    <n v="1.25"/>
    <n v="0.12"/>
    <n v="0"/>
    <n v="0.03"/>
    <n v="4.96"/>
    <n v="1.48"/>
    <n v="1.1599999999999999"/>
    <n v="0"/>
    <n v="0"/>
    <n v="0"/>
    <n v="9"/>
    <n v="13.87"/>
    <n v="1.34"/>
    <n v="0"/>
    <n v="0.28000000000000003"/>
    <n v="55.09"/>
    <n v="16.45"/>
    <n v="12.93"/>
    <n v="0"/>
    <n v="0"/>
    <n v="0.04"/>
    <n v="4"/>
    <x v="0"/>
  </r>
  <r>
    <x v="2"/>
    <x v="107"/>
    <x v="6"/>
    <x v="112"/>
    <n v="29"/>
    <n v="5"/>
    <n v="1"/>
    <n v="13"/>
    <n v="0"/>
    <n v="0"/>
    <n v="9"/>
    <s v="Isiah Thomas"/>
    <s v="Collections Group"/>
    <d v="2025-08-27T00:00:00"/>
    <d v="1899-12-30T13:01:38"/>
    <d v="1899-12-30T22:00:02"/>
    <n v="8.98"/>
    <n v="8.9700000000000006"/>
    <n v="1.26"/>
    <n v="0.33"/>
    <n v="0"/>
    <n v="0.37"/>
    <n v="3.74"/>
    <n v="1.46"/>
    <n v="1.8"/>
    <n v="0"/>
    <n v="0"/>
    <n v="0"/>
    <n v="8.9700000000000006"/>
    <n v="14.01"/>
    <n v="3.69"/>
    <n v="0"/>
    <n v="4.1500000000000004"/>
    <n v="41.72"/>
    <n v="16.32"/>
    <n v="20.07"/>
    <n v="0"/>
    <n v="0"/>
    <n v="0.04"/>
    <n v="4"/>
    <x v="0"/>
  </r>
  <r>
    <x v="3"/>
    <x v="107"/>
    <x v="6"/>
    <x v="110"/>
    <n v="61"/>
    <n v="6"/>
    <n v="2"/>
    <n v="2"/>
    <n v="0"/>
    <n v="0"/>
    <n v="40"/>
    <s v="Jerrod Coleman"/>
    <s v="Collections Group"/>
    <d v="2025-08-27T00:00:00"/>
    <d v="1899-12-30T13:00:15"/>
    <d v="1899-12-30T18:59:08"/>
    <n v="5.98"/>
    <n v="5.98"/>
    <n v="0.86"/>
    <n v="0"/>
    <n v="0"/>
    <n v="0.19"/>
    <n v="2.25"/>
    <n v="1.49"/>
    <n v="1.18"/>
    <n v="0"/>
    <n v="0"/>
    <n v="0"/>
    <n v="5.98"/>
    <n v="14.35"/>
    <n v="0"/>
    <n v="0"/>
    <n v="3.19"/>
    <n v="37.64"/>
    <n v="24.99"/>
    <n v="19.77"/>
    <n v="0"/>
    <n v="0"/>
    <n v="7.0000000000000007E-2"/>
    <n v="4"/>
    <x v="0"/>
  </r>
  <r>
    <x v="4"/>
    <x v="107"/>
    <x v="6"/>
    <x v="13"/>
    <n v="1"/>
    <n v="0"/>
    <n v="0"/>
    <n v="0"/>
    <n v="0"/>
    <n v="0"/>
    <n v="0"/>
    <s v="Rosette Rwabugahya"/>
    <s v="Collections Group"/>
    <d v="2025-08-27T00:00:00"/>
    <d v="1899-12-30T16:49:20"/>
    <d v="1899-12-30T16:54:03"/>
    <n v="0.08"/>
    <n v="0.08"/>
    <n v="7.0000000000000007E-2"/>
    <n v="0"/>
    <n v="0"/>
    <n v="0"/>
    <n v="0"/>
    <n v="0"/>
    <n v="0"/>
    <n v="0"/>
    <n v="0"/>
    <n v="0"/>
    <n v="0.08"/>
    <n v="95.05"/>
    <n v="0"/>
    <n v="0"/>
    <n v="0"/>
    <n v="0"/>
    <n v="0"/>
    <n v="0"/>
    <n v="0"/>
    <n v="0"/>
    <n v="4.95"/>
    <n v="4"/>
    <x v="0"/>
  </r>
  <r>
    <x v="5"/>
    <x v="107"/>
    <x v="6"/>
    <x v="74"/>
    <n v="51"/>
    <n v="5"/>
    <n v="0"/>
    <n v="5"/>
    <n v="1"/>
    <n v="0"/>
    <n v="18"/>
    <s v="Sabigh Masood"/>
    <s v="Collections Group"/>
    <d v="2025-08-27T00:00:00"/>
    <d v="1899-12-30T13:00:08"/>
    <d v="1899-12-30T22:18:52"/>
    <n v="9.3000000000000007"/>
    <n v="8.75"/>
    <n v="1.69"/>
    <n v="0.21"/>
    <n v="0"/>
    <n v="0.23"/>
    <n v="2.52"/>
    <n v="1.47"/>
    <n v="2.4900000000000002"/>
    <n v="0"/>
    <n v="0.13"/>
    <n v="0.01"/>
    <n v="8.75"/>
    <n v="19.28"/>
    <n v="2.4"/>
    <n v="0"/>
    <n v="2.66"/>
    <n v="28.75"/>
    <n v="16.77"/>
    <n v="28.49"/>
    <n v="0"/>
    <n v="1.52"/>
    <n v="0.13"/>
    <n v="4"/>
    <x v="0"/>
  </r>
  <r>
    <x v="6"/>
    <x v="107"/>
    <x v="6"/>
    <x v="202"/>
    <n v="0"/>
    <n v="0"/>
    <n v="0"/>
    <n v="0"/>
    <n v="0"/>
    <n v="0"/>
    <n v="0"/>
    <m/>
    <m/>
    <m/>
    <m/>
    <m/>
    <m/>
    <m/>
    <m/>
    <m/>
    <m/>
    <m/>
    <m/>
    <m/>
    <m/>
    <m/>
    <m/>
    <m/>
    <m/>
    <m/>
    <m/>
    <m/>
    <m/>
    <m/>
    <m/>
    <m/>
    <m/>
    <m/>
    <m/>
    <n v="4"/>
    <x v="0"/>
  </r>
  <r>
    <x v="0"/>
    <x v="108"/>
    <x v="6"/>
    <x v="52"/>
    <n v="96"/>
    <n v="6"/>
    <n v="0"/>
    <n v="2"/>
    <n v="0"/>
    <n v="4"/>
    <n v="68"/>
    <s v="Anais Orozco"/>
    <s v="Collections Group"/>
    <d v="2025-08-26T00:00:00"/>
    <d v="1899-12-30T13:00:28"/>
    <d v="1899-12-30T22:00:04"/>
    <n v="9"/>
    <n v="8.07"/>
    <n v="2.76"/>
    <n v="0.55000000000000004"/>
    <n v="0"/>
    <n v="0.39"/>
    <n v="3.8"/>
    <n v="0.56999999999999995"/>
    <n v="0"/>
    <n v="0"/>
    <n v="0"/>
    <n v="0.01"/>
    <n v="8.07"/>
    <n v="34.19"/>
    <n v="6.78"/>
    <n v="0"/>
    <n v="4.8099999999999996"/>
    <n v="47.06"/>
    <n v="7.05"/>
    <n v="0"/>
    <n v="0"/>
    <n v="0"/>
    <n v="0.11"/>
    <n v="3"/>
    <x v="1"/>
  </r>
  <r>
    <x v="1"/>
    <x v="108"/>
    <x v="6"/>
    <x v="18"/>
    <n v="63"/>
    <n v="4"/>
    <n v="1"/>
    <n v="10"/>
    <n v="0"/>
    <n v="2"/>
    <n v="25"/>
    <s v="Derice Warnsley"/>
    <s v="Collections Group"/>
    <d v="2025-08-26T00:00:00"/>
    <d v="1899-12-30T13:00:15"/>
    <d v="1899-12-30T22:00:05"/>
    <n v="9"/>
    <n v="8.9499999999999993"/>
    <n v="1.1399999999999999"/>
    <n v="0.2"/>
    <n v="0"/>
    <n v="0.03"/>
    <n v="6.15"/>
    <n v="1.43"/>
    <n v="0"/>
    <n v="0"/>
    <n v="0"/>
    <n v="0.01"/>
    <n v="8.9499999999999993"/>
    <n v="12.71"/>
    <n v="2.19"/>
    <n v="0"/>
    <n v="0.33"/>
    <n v="68.650000000000006"/>
    <n v="16.02"/>
    <n v="0"/>
    <n v="0"/>
    <n v="0"/>
    <n v="0.09"/>
    <n v="3"/>
    <x v="1"/>
  </r>
  <r>
    <x v="2"/>
    <x v="108"/>
    <x v="6"/>
    <x v="110"/>
    <n v="48"/>
    <n v="1"/>
    <n v="0"/>
    <n v="7"/>
    <n v="0"/>
    <n v="3"/>
    <n v="29"/>
    <s v="Isiah Thomas"/>
    <s v="Collections Group"/>
    <d v="2025-08-26T00:00:00"/>
    <d v="1899-12-30T13:03:26"/>
    <d v="1899-12-30T22:08:21"/>
    <n v="9.08"/>
    <n v="9.08"/>
    <n v="1.37"/>
    <n v="0.17"/>
    <n v="0"/>
    <n v="0.56999999999999995"/>
    <n v="5.51"/>
    <n v="1.21"/>
    <n v="0.25"/>
    <n v="0"/>
    <n v="0"/>
    <n v="0"/>
    <n v="9.08"/>
    <n v="15.12"/>
    <n v="1.84"/>
    <n v="0"/>
    <n v="6.23"/>
    <n v="60.66"/>
    <n v="13.36"/>
    <n v="2.75"/>
    <n v="0"/>
    <n v="0"/>
    <n v="0.04"/>
    <n v="3"/>
    <x v="1"/>
  </r>
  <r>
    <x v="3"/>
    <x v="108"/>
    <x v="6"/>
    <x v="69"/>
    <n v="65"/>
    <n v="5"/>
    <n v="8"/>
    <n v="1"/>
    <n v="0"/>
    <n v="2"/>
    <n v="35"/>
    <s v="Jerrod Coleman"/>
    <s v="Collections Group"/>
    <d v="2025-08-26T00:00:00"/>
    <d v="1899-12-30T13:00:09"/>
    <d v="1899-12-30T21:59:24"/>
    <n v="8.98"/>
    <n v="8.99"/>
    <n v="1.17"/>
    <n v="0.25"/>
    <n v="0"/>
    <n v="0.26"/>
    <n v="5.26"/>
    <n v="1.48"/>
    <n v="0.56000000000000005"/>
    <n v="0"/>
    <n v="0"/>
    <n v="0"/>
    <n v="8.99"/>
    <n v="13.07"/>
    <n v="2.77"/>
    <n v="0"/>
    <n v="2.89"/>
    <n v="58.52"/>
    <n v="16.489999999999998"/>
    <n v="6.21"/>
    <n v="0"/>
    <n v="0"/>
    <n v="0.04"/>
    <n v="3"/>
    <x v="1"/>
  </r>
  <r>
    <x v="13"/>
    <x v="108"/>
    <x v="6"/>
    <x v="13"/>
    <n v="1"/>
    <n v="1"/>
    <n v="0"/>
    <n v="0"/>
    <n v="0"/>
    <n v="0"/>
    <n v="0"/>
    <m/>
    <m/>
    <m/>
    <m/>
    <m/>
    <m/>
    <m/>
    <m/>
    <m/>
    <m/>
    <m/>
    <m/>
    <m/>
    <m/>
    <m/>
    <m/>
    <m/>
    <m/>
    <m/>
    <m/>
    <m/>
    <m/>
    <m/>
    <m/>
    <m/>
    <m/>
    <m/>
    <m/>
    <n v="3"/>
    <x v="1"/>
  </r>
  <r>
    <x v="5"/>
    <x v="108"/>
    <x v="6"/>
    <x v="109"/>
    <n v="41"/>
    <n v="6"/>
    <n v="1"/>
    <n v="3"/>
    <n v="0"/>
    <n v="0"/>
    <n v="14"/>
    <s v="Sabigh Masood"/>
    <s v="Collections Group"/>
    <d v="2025-08-26T00:00:00"/>
    <d v="1899-12-30T13:08:17"/>
    <d v="1899-12-30T22:13:39"/>
    <n v="9.08"/>
    <n v="9.09"/>
    <n v="1.63"/>
    <n v="0.13"/>
    <n v="0"/>
    <n v="0.38"/>
    <n v="4.8"/>
    <n v="1.48"/>
    <n v="0"/>
    <n v="0"/>
    <n v="0.66"/>
    <n v="0.01"/>
    <n v="9.09"/>
    <n v="17.96"/>
    <n v="1.42"/>
    <n v="0"/>
    <n v="4.1500000000000004"/>
    <n v="52.81"/>
    <n v="16.28"/>
    <n v="0"/>
    <n v="0"/>
    <n v="7.24"/>
    <n v="0.14000000000000001"/>
    <n v="3"/>
    <x v="1"/>
  </r>
  <r>
    <x v="6"/>
    <x v="108"/>
    <x v="6"/>
    <x v="203"/>
    <n v="0"/>
    <n v="0"/>
    <n v="0"/>
    <n v="0"/>
    <n v="0"/>
    <n v="0"/>
    <n v="0"/>
    <m/>
    <m/>
    <m/>
    <m/>
    <m/>
    <m/>
    <m/>
    <m/>
    <m/>
    <m/>
    <m/>
    <m/>
    <m/>
    <m/>
    <m/>
    <m/>
    <m/>
    <m/>
    <m/>
    <m/>
    <m/>
    <m/>
    <m/>
    <m/>
    <m/>
    <m/>
    <m/>
    <m/>
    <n v="3"/>
    <x v="1"/>
  </r>
  <r>
    <x v="0"/>
    <x v="109"/>
    <x v="6"/>
    <x v="99"/>
    <n v="99"/>
    <n v="5"/>
    <n v="1"/>
    <n v="7"/>
    <n v="0"/>
    <n v="2"/>
    <n v="61"/>
    <s v="Anais Orozco"/>
    <s v="Collections Group"/>
    <d v="2025-08-25T00:00:00"/>
    <d v="1899-12-30T13:00:31"/>
    <d v="1899-12-30T22:00:08"/>
    <n v="9"/>
    <n v="8.1300000000000008"/>
    <n v="3.07"/>
    <n v="1.02"/>
    <n v="0"/>
    <n v="0.38"/>
    <n v="3.22"/>
    <n v="0.4"/>
    <n v="0"/>
    <n v="0"/>
    <n v="0"/>
    <n v="0.04"/>
    <n v="8.1300000000000008"/>
    <n v="37.68"/>
    <n v="12.6"/>
    <n v="0"/>
    <n v="4.7"/>
    <n v="39.549999999999997"/>
    <n v="4.96"/>
    <n v="0"/>
    <n v="0"/>
    <n v="0"/>
    <n v="0.52"/>
    <n v="2"/>
    <x v="2"/>
  </r>
  <r>
    <x v="2"/>
    <x v="109"/>
    <x v="6"/>
    <x v="113"/>
    <n v="61"/>
    <n v="8"/>
    <n v="5"/>
    <n v="11"/>
    <n v="0"/>
    <n v="0"/>
    <n v="29"/>
    <s v="Isiah Thomas"/>
    <s v="Collections Group"/>
    <d v="2025-08-25T00:00:00"/>
    <d v="1899-12-30T13:01:21"/>
    <d v="1899-12-30T22:00:08"/>
    <n v="8.98"/>
    <n v="8.98"/>
    <n v="0.92"/>
    <n v="0.14000000000000001"/>
    <n v="0"/>
    <n v="0.43"/>
    <n v="5.47"/>
    <n v="1.53"/>
    <n v="0.49"/>
    <n v="0"/>
    <n v="0"/>
    <n v="0"/>
    <n v="8.98"/>
    <n v="10.24"/>
    <n v="1.53"/>
    <n v="0"/>
    <n v="4.8"/>
    <n v="60.88"/>
    <n v="17.04"/>
    <n v="5.46"/>
    <n v="0"/>
    <n v="0"/>
    <n v="0.04"/>
    <n v="2"/>
    <x v="2"/>
  </r>
  <r>
    <x v="3"/>
    <x v="109"/>
    <x v="6"/>
    <x v="21"/>
    <n v="79"/>
    <n v="7"/>
    <n v="6"/>
    <n v="12"/>
    <n v="0"/>
    <n v="0"/>
    <n v="38"/>
    <s v="Jerrod Coleman"/>
    <s v="Collections Group"/>
    <d v="2025-08-25T00:00:00"/>
    <d v="1899-12-30T13:00:11"/>
    <d v="1899-12-30T21:59:10"/>
    <n v="8.98"/>
    <n v="8.98"/>
    <n v="2.44"/>
    <n v="0.1"/>
    <n v="0"/>
    <n v="0.45"/>
    <n v="4.53"/>
    <n v="1.45"/>
    <n v="0"/>
    <n v="0"/>
    <n v="0"/>
    <n v="0"/>
    <n v="8.98"/>
    <n v="27.14"/>
    <n v="1.1499999999999999"/>
    <n v="0"/>
    <n v="5.07"/>
    <n v="50.47"/>
    <n v="16.14"/>
    <n v="0"/>
    <n v="0"/>
    <n v="0"/>
    <n v="0.04"/>
    <n v="2"/>
    <x v="2"/>
  </r>
  <r>
    <x v="5"/>
    <x v="109"/>
    <x v="6"/>
    <x v="51"/>
    <n v="105"/>
    <n v="12"/>
    <n v="5"/>
    <n v="6"/>
    <n v="2"/>
    <n v="0"/>
    <n v="40"/>
    <s v="Sabigh Masood"/>
    <s v="Collections Group"/>
    <d v="2025-08-25T00:00:00"/>
    <d v="1899-12-30T12:59:12"/>
    <d v="1899-12-30T22:02:13"/>
    <n v="9.0500000000000007"/>
    <n v="9.0500000000000007"/>
    <n v="2.72"/>
    <n v="0.32"/>
    <n v="0"/>
    <n v="0.62"/>
    <n v="3.96"/>
    <n v="1.44"/>
    <n v="0"/>
    <n v="0"/>
    <n v="0"/>
    <n v="0"/>
    <n v="9.0500000000000007"/>
    <n v="30.01"/>
    <n v="3.49"/>
    <n v="0"/>
    <n v="6.85"/>
    <n v="43.75"/>
    <n v="15.86"/>
    <n v="0"/>
    <n v="0"/>
    <n v="0"/>
    <n v="0.03"/>
    <n v="2"/>
    <x v="2"/>
  </r>
  <r>
    <x v="6"/>
    <x v="109"/>
    <x v="6"/>
    <x v="135"/>
    <n v="0"/>
    <n v="0"/>
    <n v="0"/>
    <n v="0"/>
    <n v="0"/>
    <n v="0"/>
    <n v="0"/>
    <m/>
    <m/>
    <m/>
    <m/>
    <m/>
    <m/>
    <m/>
    <m/>
    <m/>
    <m/>
    <m/>
    <m/>
    <m/>
    <m/>
    <m/>
    <m/>
    <m/>
    <m/>
    <m/>
    <m/>
    <m/>
    <m/>
    <m/>
    <m/>
    <m/>
    <m/>
    <m/>
    <m/>
    <n v="2"/>
    <x v="2"/>
  </r>
  <r>
    <x v="0"/>
    <x v="110"/>
    <x v="6"/>
    <x v="69"/>
    <n v="69"/>
    <n v="2"/>
    <n v="2"/>
    <n v="6"/>
    <n v="4"/>
    <n v="0"/>
    <n v="32"/>
    <s v="Anais Orozco"/>
    <s v="Collections Group"/>
    <d v="2025-08-22T00:00:00"/>
    <d v="1899-12-30T13:00:44"/>
    <d v="1899-12-30T22:00:05"/>
    <n v="9"/>
    <n v="8.11"/>
    <n v="2.39"/>
    <n v="0.42"/>
    <n v="0"/>
    <n v="0.22"/>
    <n v="4.63"/>
    <n v="0.44"/>
    <n v="0"/>
    <n v="0"/>
    <n v="0"/>
    <n v="0.01"/>
    <n v="8.11"/>
    <n v="29.42"/>
    <n v="5.22"/>
    <n v="0"/>
    <n v="2.77"/>
    <n v="57.07"/>
    <n v="5.4"/>
    <n v="0"/>
    <n v="0"/>
    <n v="0"/>
    <n v="0.11"/>
    <n v="6"/>
    <x v="3"/>
  </r>
  <r>
    <x v="2"/>
    <x v="110"/>
    <x v="6"/>
    <x v="121"/>
    <n v="25"/>
    <n v="2"/>
    <n v="5"/>
    <n v="3"/>
    <n v="0"/>
    <n v="0"/>
    <n v="9"/>
    <s v="Isiah Thomas"/>
    <s v="Collections Group"/>
    <d v="2025-08-22T00:00:00"/>
    <d v="1899-12-30T13:03:53"/>
    <d v="1899-12-30T22:02:20"/>
    <n v="8.98"/>
    <n v="7.74"/>
    <n v="0.59"/>
    <n v="0"/>
    <n v="0"/>
    <n v="0.26"/>
    <n v="3.58"/>
    <n v="1.25"/>
    <n v="2.04"/>
    <n v="0"/>
    <n v="0"/>
    <n v="0.01"/>
    <n v="7.74"/>
    <n v="7.63"/>
    <n v="0"/>
    <n v="0"/>
    <n v="3.43"/>
    <n v="46.3"/>
    <n v="16.21"/>
    <n v="26.34"/>
    <n v="0"/>
    <n v="0"/>
    <n v="0.1"/>
    <n v="6"/>
    <x v="3"/>
  </r>
  <r>
    <x v="3"/>
    <x v="110"/>
    <x v="6"/>
    <x v="104"/>
    <n v="46"/>
    <n v="5"/>
    <n v="7"/>
    <n v="7"/>
    <n v="1"/>
    <n v="0"/>
    <n v="20"/>
    <s v="Jerrod Coleman"/>
    <s v="Collections Group"/>
    <d v="2025-08-22T00:00:00"/>
    <d v="1899-12-30T13:00:11"/>
    <d v="1899-12-30T21:58:03"/>
    <n v="8.9700000000000006"/>
    <n v="8.9600000000000009"/>
    <n v="1.0900000000000001"/>
    <n v="0.21"/>
    <n v="0"/>
    <n v="0.31"/>
    <n v="5.89"/>
    <n v="1.47"/>
    <n v="0"/>
    <n v="0"/>
    <n v="0"/>
    <n v="0"/>
    <n v="8.9600000000000009"/>
    <n v="12.12"/>
    <n v="2.3199999999999998"/>
    <n v="0"/>
    <n v="3.47"/>
    <n v="65.680000000000007"/>
    <n v="16.36"/>
    <n v="0"/>
    <n v="0"/>
    <n v="0"/>
    <n v="0.04"/>
    <n v="6"/>
    <x v="3"/>
  </r>
  <r>
    <x v="5"/>
    <x v="110"/>
    <x v="6"/>
    <x v="104"/>
    <n v="47"/>
    <n v="2"/>
    <n v="1"/>
    <n v="2"/>
    <n v="0"/>
    <n v="0"/>
    <n v="19"/>
    <s v="Sabigh Masood"/>
    <s v="Collections Group"/>
    <d v="2025-08-22T00:00:00"/>
    <d v="1899-12-30T13:00:36"/>
    <d v="1899-12-30T22:02:10"/>
    <n v="9.0299999999999994"/>
    <n v="9.01"/>
    <n v="0.74"/>
    <n v="0.2"/>
    <n v="0"/>
    <n v="0.38"/>
    <n v="5.34"/>
    <n v="2.0099999999999998"/>
    <n v="0"/>
    <n v="0"/>
    <n v="0.21"/>
    <n v="0.13"/>
    <n v="9.01"/>
    <n v="8.1999999999999993"/>
    <n v="2.2000000000000002"/>
    <n v="0"/>
    <n v="4.24"/>
    <n v="59.28"/>
    <n v="22.32"/>
    <n v="0"/>
    <n v="0"/>
    <n v="2.34"/>
    <n v="1.42"/>
    <n v="6"/>
    <x v="3"/>
  </r>
  <r>
    <x v="6"/>
    <x v="110"/>
    <x v="6"/>
    <x v="201"/>
    <n v="0"/>
    <n v="0"/>
    <n v="0"/>
    <n v="0"/>
    <n v="0"/>
    <n v="0"/>
    <n v="0"/>
    <m/>
    <m/>
    <m/>
    <m/>
    <m/>
    <m/>
    <m/>
    <m/>
    <m/>
    <m/>
    <m/>
    <m/>
    <m/>
    <m/>
    <m/>
    <m/>
    <m/>
    <m/>
    <m/>
    <m/>
    <m/>
    <m/>
    <m/>
    <m/>
    <m/>
    <m/>
    <m/>
    <m/>
    <n v="6"/>
    <x v="3"/>
  </r>
  <r>
    <x v="0"/>
    <x v="111"/>
    <x v="6"/>
    <x v="56"/>
    <n v="85"/>
    <n v="3"/>
    <n v="10"/>
    <n v="0"/>
    <n v="0"/>
    <n v="0"/>
    <n v="34"/>
    <s v="Anais Orozco"/>
    <s v="Collections Group"/>
    <d v="2025-08-21T00:00:00"/>
    <d v="1899-12-30T13:00:57"/>
    <d v="1899-12-30T22:00:06"/>
    <n v="9"/>
    <n v="8.98"/>
    <n v="1.97"/>
    <n v="0.24"/>
    <n v="0"/>
    <n v="0.31"/>
    <n v="4.3600000000000003"/>
    <n v="1.19"/>
    <n v="0.91"/>
    <n v="0"/>
    <n v="0"/>
    <n v="0"/>
    <n v="8.98"/>
    <n v="21.97"/>
    <n v="2.67"/>
    <n v="0"/>
    <n v="3.43"/>
    <n v="48.52"/>
    <n v="13.22"/>
    <n v="10.14"/>
    <n v="0"/>
    <n v="0"/>
    <n v="0.05"/>
    <n v="5"/>
    <x v="4"/>
  </r>
  <r>
    <x v="2"/>
    <x v="111"/>
    <x v="6"/>
    <x v="114"/>
    <n v="45"/>
    <n v="7"/>
    <n v="3"/>
    <n v="1"/>
    <n v="0"/>
    <n v="1"/>
    <n v="29"/>
    <s v="Isiah Thomas"/>
    <s v="Collections Group"/>
    <d v="2025-08-21T00:00:00"/>
    <d v="1899-12-30T13:00:43"/>
    <d v="1899-12-30T22:01:54"/>
    <n v="9.02"/>
    <n v="9.02"/>
    <n v="0.46"/>
    <n v="0"/>
    <n v="0"/>
    <n v="0.13"/>
    <n v="3.29"/>
    <n v="1.25"/>
    <n v="3.88"/>
    <n v="0"/>
    <n v="0"/>
    <n v="0"/>
    <n v="9.02"/>
    <n v="5.12"/>
    <n v="0"/>
    <n v="0"/>
    <n v="1.45"/>
    <n v="36.43"/>
    <n v="13.89"/>
    <n v="43.06"/>
    <n v="0"/>
    <n v="0"/>
    <n v="0.04"/>
    <n v="5"/>
    <x v="4"/>
  </r>
  <r>
    <x v="3"/>
    <x v="111"/>
    <x v="6"/>
    <x v="110"/>
    <n v="48"/>
    <n v="8"/>
    <n v="6"/>
    <n v="3"/>
    <n v="2"/>
    <n v="0"/>
    <n v="19"/>
    <s v="Jerrod Coleman"/>
    <s v="Collections Group"/>
    <d v="2025-08-21T00:00:00"/>
    <d v="1899-12-30T13:00:11"/>
    <d v="1899-12-30T22:00:26"/>
    <n v="9"/>
    <n v="8.9600000000000009"/>
    <n v="1.45"/>
    <n v="0.19"/>
    <n v="0"/>
    <n v="0.16"/>
    <n v="4.8499999999999996"/>
    <n v="1.46"/>
    <n v="0.84"/>
    <n v="0"/>
    <n v="0"/>
    <n v="0.01"/>
    <n v="8.9600000000000009"/>
    <n v="16.21"/>
    <n v="2.1"/>
    <n v="0"/>
    <n v="1.81"/>
    <n v="54.09"/>
    <n v="16.29"/>
    <n v="9.35"/>
    <n v="0"/>
    <n v="0"/>
    <n v="0.15"/>
    <n v="5"/>
    <x v="4"/>
  </r>
  <r>
    <x v="5"/>
    <x v="111"/>
    <x v="6"/>
    <x v="75"/>
    <n v="59"/>
    <n v="5"/>
    <n v="6"/>
    <n v="0"/>
    <n v="2"/>
    <n v="1"/>
    <n v="20"/>
    <s v="Sabigh Masood"/>
    <s v="Collections Group"/>
    <d v="2025-08-21T00:00:00"/>
    <d v="1899-12-30T12:59:13"/>
    <d v="1899-12-30T22:00:45"/>
    <n v="9.02"/>
    <n v="8.99"/>
    <n v="1.78"/>
    <n v="0"/>
    <n v="0"/>
    <n v="0.72"/>
    <n v="4.0199999999999996"/>
    <n v="1.45"/>
    <n v="0.88"/>
    <n v="0"/>
    <n v="0.12"/>
    <n v="0.02"/>
    <n v="8.99"/>
    <n v="19.77"/>
    <n v="0.04"/>
    <n v="0"/>
    <n v="7.97"/>
    <n v="44.69"/>
    <n v="16.170000000000002"/>
    <n v="9.81"/>
    <n v="0"/>
    <n v="1.3"/>
    <n v="0.24"/>
    <n v="5"/>
    <x v="4"/>
  </r>
  <r>
    <x v="6"/>
    <x v="111"/>
    <x v="6"/>
    <x v="135"/>
    <n v="0"/>
    <n v="0"/>
    <n v="0"/>
    <n v="0"/>
    <n v="0"/>
    <n v="0"/>
    <n v="0"/>
    <m/>
    <m/>
    <m/>
    <m/>
    <m/>
    <m/>
    <m/>
    <m/>
    <m/>
    <m/>
    <m/>
    <m/>
    <m/>
    <m/>
    <m/>
    <m/>
    <m/>
    <m/>
    <m/>
    <m/>
    <m/>
    <m/>
    <m/>
    <m/>
    <m/>
    <m/>
    <m/>
    <m/>
    <n v="5"/>
    <x v="4"/>
  </r>
  <r>
    <x v="0"/>
    <x v="112"/>
    <x v="6"/>
    <x v="118"/>
    <n v="78"/>
    <n v="7"/>
    <n v="0"/>
    <n v="4"/>
    <n v="0"/>
    <n v="0"/>
    <n v="46"/>
    <s v="Anais Orozco"/>
    <s v="Collections Group"/>
    <d v="2025-08-20T00:00:00"/>
    <d v="1899-12-30T13:00:14"/>
    <d v="1899-12-30T22:00:11"/>
    <n v="9"/>
    <n v="9"/>
    <n v="1.0900000000000001"/>
    <n v="7.0000000000000007E-2"/>
    <n v="0"/>
    <n v="0.16"/>
    <n v="6.41"/>
    <n v="1.26"/>
    <n v="0"/>
    <n v="0"/>
    <n v="0"/>
    <n v="0.01"/>
    <n v="9"/>
    <n v="12.16"/>
    <n v="0.8"/>
    <n v="0"/>
    <n v="1.82"/>
    <n v="71.22"/>
    <n v="13.95"/>
    <n v="0"/>
    <n v="0"/>
    <n v="0"/>
    <n v="0.06"/>
    <n v="4"/>
    <x v="0"/>
  </r>
  <r>
    <x v="1"/>
    <x v="112"/>
    <x v="6"/>
    <x v="109"/>
    <n v="39"/>
    <n v="6"/>
    <n v="2"/>
    <n v="1"/>
    <n v="0"/>
    <n v="0"/>
    <n v="10"/>
    <s v="Derice Warnsley"/>
    <s v="Collections Group"/>
    <d v="2025-08-20T00:00:00"/>
    <d v="1899-12-30T13:00:23"/>
    <d v="1899-12-30T22:00:37"/>
    <n v="9"/>
    <n v="9"/>
    <n v="1.37"/>
    <n v="0.15"/>
    <n v="0"/>
    <n v="0.02"/>
    <n v="6.23"/>
    <n v="1.23"/>
    <n v="0"/>
    <n v="0"/>
    <n v="0"/>
    <n v="0"/>
    <n v="9"/>
    <n v="15.21"/>
    <n v="1.71"/>
    <n v="0"/>
    <n v="0.24"/>
    <n v="69.180000000000007"/>
    <n v="13.61"/>
    <n v="0"/>
    <n v="0"/>
    <n v="0"/>
    <n v="0.05"/>
    <n v="4"/>
    <x v="0"/>
  </r>
  <r>
    <x v="2"/>
    <x v="112"/>
    <x v="6"/>
    <x v="76"/>
    <n v="46"/>
    <n v="4"/>
    <n v="0"/>
    <n v="20"/>
    <n v="0"/>
    <n v="0"/>
    <n v="17"/>
    <s v="Isiah Thomas"/>
    <s v="Collections Group"/>
    <d v="2025-08-20T00:00:00"/>
    <d v="1899-12-30T13:02:02"/>
    <d v="1899-12-30T22:00:02"/>
    <n v="8.9700000000000006"/>
    <n v="8.9700000000000006"/>
    <n v="0.79"/>
    <n v="0"/>
    <n v="0"/>
    <n v="0.27"/>
    <n v="6.05"/>
    <n v="1.54"/>
    <n v="0.32"/>
    <n v="0"/>
    <n v="0"/>
    <n v="0"/>
    <n v="8.9700000000000006"/>
    <n v="8.85"/>
    <n v="0"/>
    <n v="0"/>
    <n v="2.97"/>
    <n v="67.430000000000007"/>
    <n v="17.18"/>
    <n v="3.53"/>
    <n v="0"/>
    <n v="0"/>
    <n v="0.04"/>
    <n v="4"/>
    <x v="0"/>
  </r>
  <r>
    <x v="3"/>
    <x v="112"/>
    <x v="6"/>
    <x v="110"/>
    <n v="42"/>
    <n v="4"/>
    <n v="0"/>
    <n v="12"/>
    <n v="0"/>
    <n v="0"/>
    <n v="7"/>
    <s v="Jerrod Coleman"/>
    <s v="Collections Group"/>
    <d v="2025-08-20T00:00:00"/>
    <d v="1899-12-30T13:00:07"/>
    <d v="1899-12-30T22:01:26"/>
    <n v="9.02"/>
    <n v="9.02"/>
    <n v="1.26"/>
    <n v="0.32"/>
    <n v="0"/>
    <n v="0.25"/>
    <n v="5.75"/>
    <n v="1.44"/>
    <n v="0"/>
    <n v="0"/>
    <n v="0"/>
    <n v="0"/>
    <n v="9.02"/>
    <n v="13.95"/>
    <n v="3.59"/>
    <n v="0"/>
    <n v="2.79"/>
    <n v="63.7"/>
    <n v="15.93"/>
    <n v="0"/>
    <n v="0"/>
    <n v="0"/>
    <n v="0.04"/>
    <n v="4"/>
    <x v="0"/>
  </r>
  <r>
    <x v="5"/>
    <x v="112"/>
    <x v="6"/>
    <x v="104"/>
    <n v="69"/>
    <n v="4"/>
    <n v="4"/>
    <n v="12"/>
    <n v="0"/>
    <n v="0"/>
    <n v="19"/>
    <s v="Sabigh Masood"/>
    <s v="Collections Group"/>
    <d v="2025-08-20T00:00:00"/>
    <d v="1899-12-30T12:59:10"/>
    <d v="1899-12-30T22:02:59"/>
    <n v="9.0500000000000007"/>
    <n v="9.06"/>
    <n v="1.19"/>
    <n v="0.24"/>
    <n v="0"/>
    <n v="0.24"/>
    <n v="5.9"/>
    <n v="1.5"/>
    <n v="0"/>
    <n v="0"/>
    <n v="0"/>
    <n v="0"/>
    <n v="9.06"/>
    <n v="13.08"/>
    <n v="2.68"/>
    <n v="0"/>
    <n v="2.61"/>
    <n v="65.08"/>
    <n v="16.5"/>
    <n v="0"/>
    <n v="0"/>
    <n v="0"/>
    <n v="0.05"/>
    <n v="4"/>
    <x v="0"/>
  </r>
  <r>
    <x v="6"/>
    <x v="112"/>
    <x v="6"/>
    <x v="146"/>
    <n v="0"/>
    <n v="0"/>
    <n v="0"/>
    <n v="0"/>
    <n v="0"/>
    <n v="0"/>
    <n v="0"/>
    <m/>
    <m/>
    <m/>
    <m/>
    <m/>
    <m/>
    <m/>
    <m/>
    <m/>
    <m/>
    <m/>
    <m/>
    <m/>
    <m/>
    <m/>
    <m/>
    <m/>
    <m/>
    <m/>
    <m/>
    <m/>
    <m/>
    <m/>
    <m/>
    <m/>
    <m/>
    <m/>
    <m/>
    <n v="4"/>
    <x v="0"/>
  </r>
  <r>
    <x v="0"/>
    <x v="113"/>
    <x v="6"/>
    <x v="56"/>
    <n v="70"/>
    <n v="3"/>
    <n v="2"/>
    <n v="4"/>
    <n v="0"/>
    <n v="1"/>
    <n v="35"/>
    <s v="Anais Orozco"/>
    <s v="Collections Group"/>
    <d v="2025-08-19T00:00:00"/>
    <d v="1899-12-30T13:02:22"/>
    <d v="1899-12-30T22:00:06"/>
    <n v="8.9700000000000006"/>
    <n v="8.02"/>
    <n v="2.2000000000000002"/>
    <n v="0.15"/>
    <n v="0"/>
    <n v="0.25"/>
    <n v="5.34"/>
    <n v="7.0000000000000007E-2"/>
    <n v="0"/>
    <n v="0"/>
    <n v="0"/>
    <n v="0.02"/>
    <n v="8.02"/>
    <n v="27.41"/>
    <n v="1.85"/>
    <n v="0"/>
    <n v="3.13"/>
    <n v="66.58"/>
    <n v="0.82"/>
    <n v="0"/>
    <n v="0"/>
    <n v="0"/>
    <n v="0.21"/>
    <n v="3"/>
    <x v="1"/>
  </r>
  <r>
    <x v="1"/>
    <x v="113"/>
    <x v="6"/>
    <x v="64"/>
    <n v="61"/>
    <n v="3"/>
    <n v="6"/>
    <n v="14"/>
    <n v="0"/>
    <n v="0"/>
    <n v="19"/>
    <s v="Derice Warnsley"/>
    <s v="Collections Group"/>
    <d v="2025-08-19T00:00:00"/>
    <d v="1899-12-30T13:00:25"/>
    <d v="1899-12-30T22:04:06"/>
    <n v="9.07"/>
    <n v="9.06"/>
    <n v="2.2000000000000002"/>
    <n v="0.12"/>
    <n v="0"/>
    <n v="0.05"/>
    <n v="5.19"/>
    <n v="1.49"/>
    <n v="0"/>
    <n v="0"/>
    <n v="0"/>
    <n v="0.01"/>
    <n v="9.06"/>
    <n v="24.3"/>
    <n v="1.28"/>
    <n v="0"/>
    <n v="0.55000000000000004"/>
    <n v="57.31"/>
    <n v="16.48"/>
    <n v="0"/>
    <n v="0"/>
    <n v="0"/>
    <n v="7.0000000000000007E-2"/>
    <n v="3"/>
    <x v="1"/>
  </r>
  <r>
    <x v="2"/>
    <x v="113"/>
    <x v="6"/>
    <x v="73"/>
    <n v="37"/>
    <n v="4"/>
    <n v="4"/>
    <n v="6"/>
    <n v="0"/>
    <n v="0"/>
    <n v="18"/>
    <s v="Isiah Thomas"/>
    <s v="Collections Group"/>
    <d v="2025-08-19T00:00:00"/>
    <d v="1899-12-30T13:00:19"/>
    <d v="1899-12-30T22:35:29"/>
    <n v="9.58"/>
    <n v="9.59"/>
    <n v="2.67"/>
    <n v="0.19"/>
    <n v="0"/>
    <n v="0.38"/>
    <n v="4.6399999999999997"/>
    <n v="1.42"/>
    <n v="0.28999999999999998"/>
    <n v="0"/>
    <n v="0"/>
    <n v="0"/>
    <n v="9.59"/>
    <n v="27.83"/>
    <n v="1.94"/>
    <n v="0"/>
    <n v="3.94"/>
    <n v="48.4"/>
    <n v="14.82"/>
    <n v="3.02"/>
    <n v="0"/>
    <n v="0"/>
    <n v="0.04"/>
    <n v="3"/>
    <x v="1"/>
  </r>
  <r>
    <x v="3"/>
    <x v="113"/>
    <x v="6"/>
    <x v="118"/>
    <n v="54"/>
    <n v="5"/>
    <n v="8"/>
    <n v="1"/>
    <n v="0"/>
    <n v="0"/>
    <n v="22"/>
    <s v="Jerrod Coleman"/>
    <s v="Collections Group"/>
    <d v="2025-08-19T00:00:00"/>
    <d v="1899-12-30T13:00:10"/>
    <d v="1899-12-30T21:59:27"/>
    <n v="8.98"/>
    <n v="8.35"/>
    <n v="1.27"/>
    <n v="0.56000000000000005"/>
    <n v="0"/>
    <n v="0.15"/>
    <n v="5.54"/>
    <n v="0.82"/>
    <n v="0"/>
    <n v="0"/>
    <n v="0"/>
    <n v="0.01"/>
    <n v="8.35"/>
    <n v="15.22"/>
    <n v="6.75"/>
    <n v="0"/>
    <n v="1.8"/>
    <n v="66.28"/>
    <n v="9.85"/>
    <n v="0"/>
    <n v="0"/>
    <n v="0"/>
    <n v="0.11"/>
    <n v="3"/>
    <x v="1"/>
  </r>
  <r>
    <x v="4"/>
    <x v="113"/>
    <x v="6"/>
    <x v="13"/>
    <n v="1"/>
    <n v="0"/>
    <n v="0"/>
    <n v="0"/>
    <n v="0"/>
    <n v="0"/>
    <n v="0"/>
    <s v="Rosette Rwabugahya"/>
    <s v="Collections Group"/>
    <d v="2025-08-19T00:00:00"/>
    <d v="1899-12-30T15:32:06"/>
    <m/>
    <m/>
    <n v="8.4600000000000009"/>
    <n v="8.4600000000000009"/>
    <n v="0"/>
    <n v="0"/>
    <n v="0"/>
    <n v="0"/>
    <n v="0"/>
    <n v="0"/>
    <n v="0"/>
    <n v="0"/>
    <n v="0"/>
    <n v="8.4600000000000009"/>
    <n v="99.93"/>
    <n v="0"/>
    <n v="0"/>
    <n v="0.02"/>
    <n v="0"/>
    <n v="0"/>
    <n v="0"/>
    <n v="0"/>
    <n v="0"/>
    <n v="0.05"/>
    <n v="3"/>
    <x v="1"/>
  </r>
  <r>
    <x v="5"/>
    <x v="113"/>
    <x v="6"/>
    <x v="110"/>
    <n v="60"/>
    <n v="3"/>
    <n v="7"/>
    <n v="7"/>
    <n v="0"/>
    <n v="0"/>
    <n v="17"/>
    <s v="Sabigh Masood"/>
    <s v="Collections Group"/>
    <d v="2025-08-19T00:00:00"/>
    <d v="1899-12-30T13:01:18"/>
    <d v="1899-12-30T22:00:34"/>
    <n v="8.98"/>
    <n v="8.99"/>
    <n v="1.78"/>
    <n v="0.2"/>
    <n v="0"/>
    <n v="0.43"/>
    <n v="5.08"/>
    <n v="1.48"/>
    <n v="0"/>
    <n v="0"/>
    <n v="0"/>
    <n v="0"/>
    <n v="8.99"/>
    <n v="19.809999999999999"/>
    <n v="2.2799999999999998"/>
    <n v="0"/>
    <n v="4.84"/>
    <n v="56.54"/>
    <n v="16.489999999999998"/>
    <n v="0"/>
    <n v="0"/>
    <n v="0"/>
    <n v="0.05"/>
    <n v="3"/>
    <x v="1"/>
  </r>
  <r>
    <x v="6"/>
    <x v="113"/>
    <x v="6"/>
    <x v="204"/>
    <n v="0"/>
    <n v="0"/>
    <n v="0"/>
    <n v="0"/>
    <n v="0"/>
    <n v="0"/>
    <n v="0"/>
    <m/>
    <m/>
    <m/>
    <m/>
    <m/>
    <m/>
    <m/>
    <m/>
    <m/>
    <m/>
    <m/>
    <m/>
    <m/>
    <m/>
    <m/>
    <m/>
    <m/>
    <m/>
    <m/>
    <m/>
    <m/>
    <m/>
    <m/>
    <m/>
    <m/>
    <m/>
    <m/>
    <m/>
    <n v="3"/>
    <x v="1"/>
  </r>
  <r>
    <x v="0"/>
    <x v="114"/>
    <x v="6"/>
    <x v="178"/>
    <n v="34"/>
    <n v="1"/>
    <n v="1"/>
    <n v="3"/>
    <n v="0"/>
    <n v="0"/>
    <n v="18"/>
    <s v="Anais Orozco"/>
    <s v="Collections Group"/>
    <d v="2025-08-18T00:00:00"/>
    <d v="1899-12-30T13:00:15"/>
    <d v="1899-12-30T22:00:20"/>
    <n v="9"/>
    <n v="8.09"/>
    <n v="1.97"/>
    <n v="0.22"/>
    <n v="0"/>
    <n v="0.16"/>
    <n v="4"/>
    <n v="0.59"/>
    <n v="1.1499999999999999"/>
    <n v="0"/>
    <n v="0"/>
    <n v="0.01"/>
    <n v="8.09"/>
    <n v="24.3"/>
    <n v="2.74"/>
    <n v="0"/>
    <n v="1.96"/>
    <n v="49.39"/>
    <n v="7.29"/>
    <n v="14.17"/>
    <n v="0"/>
    <n v="0"/>
    <n v="0.16"/>
    <n v="2"/>
    <x v="2"/>
  </r>
  <r>
    <x v="1"/>
    <x v="114"/>
    <x v="6"/>
    <x v="109"/>
    <n v="39"/>
    <n v="2"/>
    <n v="1"/>
    <n v="5"/>
    <n v="0"/>
    <n v="0"/>
    <n v="13"/>
    <s v="Derice Warnsley"/>
    <s v="Collections Group"/>
    <d v="2025-08-18T00:00:00"/>
    <d v="1899-12-30T13:00:13"/>
    <d v="1899-12-30T22:00:03"/>
    <n v="9"/>
    <n v="9"/>
    <n v="0.95"/>
    <n v="0.12"/>
    <n v="0"/>
    <n v="0.06"/>
    <n v="6.39"/>
    <n v="1.47"/>
    <n v="0"/>
    <n v="0"/>
    <n v="0"/>
    <n v="0"/>
    <n v="9"/>
    <n v="10.58"/>
    <n v="1.34"/>
    <n v="0"/>
    <n v="0.68"/>
    <n v="70.989999999999995"/>
    <n v="16.36"/>
    <n v="0"/>
    <n v="0"/>
    <n v="0"/>
    <n v="0.05"/>
    <n v="2"/>
    <x v="2"/>
  </r>
  <r>
    <x v="2"/>
    <x v="114"/>
    <x v="6"/>
    <x v="73"/>
    <n v="37"/>
    <n v="7"/>
    <n v="0"/>
    <n v="5"/>
    <n v="0"/>
    <n v="0"/>
    <n v="13"/>
    <s v="Isiah Thomas"/>
    <s v="Collections Group"/>
    <d v="2025-08-18T00:00:00"/>
    <d v="1899-12-30T13:01:09"/>
    <d v="1899-12-30T22:15:16"/>
    <n v="9.23"/>
    <n v="9.24"/>
    <n v="1.42"/>
    <n v="0.43"/>
    <n v="0"/>
    <n v="0.21"/>
    <n v="5.04"/>
    <n v="1.27"/>
    <n v="0.87"/>
    <n v="0"/>
    <n v="0"/>
    <n v="0"/>
    <n v="9.24"/>
    <n v="15.34"/>
    <n v="4.6500000000000004"/>
    <n v="0"/>
    <n v="2.23"/>
    <n v="54.57"/>
    <n v="13.73"/>
    <n v="9.42"/>
    <n v="0"/>
    <n v="0"/>
    <n v="0.05"/>
    <n v="2"/>
    <x v="2"/>
  </r>
  <r>
    <x v="3"/>
    <x v="114"/>
    <x v="6"/>
    <x v="178"/>
    <n v="48"/>
    <n v="3"/>
    <n v="10"/>
    <n v="15"/>
    <n v="0"/>
    <n v="0"/>
    <n v="16"/>
    <s v="Jerrod Coleman"/>
    <s v="Collections Group"/>
    <d v="2025-08-18T00:00:00"/>
    <d v="1899-12-30T13:00:10"/>
    <d v="1899-12-30T21:59:55"/>
    <n v="8.98"/>
    <n v="9"/>
    <n v="0.93"/>
    <n v="0.31"/>
    <n v="0"/>
    <n v="0.18"/>
    <n v="5.55"/>
    <n v="1.48"/>
    <n v="0.56000000000000005"/>
    <n v="0"/>
    <n v="0"/>
    <n v="0"/>
    <n v="9"/>
    <n v="10.29"/>
    <n v="3.41"/>
    <n v="0"/>
    <n v="2"/>
    <n v="61.66"/>
    <n v="16.41"/>
    <n v="6.18"/>
    <n v="0"/>
    <n v="0"/>
    <n v="0.04"/>
    <n v="2"/>
    <x v="2"/>
  </r>
  <r>
    <x v="4"/>
    <x v="114"/>
    <x v="6"/>
    <x v="13"/>
    <n v="2"/>
    <n v="0"/>
    <n v="0"/>
    <n v="0"/>
    <n v="0"/>
    <n v="0"/>
    <n v="0"/>
    <s v="Rosette Rwabugahya"/>
    <s v="Collections Group"/>
    <d v="2025-08-18T00:00:00"/>
    <d v="1899-12-30T17:12:05"/>
    <d v="1899-12-30T21:25:53"/>
    <n v="4.22"/>
    <n v="0.06"/>
    <n v="0.04"/>
    <n v="0"/>
    <n v="0"/>
    <n v="0.01"/>
    <n v="0"/>
    <n v="0"/>
    <n v="0"/>
    <n v="0"/>
    <n v="0"/>
    <n v="0.01"/>
    <n v="0.06"/>
    <n v="67.63"/>
    <n v="0"/>
    <n v="0"/>
    <n v="19.809999999999999"/>
    <n v="0"/>
    <n v="0"/>
    <n v="0"/>
    <n v="0"/>
    <n v="0"/>
    <n v="12.56"/>
    <n v="2"/>
    <x v="2"/>
  </r>
  <r>
    <x v="5"/>
    <x v="114"/>
    <x v="6"/>
    <x v="76"/>
    <n v="37"/>
    <n v="2"/>
    <n v="0"/>
    <n v="5"/>
    <n v="0"/>
    <n v="0"/>
    <n v="19"/>
    <s v="Sabigh Masood"/>
    <s v="Collections Group"/>
    <d v="2025-08-18T00:00:00"/>
    <d v="1899-12-30T13:14:12"/>
    <d v="1899-12-30T22:15:18"/>
    <n v="9.02"/>
    <n v="9.02"/>
    <n v="1.08"/>
    <n v="0.22"/>
    <n v="0"/>
    <n v="0.3"/>
    <n v="5.36"/>
    <n v="1.48"/>
    <n v="0.57999999999999996"/>
    <n v="0"/>
    <n v="0"/>
    <n v="0"/>
    <n v="9.02"/>
    <n v="11.94"/>
    <n v="2.4"/>
    <n v="0"/>
    <n v="3.29"/>
    <n v="59.46"/>
    <n v="16.43"/>
    <n v="6.44"/>
    <n v="0"/>
    <n v="0"/>
    <n v="0.04"/>
    <n v="2"/>
    <x v="2"/>
  </r>
  <r>
    <x v="6"/>
    <x v="114"/>
    <x v="6"/>
    <x v="205"/>
    <n v="0"/>
    <n v="0"/>
    <n v="0"/>
    <n v="0"/>
    <n v="0"/>
    <n v="0"/>
    <n v="0"/>
    <m/>
    <m/>
    <m/>
    <m/>
    <m/>
    <m/>
    <m/>
    <m/>
    <m/>
    <m/>
    <m/>
    <m/>
    <m/>
    <m/>
    <m/>
    <m/>
    <m/>
    <m/>
    <m/>
    <m/>
    <m/>
    <m/>
    <m/>
    <m/>
    <m/>
    <m/>
    <m/>
    <m/>
    <n v="2"/>
    <x v="2"/>
  </r>
  <r>
    <x v="0"/>
    <x v="115"/>
    <x v="6"/>
    <x v="104"/>
    <n v="42"/>
    <n v="3"/>
    <n v="3"/>
    <n v="5"/>
    <n v="0"/>
    <n v="0"/>
    <n v="15"/>
    <s v="Anais Orozco"/>
    <s v="Collections Group"/>
    <d v="2025-08-15T00:00:00"/>
    <d v="1899-12-30T13:02:00"/>
    <d v="1899-12-30T22:01:07"/>
    <n v="8.98"/>
    <n v="8.07"/>
    <n v="2.34"/>
    <n v="0.38"/>
    <n v="0"/>
    <n v="0.23"/>
    <n v="4.7"/>
    <n v="0.31"/>
    <n v="0"/>
    <n v="0"/>
    <n v="0"/>
    <n v="0.1"/>
    <n v="8.07"/>
    <n v="29.01"/>
    <n v="4.74"/>
    <n v="0"/>
    <n v="2.86"/>
    <n v="58.28"/>
    <n v="3.89"/>
    <n v="0"/>
    <n v="0"/>
    <n v="0"/>
    <n v="1.22"/>
    <n v="6"/>
    <x v="3"/>
  </r>
  <r>
    <x v="1"/>
    <x v="115"/>
    <x v="6"/>
    <x v="108"/>
    <n v="62"/>
    <n v="14"/>
    <n v="10"/>
    <n v="7"/>
    <n v="3"/>
    <n v="0"/>
    <n v="16"/>
    <s v="Derice Warnsley"/>
    <s v="Collections Group"/>
    <d v="2025-08-15T00:00:00"/>
    <d v="1899-12-30T12:59:44"/>
    <d v="1899-12-30T22:00:28"/>
    <n v="9.02"/>
    <n v="9.01"/>
    <n v="1.69"/>
    <n v="0.11"/>
    <n v="0"/>
    <n v="0.03"/>
    <n v="5.72"/>
    <n v="1.47"/>
    <n v="0"/>
    <n v="0"/>
    <n v="0"/>
    <n v="0"/>
    <n v="9.01"/>
    <n v="18.72"/>
    <n v="1.17"/>
    <n v="0"/>
    <n v="0.31"/>
    <n v="63.48"/>
    <n v="16.27"/>
    <n v="0"/>
    <n v="0"/>
    <n v="0"/>
    <n v="0.05"/>
    <n v="6"/>
    <x v="3"/>
  </r>
  <r>
    <x v="2"/>
    <x v="115"/>
    <x v="6"/>
    <x v="76"/>
    <n v="37"/>
    <n v="2"/>
    <n v="1"/>
    <n v="11"/>
    <n v="0"/>
    <n v="0"/>
    <n v="13"/>
    <s v="Isiah Thomas"/>
    <s v="Collections Group"/>
    <d v="2025-08-15T00:00:00"/>
    <d v="1899-12-30T13:00:46"/>
    <d v="1899-12-30T22:00:15"/>
    <n v="9"/>
    <n v="8.99"/>
    <n v="0.64"/>
    <n v="0"/>
    <n v="0"/>
    <n v="0.09"/>
    <n v="5.83"/>
    <n v="1.53"/>
    <n v="0.89"/>
    <n v="0"/>
    <n v="0"/>
    <n v="0"/>
    <n v="8.99"/>
    <n v="7.12"/>
    <n v="0"/>
    <n v="0"/>
    <n v="1.06"/>
    <n v="64.89"/>
    <n v="17"/>
    <n v="9.89"/>
    <n v="0"/>
    <n v="0"/>
    <n v="0.04"/>
    <n v="6"/>
    <x v="3"/>
  </r>
  <r>
    <x v="3"/>
    <x v="115"/>
    <x v="6"/>
    <x v="178"/>
    <n v="32"/>
    <n v="2"/>
    <n v="6"/>
    <n v="3"/>
    <n v="0"/>
    <n v="0"/>
    <n v="16"/>
    <s v="Jerrod Coleman"/>
    <s v="Collections Group"/>
    <d v="2025-08-15T00:00:00"/>
    <d v="1899-12-30T13:00:17"/>
    <d v="1899-12-30T21:59:10"/>
    <n v="8.98"/>
    <n v="8.98"/>
    <n v="0.56000000000000005"/>
    <n v="0.51"/>
    <n v="0"/>
    <n v="0.19"/>
    <n v="6.28"/>
    <n v="1.43"/>
    <n v="0"/>
    <n v="0"/>
    <n v="0"/>
    <n v="0"/>
    <n v="8.98"/>
    <n v="6.28"/>
    <n v="5.7"/>
    <n v="0"/>
    <n v="2.09"/>
    <n v="69.959999999999994"/>
    <n v="15.92"/>
    <n v="0"/>
    <n v="0"/>
    <n v="0"/>
    <n v="0.05"/>
    <n v="6"/>
    <x v="3"/>
  </r>
  <r>
    <x v="5"/>
    <x v="115"/>
    <x v="6"/>
    <x v="24"/>
    <n v="48"/>
    <n v="9"/>
    <n v="2"/>
    <n v="0"/>
    <n v="0"/>
    <n v="0"/>
    <n v="19"/>
    <s v="Sabigh Masood"/>
    <s v="Collections Group"/>
    <d v="2025-08-15T00:00:00"/>
    <d v="1899-12-30T13:00:16"/>
    <d v="1899-12-30T22:01:08"/>
    <n v="9.02"/>
    <n v="9.01"/>
    <n v="0.77"/>
    <n v="0.34"/>
    <n v="0"/>
    <n v="0.22"/>
    <n v="5.75"/>
    <n v="1.93"/>
    <n v="0"/>
    <n v="0"/>
    <n v="0"/>
    <n v="0"/>
    <n v="9.01"/>
    <n v="8.5399999999999991"/>
    <n v="3.74"/>
    <n v="0"/>
    <n v="2.46"/>
    <n v="63.82"/>
    <n v="21.4"/>
    <n v="0"/>
    <n v="0"/>
    <n v="0"/>
    <n v="0.04"/>
    <n v="6"/>
    <x v="3"/>
  </r>
  <r>
    <x v="6"/>
    <x v="115"/>
    <x v="6"/>
    <x v="206"/>
    <n v="0"/>
    <n v="0"/>
    <n v="0"/>
    <n v="0"/>
    <n v="0"/>
    <n v="0"/>
    <n v="0"/>
    <m/>
    <m/>
    <m/>
    <m/>
    <m/>
    <m/>
    <m/>
    <m/>
    <m/>
    <m/>
    <m/>
    <m/>
    <m/>
    <m/>
    <m/>
    <m/>
    <m/>
    <m/>
    <m/>
    <m/>
    <m/>
    <m/>
    <m/>
    <m/>
    <m/>
    <m/>
    <m/>
    <m/>
    <n v="6"/>
    <x v="3"/>
  </r>
  <r>
    <x v="0"/>
    <x v="116"/>
    <x v="6"/>
    <x v="113"/>
    <n v="40"/>
    <n v="1"/>
    <n v="2"/>
    <n v="1"/>
    <n v="0"/>
    <n v="5"/>
    <n v="18"/>
    <s v="Anais Orozco"/>
    <s v="Collections Group"/>
    <d v="2025-08-14T00:00:00"/>
    <d v="1899-12-30T13:00:13"/>
    <d v="1899-12-30T22:00:25"/>
    <n v="9"/>
    <n v="8.17"/>
    <n v="1.33"/>
    <n v="0.26"/>
    <n v="0"/>
    <n v="0.19"/>
    <n v="4.72"/>
    <n v="0.47"/>
    <n v="1.17"/>
    <n v="0"/>
    <n v="0"/>
    <n v="0.03"/>
    <n v="8.17"/>
    <n v="16.3"/>
    <n v="3.17"/>
    <n v="0"/>
    <n v="2.31"/>
    <n v="57.74"/>
    <n v="5.76"/>
    <n v="14.32"/>
    <n v="0"/>
    <n v="0"/>
    <n v="0.41"/>
    <n v="5"/>
    <x v="4"/>
  </r>
  <r>
    <x v="1"/>
    <x v="116"/>
    <x v="6"/>
    <x v="76"/>
    <n v="35"/>
    <n v="1"/>
    <n v="1"/>
    <n v="4"/>
    <n v="0"/>
    <n v="0"/>
    <n v="23"/>
    <s v="Derice Warnsley"/>
    <s v="Collections Group"/>
    <d v="2025-08-14T00:00:00"/>
    <d v="1899-12-30T13:00:49"/>
    <d v="1899-12-30T22:00:23"/>
    <n v="9"/>
    <n v="8.99"/>
    <n v="1.22"/>
    <n v="0.11"/>
    <n v="0"/>
    <n v="0.03"/>
    <n v="5.01"/>
    <n v="1.46"/>
    <n v="1.17"/>
    <n v="0"/>
    <n v="0"/>
    <n v="0"/>
    <n v="8.99"/>
    <n v="13.6"/>
    <n v="1.18"/>
    <n v="0"/>
    <n v="0.28000000000000003"/>
    <n v="55.67"/>
    <n v="16.22"/>
    <n v="13"/>
    <n v="0"/>
    <n v="0"/>
    <n v="0.04"/>
    <n v="5"/>
    <x v="4"/>
  </r>
  <r>
    <x v="2"/>
    <x v="116"/>
    <x v="6"/>
    <x v="121"/>
    <n v="26"/>
    <n v="2"/>
    <n v="3"/>
    <n v="6"/>
    <n v="0"/>
    <n v="3"/>
    <n v="10"/>
    <s v="Isiah Thomas"/>
    <s v="Collections Group"/>
    <d v="2025-08-14T00:00:00"/>
    <d v="1899-12-30T12:58:45"/>
    <d v="1899-12-30T22:10:02"/>
    <n v="9.1999999999999993"/>
    <n v="9.19"/>
    <n v="0.98"/>
    <n v="0"/>
    <n v="0"/>
    <n v="0.23"/>
    <n v="5.07"/>
    <n v="1.51"/>
    <n v="1.38"/>
    <n v="0"/>
    <n v="0"/>
    <n v="0.02"/>
    <n v="9.19"/>
    <n v="10.69"/>
    <n v="0"/>
    <n v="0"/>
    <n v="2.4500000000000002"/>
    <n v="55.21"/>
    <n v="16.43"/>
    <n v="14.97"/>
    <n v="0"/>
    <n v="0"/>
    <n v="0.24"/>
    <n v="5"/>
    <x v="4"/>
  </r>
  <r>
    <x v="3"/>
    <x v="116"/>
    <x v="6"/>
    <x v="154"/>
    <n v="19"/>
    <n v="0"/>
    <n v="1"/>
    <n v="4"/>
    <n v="0"/>
    <n v="1"/>
    <n v="6"/>
    <s v="Jerrod Coleman"/>
    <s v="Collections Group"/>
    <d v="2025-08-14T00:00:00"/>
    <d v="1899-12-30T13:01:13"/>
    <d v="1899-12-30T19:59:18"/>
    <n v="6.97"/>
    <n v="6.97"/>
    <n v="0.63"/>
    <n v="0"/>
    <n v="0"/>
    <n v="0.09"/>
    <n v="3.16"/>
    <n v="1.47"/>
    <n v="1.62"/>
    <n v="0"/>
    <n v="0"/>
    <n v="0"/>
    <n v="6.97"/>
    <n v="9.11"/>
    <n v="0"/>
    <n v="0"/>
    <n v="1.22"/>
    <n v="45.29"/>
    <n v="21.08"/>
    <n v="23.24"/>
    <n v="0"/>
    <n v="0"/>
    <n v="0.05"/>
    <n v="5"/>
    <x v="4"/>
  </r>
  <r>
    <x v="5"/>
    <x v="116"/>
    <x v="6"/>
    <x v="114"/>
    <n v="30"/>
    <n v="1"/>
    <n v="1"/>
    <n v="1"/>
    <n v="0"/>
    <n v="0"/>
    <n v="7"/>
    <s v="Sabigh Masood"/>
    <s v="Collections Group"/>
    <d v="2025-08-14T00:00:00"/>
    <d v="1899-12-30T13:01:31"/>
    <d v="1899-12-30T22:01:02"/>
    <n v="9"/>
    <n v="8.99"/>
    <n v="0.98"/>
    <n v="0.3"/>
    <n v="0"/>
    <n v="0.18"/>
    <n v="4.93"/>
    <n v="1.43"/>
    <n v="1.17"/>
    <n v="0"/>
    <n v="0"/>
    <n v="0"/>
    <n v="8.99"/>
    <n v="10.85"/>
    <n v="3.31"/>
    <n v="0"/>
    <n v="2.04"/>
    <n v="54.79"/>
    <n v="15.93"/>
    <n v="13.05"/>
    <n v="0"/>
    <n v="0"/>
    <n v="0.04"/>
    <n v="5"/>
    <x v="4"/>
  </r>
  <r>
    <x v="6"/>
    <x v="116"/>
    <x v="6"/>
    <x v="166"/>
    <n v="0"/>
    <n v="0"/>
    <n v="0"/>
    <n v="0"/>
    <n v="0"/>
    <n v="0"/>
    <n v="0"/>
    <m/>
    <m/>
    <m/>
    <m/>
    <m/>
    <m/>
    <m/>
    <m/>
    <m/>
    <m/>
    <m/>
    <m/>
    <m/>
    <m/>
    <m/>
    <m/>
    <m/>
    <m/>
    <m/>
    <m/>
    <m/>
    <m/>
    <m/>
    <m/>
    <m/>
    <m/>
    <m/>
    <m/>
    <n v="5"/>
    <x v="4"/>
  </r>
  <r>
    <x v="0"/>
    <x v="117"/>
    <x v="6"/>
    <x v="116"/>
    <n v="56"/>
    <n v="8"/>
    <n v="4"/>
    <n v="2"/>
    <n v="0"/>
    <n v="0"/>
    <n v="29"/>
    <s v="Anais Orozco"/>
    <s v="Collections Group"/>
    <d v="2025-08-13T00:00:00"/>
    <d v="1899-12-30T13:00:02"/>
    <d v="1899-12-30T22:09:56"/>
    <n v="9.15"/>
    <n v="8.3000000000000007"/>
    <n v="1.74"/>
    <n v="0.03"/>
    <n v="0"/>
    <n v="0.19"/>
    <n v="5.66"/>
    <n v="0.64"/>
    <n v="0"/>
    <n v="0"/>
    <n v="0"/>
    <n v="0.03"/>
    <n v="8.3000000000000007"/>
    <n v="20.95"/>
    <n v="0.42"/>
    <n v="0"/>
    <n v="2.33"/>
    <n v="68.239999999999995"/>
    <n v="7.71"/>
    <n v="0"/>
    <n v="0"/>
    <n v="0"/>
    <n v="0.36"/>
    <n v="4"/>
    <x v="0"/>
  </r>
  <r>
    <x v="1"/>
    <x v="117"/>
    <x v="6"/>
    <x v="147"/>
    <n v="22"/>
    <n v="2"/>
    <n v="1"/>
    <n v="1"/>
    <n v="2"/>
    <n v="0"/>
    <n v="12"/>
    <s v="Derice Warnsley"/>
    <s v="Collections Group"/>
    <d v="2025-08-13T00:00:00"/>
    <d v="1899-12-30T13:00:19"/>
    <d v="1899-12-30T22:00:03"/>
    <n v="9"/>
    <n v="9"/>
    <n v="0.97"/>
    <n v="0.01"/>
    <n v="0"/>
    <n v="0.01"/>
    <n v="5.91"/>
    <n v="1.48"/>
    <n v="0.61"/>
    <n v="0"/>
    <n v="0"/>
    <n v="0"/>
    <n v="9"/>
    <n v="10.74"/>
    <n v="0.15"/>
    <n v="0"/>
    <n v="0.16"/>
    <n v="65.7"/>
    <n v="16.46"/>
    <n v="6.74"/>
    <n v="0"/>
    <n v="0"/>
    <n v="0.05"/>
    <n v="4"/>
    <x v="0"/>
  </r>
  <r>
    <x v="2"/>
    <x v="117"/>
    <x v="6"/>
    <x v="24"/>
    <n v="28"/>
    <n v="5"/>
    <n v="2"/>
    <n v="5"/>
    <n v="0"/>
    <n v="1"/>
    <n v="7"/>
    <s v="Isiah Thomas"/>
    <s v="Collections Group"/>
    <d v="2025-08-13T00:00:00"/>
    <d v="1899-12-30T13:01:04"/>
    <d v="1899-12-30T22:00:01"/>
    <n v="8.98"/>
    <n v="8.98"/>
    <n v="1.61"/>
    <n v="0.08"/>
    <n v="0"/>
    <n v="0.31"/>
    <n v="5.48"/>
    <n v="1.26"/>
    <n v="0.24"/>
    <n v="0"/>
    <n v="0"/>
    <n v="0"/>
    <n v="8.98"/>
    <n v="17.95"/>
    <n v="0.94"/>
    <n v="0"/>
    <n v="3.42"/>
    <n v="60.96"/>
    <n v="14.01"/>
    <n v="2.69"/>
    <n v="0"/>
    <n v="0"/>
    <n v="0.04"/>
    <n v="4"/>
    <x v="0"/>
  </r>
  <r>
    <x v="3"/>
    <x v="117"/>
    <x v="6"/>
    <x v="75"/>
    <n v="40"/>
    <n v="1"/>
    <n v="4"/>
    <n v="2"/>
    <n v="0"/>
    <n v="4"/>
    <n v="14"/>
    <s v="Jerrod Coleman"/>
    <s v="Collections Group"/>
    <d v="2025-08-13T00:00:00"/>
    <d v="1899-12-30T13:01:02"/>
    <d v="1899-12-30T21:59:30"/>
    <n v="8.9700000000000006"/>
    <n v="8.9600000000000009"/>
    <n v="1.48"/>
    <n v="0"/>
    <n v="0"/>
    <n v="0.26"/>
    <n v="5.78"/>
    <n v="1.44"/>
    <n v="0"/>
    <n v="0"/>
    <n v="0"/>
    <n v="0.01"/>
    <n v="8.9600000000000009"/>
    <n v="16.54"/>
    <n v="0"/>
    <n v="0"/>
    <n v="2.89"/>
    <n v="64.47"/>
    <n v="16.04"/>
    <n v="0"/>
    <n v="0"/>
    <n v="0"/>
    <n v="7.0000000000000007E-2"/>
    <n v="4"/>
    <x v="0"/>
  </r>
  <r>
    <x v="4"/>
    <x v="117"/>
    <x v="6"/>
    <x v="13"/>
    <n v="2"/>
    <n v="0"/>
    <n v="0"/>
    <n v="0"/>
    <n v="0"/>
    <n v="1"/>
    <n v="0"/>
    <s v="Rosette Rwabugahya"/>
    <s v="Collections Group"/>
    <d v="2025-08-13T00:00:00"/>
    <d v="1899-12-30T14:12:08"/>
    <d v="1899-12-30T14:25:53"/>
    <n v="0.22"/>
    <n v="0.23"/>
    <n v="0.19"/>
    <n v="0"/>
    <n v="0"/>
    <n v="0.03"/>
    <n v="0"/>
    <n v="0"/>
    <n v="0"/>
    <n v="0"/>
    <n v="0"/>
    <n v="0.01"/>
    <n v="0.23"/>
    <n v="82.79"/>
    <n v="0"/>
    <n v="0"/>
    <n v="13.58"/>
    <n v="0"/>
    <n v="0"/>
    <n v="0"/>
    <n v="0"/>
    <n v="0"/>
    <n v="3.64"/>
    <n v="4"/>
    <x v="0"/>
  </r>
  <r>
    <x v="5"/>
    <x v="117"/>
    <x v="6"/>
    <x v="120"/>
    <n v="37"/>
    <n v="1"/>
    <n v="1"/>
    <n v="2"/>
    <n v="1"/>
    <n v="1"/>
    <n v="10"/>
    <s v="Sabigh Masood"/>
    <s v="Collections Group"/>
    <d v="2025-08-13T00:00:00"/>
    <d v="1899-12-30T13:00:17"/>
    <d v="1899-12-30T22:05:09"/>
    <n v="9.08"/>
    <n v="9.08"/>
    <n v="0.98"/>
    <n v="0.36"/>
    <n v="0"/>
    <n v="0.42"/>
    <n v="5.17"/>
    <n v="1.5"/>
    <n v="0.56000000000000005"/>
    <n v="0"/>
    <n v="0.09"/>
    <n v="0.01"/>
    <n v="9.08"/>
    <n v="10.75"/>
    <n v="3.93"/>
    <n v="0"/>
    <n v="4.59"/>
    <n v="56.88"/>
    <n v="16.52"/>
    <n v="6.15"/>
    <n v="0"/>
    <n v="1.03"/>
    <n v="0.14000000000000001"/>
    <n v="4"/>
    <x v="0"/>
  </r>
  <r>
    <x v="6"/>
    <x v="117"/>
    <x v="6"/>
    <x v="203"/>
    <n v="0"/>
    <n v="0"/>
    <n v="0"/>
    <n v="0"/>
    <n v="0"/>
    <n v="0"/>
    <n v="0"/>
    <m/>
    <m/>
    <m/>
    <m/>
    <m/>
    <m/>
    <m/>
    <m/>
    <m/>
    <m/>
    <m/>
    <m/>
    <m/>
    <m/>
    <m/>
    <m/>
    <m/>
    <m/>
    <m/>
    <m/>
    <m/>
    <m/>
    <m/>
    <m/>
    <m/>
    <m/>
    <m/>
    <m/>
    <n v="4"/>
    <x v="0"/>
  </r>
  <r>
    <x v="0"/>
    <x v="118"/>
    <x v="6"/>
    <x v="113"/>
    <n v="46"/>
    <n v="2"/>
    <n v="3"/>
    <n v="10"/>
    <n v="0"/>
    <n v="0"/>
    <n v="14"/>
    <s v="Anais Orozco"/>
    <s v="Collections Group"/>
    <d v="2025-08-12T00:00:00"/>
    <d v="1899-12-30T13:00:33"/>
    <d v="1899-12-30T22:00:05"/>
    <n v="9"/>
    <n v="8.0399999999999991"/>
    <n v="1.32"/>
    <n v="0.15"/>
    <n v="0"/>
    <n v="0.25"/>
    <n v="5.76"/>
    <n v="0.54"/>
    <n v="0"/>
    <n v="0"/>
    <n v="0"/>
    <n v="0.01"/>
    <n v="8.0399999999999991"/>
    <n v="16.46"/>
    <n v="1.9"/>
    <n v="0"/>
    <n v="3.09"/>
    <n v="71.69"/>
    <n v="6.72"/>
    <n v="0"/>
    <n v="0"/>
    <n v="0"/>
    <n v="0.14000000000000001"/>
    <n v="3"/>
    <x v="1"/>
  </r>
  <r>
    <x v="1"/>
    <x v="118"/>
    <x v="6"/>
    <x v="90"/>
    <n v="48"/>
    <n v="1"/>
    <n v="1"/>
    <n v="5"/>
    <n v="0"/>
    <n v="0"/>
    <n v="20"/>
    <s v="Derice Warnsley"/>
    <s v="Collections Group"/>
    <d v="2025-08-12T00:00:00"/>
    <d v="1899-12-30T13:00:19"/>
    <d v="1899-12-30T22:00:05"/>
    <n v="9"/>
    <n v="9"/>
    <n v="1.29"/>
    <n v="0.02"/>
    <n v="0"/>
    <n v="0.02"/>
    <n v="6.16"/>
    <n v="1.49"/>
    <n v="0"/>
    <n v="0"/>
    <n v="0"/>
    <n v="0"/>
    <n v="9"/>
    <n v="14.34"/>
    <n v="0.27"/>
    <n v="0"/>
    <n v="0.26"/>
    <n v="68.5"/>
    <n v="16.59"/>
    <n v="0"/>
    <n v="0"/>
    <n v="0"/>
    <n v="0.04"/>
    <n v="3"/>
    <x v="1"/>
  </r>
  <r>
    <x v="2"/>
    <x v="118"/>
    <x v="6"/>
    <x v="73"/>
    <n v="44"/>
    <n v="5"/>
    <n v="0"/>
    <n v="9"/>
    <n v="0"/>
    <n v="0"/>
    <n v="22"/>
    <s v="Isiah Thomas"/>
    <s v="Collections Group"/>
    <d v="2025-08-12T00:00:00"/>
    <d v="1899-12-30T13:04:22"/>
    <d v="1899-12-30T22:03:30"/>
    <n v="8.98"/>
    <n v="8.99"/>
    <n v="1.1100000000000001"/>
    <n v="0"/>
    <n v="0"/>
    <n v="0.4"/>
    <n v="5.92"/>
    <n v="1.55"/>
    <n v="0"/>
    <n v="0"/>
    <n v="0"/>
    <n v="0"/>
    <n v="8.99"/>
    <n v="12.33"/>
    <n v="0"/>
    <n v="0"/>
    <n v="4.5"/>
    <n v="65.900000000000006"/>
    <n v="17.23"/>
    <n v="0"/>
    <n v="0"/>
    <n v="0"/>
    <n v="0.04"/>
    <n v="3"/>
    <x v="1"/>
  </r>
  <r>
    <x v="3"/>
    <x v="118"/>
    <x v="6"/>
    <x v="109"/>
    <n v="51"/>
    <n v="5"/>
    <n v="3"/>
    <n v="1"/>
    <n v="1"/>
    <n v="0"/>
    <n v="32"/>
    <s v="Jerrod Coleman"/>
    <s v="Collections Group"/>
    <d v="2025-08-12T00:00:00"/>
    <d v="1899-12-30T13:00:25"/>
    <d v="1899-12-30T21:59:03"/>
    <n v="8.98"/>
    <n v="8.7899999999999991"/>
    <n v="1.08"/>
    <n v="0.14000000000000001"/>
    <n v="0"/>
    <n v="0.25"/>
    <n v="6.09"/>
    <n v="1.22"/>
    <n v="0"/>
    <n v="0"/>
    <n v="0"/>
    <n v="0.01"/>
    <n v="8.7899999999999991"/>
    <n v="12.3"/>
    <n v="1.58"/>
    <n v="0"/>
    <n v="2.82"/>
    <n v="69.290000000000006"/>
    <n v="13.92"/>
    <n v="0"/>
    <n v="0"/>
    <n v="0"/>
    <n v="0.08"/>
    <n v="3"/>
    <x v="1"/>
  </r>
  <r>
    <x v="5"/>
    <x v="118"/>
    <x v="6"/>
    <x v="113"/>
    <n v="54"/>
    <n v="5"/>
    <n v="3"/>
    <n v="5"/>
    <n v="2"/>
    <n v="0"/>
    <n v="10"/>
    <s v="Sabigh Masood"/>
    <s v="Collections Group"/>
    <d v="2025-08-12T00:00:00"/>
    <d v="1899-12-30T13:00:00"/>
    <d v="1899-12-30T22:06:16"/>
    <n v="9.1"/>
    <n v="9.11"/>
    <n v="2.66"/>
    <n v="0.16"/>
    <n v="0"/>
    <n v="0.33"/>
    <n v="4.01"/>
    <n v="1.46"/>
    <n v="0.47"/>
    <n v="0"/>
    <n v="0"/>
    <n v="0.01"/>
    <n v="9.11"/>
    <n v="29.22"/>
    <n v="1.8"/>
    <n v="0"/>
    <n v="3.62"/>
    <n v="44"/>
    <n v="16"/>
    <n v="5.21"/>
    <n v="0"/>
    <n v="0"/>
    <n v="0.15"/>
    <n v="3"/>
    <x v="1"/>
  </r>
  <r>
    <x v="6"/>
    <x v="118"/>
    <x v="6"/>
    <x v="146"/>
    <n v="0"/>
    <n v="0"/>
    <n v="0"/>
    <n v="0"/>
    <n v="0"/>
    <n v="0"/>
    <n v="0"/>
    <m/>
    <m/>
    <m/>
    <m/>
    <m/>
    <m/>
    <m/>
    <m/>
    <m/>
    <m/>
    <m/>
    <m/>
    <m/>
    <m/>
    <m/>
    <m/>
    <m/>
    <m/>
    <m/>
    <m/>
    <m/>
    <m/>
    <m/>
    <m/>
    <m/>
    <m/>
    <m/>
    <m/>
    <n v="3"/>
    <x v="1"/>
  </r>
  <r>
    <x v="0"/>
    <x v="119"/>
    <x v="6"/>
    <x v="90"/>
    <n v="44"/>
    <n v="6"/>
    <n v="0"/>
    <n v="2"/>
    <n v="0"/>
    <n v="0"/>
    <n v="17"/>
    <s v="Anais Orozco"/>
    <s v="Collections Group"/>
    <d v="2025-08-11T00:00:00"/>
    <d v="1899-12-30T12:59:33"/>
    <d v="1899-12-30T22:00:10"/>
    <n v="9.02"/>
    <n v="9.01"/>
    <n v="1.35"/>
    <n v="0.88"/>
    <n v="0"/>
    <n v="0.21"/>
    <n v="4.53"/>
    <n v="1.46"/>
    <n v="0.56999999999999995"/>
    <n v="0"/>
    <n v="0"/>
    <n v="0.01"/>
    <n v="9.01"/>
    <n v="14.98"/>
    <n v="9.7799999999999994"/>
    <n v="0"/>
    <n v="2.36"/>
    <n v="50.29"/>
    <n v="16.16"/>
    <n v="6.32"/>
    <n v="0"/>
    <n v="0"/>
    <n v="0.11"/>
    <n v="2"/>
    <x v="2"/>
  </r>
  <r>
    <x v="1"/>
    <x v="119"/>
    <x v="6"/>
    <x v="116"/>
    <n v="56"/>
    <n v="10"/>
    <n v="8"/>
    <n v="15"/>
    <n v="0"/>
    <n v="0"/>
    <n v="16"/>
    <s v="Derice Warnsley"/>
    <s v="Collections Group"/>
    <d v="2025-08-11T00:00:00"/>
    <d v="1899-12-30T13:00:14"/>
    <d v="1899-12-30T22:00:45"/>
    <n v="9"/>
    <n v="9.01"/>
    <n v="1.86"/>
    <n v="0.09"/>
    <n v="0"/>
    <n v="0.04"/>
    <n v="4.8899999999999997"/>
    <n v="1.44"/>
    <n v="0.69"/>
    <n v="0"/>
    <n v="0"/>
    <n v="0"/>
    <n v="9.01"/>
    <n v="20.7"/>
    <n v="0.96"/>
    <n v="0"/>
    <n v="0.4"/>
    <n v="54.3"/>
    <n v="15.95"/>
    <n v="7.65"/>
    <n v="0"/>
    <n v="0"/>
    <n v="0.05"/>
    <n v="2"/>
    <x v="2"/>
  </r>
  <r>
    <x v="2"/>
    <x v="119"/>
    <x v="6"/>
    <x v="76"/>
    <n v="47"/>
    <n v="3"/>
    <n v="2"/>
    <n v="14"/>
    <n v="0"/>
    <n v="0"/>
    <n v="25"/>
    <s v="Isiah Thomas"/>
    <s v="Collections Group"/>
    <d v="2025-08-11T00:00:00"/>
    <d v="1899-12-30T13:01:04"/>
    <d v="1899-12-30T22:02:07"/>
    <n v="9.02"/>
    <n v="9.02"/>
    <n v="0.85"/>
    <n v="0"/>
    <n v="0"/>
    <n v="0.26"/>
    <n v="5.74"/>
    <n v="1.52"/>
    <n v="0.63"/>
    <n v="0"/>
    <n v="0"/>
    <n v="0"/>
    <n v="9.02"/>
    <n v="9.48"/>
    <n v="0"/>
    <n v="0"/>
    <n v="2.92"/>
    <n v="63.63"/>
    <n v="16.89"/>
    <n v="7.03"/>
    <n v="0"/>
    <n v="0"/>
    <n v="0.05"/>
    <n v="2"/>
    <x v="2"/>
  </r>
  <r>
    <x v="3"/>
    <x v="119"/>
    <x v="6"/>
    <x v="69"/>
    <n v="66"/>
    <n v="8"/>
    <n v="9"/>
    <n v="14"/>
    <n v="0"/>
    <n v="0"/>
    <n v="28"/>
    <s v="Jerrod Coleman"/>
    <s v="Collections Group"/>
    <d v="2025-08-11T00:00:00"/>
    <d v="1899-12-30T13:00:12"/>
    <d v="1899-12-30T22:00:04"/>
    <n v="9"/>
    <n v="9"/>
    <n v="1.89"/>
    <n v="0.21"/>
    <n v="0"/>
    <n v="0.34"/>
    <n v="4.0999999999999996"/>
    <n v="1.44"/>
    <n v="1.01"/>
    <n v="0"/>
    <n v="0"/>
    <n v="0"/>
    <n v="9"/>
    <n v="21.01"/>
    <n v="2.34"/>
    <n v="0"/>
    <n v="3.82"/>
    <n v="45.53"/>
    <n v="15.98"/>
    <n v="11.27"/>
    <n v="0"/>
    <n v="0"/>
    <n v="0.04"/>
    <n v="2"/>
    <x v="2"/>
  </r>
  <r>
    <x v="4"/>
    <x v="119"/>
    <x v="6"/>
    <x v="13"/>
    <n v="1"/>
    <n v="0"/>
    <n v="0"/>
    <n v="0"/>
    <n v="0"/>
    <n v="0"/>
    <n v="0"/>
    <s v="Rosette Rwabugahya"/>
    <s v="Collections Group"/>
    <d v="2025-08-11T00:00:00"/>
    <d v="1899-12-30T13:25:52"/>
    <d v="1899-12-30T22:15:19"/>
    <n v="8.83"/>
    <n v="0.99"/>
    <n v="0.65"/>
    <n v="0"/>
    <n v="0"/>
    <n v="0.01"/>
    <n v="0"/>
    <n v="0"/>
    <n v="0"/>
    <n v="0"/>
    <n v="0"/>
    <n v="0.33"/>
    <n v="0.99"/>
    <n v="65.64"/>
    <n v="0"/>
    <n v="0"/>
    <n v="0.98"/>
    <n v="0"/>
    <n v="0"/>
    <n v="0"/>
    <n v="0"/>
    <n v="0"/>
    <n v="33.380000000000003"/>
    <n v="2"/>
    <x v="2"/>
  </r>
  <r>
    <x v="5"/>
    <x v="119"/>
    <x v="6"/>
    <x v="64"/>
    <n v="85"/>
    <n v="7"/>
    <n v="17"/>
    <n v="8"/>
    <n v="0"/>
    <n v="0"/>
    <n v="38"/>
    <s v="Sabigh Masood"/>
    <s v="Collections Group"/>
    <d v="2025-08-11T00:00:00"/>
    <d v="1899-12-30T13:01:08"/>
    <d v="1899-12-30T22:07:15"/>
    <n v="9.1"/>
    <n v="9.1"/>
    <n v="2.04"/>
    <n v="0.12"/>
    <n v="0"/>
    <n v="0.38"/>
    <n v="4.6100000000000003"/>
    <n v="1.4"/>
    <n v="0.54"/>
    <n v="0"/>
    <n v="0"/>
    <n v="0"/>
    <n v="9.1"/>
    <n v="22.47"/>
    <n v="1.35"/>
    <n v="0"/>
    <n v="4.1900000000000004"/>
    <n v="50.66"/>
    <n v="15.36"/>
    <n v="5.94"/>
    <n v="0"/>
    <n v="0"/>
    <n v="0.04"/>
    <n v="2"/>
    <x v="2"/>
  </r>
  <r>
    <x v="6"/>
    <x v="119"/>
    <x v="6"/>
    <x v="207"/>
    <n v="0"/>
    <n v="0"/>
    <n v="0"/>
    <n v="0"/>
    <n v="0"/>
    <n v="0"/>
    <n v="0"/>
    <m/>
    <m/>
    <m/>
    <m/>
    <m/>
    <m/>
    <m/>
    <m/>
    <m/>
    <m/>
    <m/>
    <m/>
    <m/>
    <m/>
    <m/>
    <m/>
    <m/>
    <m/>
    <m/>
    <m/>
    <m/>
    <m/>
    <m/>
    <m/>
    <m/>
    <m/>
    <m/>
    <m/>
    <n v="2"/>
    <x v="2"/>
  </r>
  <r>
    <x v="2"/>
    <x v="120"/>
    <x v="6"/>
    <x v="113"/>
    <n v="56"/>
    <n v="10"/>
    <n v="0"/>
    <n v="11"/>
    <n v="1"/>
    <n v="0"/>
    <n v="19"/>
    <s v="Isiah Thomas"/>
    <s v="Collections Group"/>
    <d v="2025-08-08T00:00:00"/>
    <d v="1899-12-30T13:00:20"/>
    <d v="1899-12-30T22:00:03"/>
    <n v="9"/>
    <n v="9"/>
    <n v="1.61"/>
    <n v="0"/>
    <n v="0"/>
    <n v="0.28000000000000003"/>
    <n v="4.76"/>
    <n v="1.28"/>
    <n v="1.06"/>
    <n v="0"/>
    <n v="0"/>
    <n v="0"/>
    <n v="9"/>
    <n v="17.95"/>
    <n v="0"/>
    <n v="0"/>
    <n v="3.13"/>
    <n v="52.89"/>
    <n v="14.19"/>
    <n v="11.8"/>
    <n v="0"/>
    <n v="0"/>
    <n v="0.04"/>
    <n v="6"/>
    <x v="3"/>
  </r>
  <r>
    <x v="3"/>
    <x v="120"/>
    <x v="6"/>
    <x v="110"/>
    <n v="40"/>
    <n v="9"/>
    <n v="2"/>
    <n v="5"/>
    <n v="0"/>
    <n v="1"/>
    <n v="14"/>
    <s v="Jerrod Coleman"/>
    <s v="Collections Group"/>
    <d v="2025-08-08T00:00:00"/>
    <d v="1899-12-30T13:00:05"/>
    <d v="1899-12-30T21:59:34"/>
    <n v="8.98"/>
    <n v="8.99"/>
    <n v="1.93"/>
    <n v="0.18"/>
    <n v="0"/>
    <n v="0.26"/>
    <n v="5.17"/>
    <n v="1.46"/>
    <n v="0"/>
    <n v="0"/>
    <n v="0"/>
    <n v="0"/>
    <n v="8.99"/>
    <n v="21.45"/>
    <n v="2.0099999999999998"/>
    <n v="0"/>
    <n v="2.85"/>
    <n v="57.48"/>
    <n v="16.18"/>
    <n v="0"/>
    <n v="0"/>
    <n v="0"/>
    <n v="0.04"/>
    <n v="6"/>
    <x v="3"/>
  </r>
  <r>
    <x v="4"/>
    <x v="120"/>
    <x v="6"/>
    <x v="3"/>
    <n v="2"/>
    <n v="0"/>
    <n v="0"/>
    <n v="0"/>
    <n v="0"/>
    <n v="0"/>
    <n v="0"/>
    <s v="Rosette Rwabugahya"/>
    <s v="Collections Group"/>
    <d v="2025-08-08T00:00:00"/>
    <d v="1899-12-30T13:54:19"/>
    <d v="1899-12-30T22:12:53"/>
    <n v="8.3000000000000007"/>
    <n v="2.76"/>
    <n v="2.63"/>
    <n v="0"/>
    <n v="0"/>
    <n v="0.1"/>
    <n v="0"/>
    <n v="0"/>
    <n v="0"/>
    <n v="0"/>
    <n v="0"/>
    <n v="0.03"/>
    <n v="2.76"/>
    <n v="95.31"/>
    <n v="0"/>
    <n v="0"/>
    <n v="3.64"/>
    <n v="0"/>
    <n v="0"/>
    <n v="0"/>
    <n v="0"/>
    <n v="0"/>
    <n v="1.05"/>
    <n v="6"/>
    <x v="3"/>
  </r>
  <r>
    <x v="5"/>
    <x v="120"/>
    <x v="6"/>
    <x v="108"/>
    <n v="61"/>
    <n v="8"/>
    <n v="1"/>
    <n v="9"/>
    <n v="0"/>
    <n v="0"/>
    <n v="26"/>
    <s v="Sabigh Masood"/>
    <s v="Collections Group"/>
    <d v="2025-08-08T00:00:00"/>
    <d v="1899-12-30T12:59:44"/>
    <d v="1899-12-30T22:02:46"/>
    <n v="9.0500000000000007"/>
    <n v="9.0500000000000007"/>
    <n v="1.51"/>
    <n v="0.1"/>
    <n v="0"/>
    <n v="0.44"/>
    <n v="5.13"/>
    <n v="1.86"/>
    <n v="0"/>
    <n v="0"/>
    <n v="0"/>
    <n v="0"/>
    <n v="9.0500000000000007"/>
    <n v="16.690000000000001"/>
    <n v="1.06"/>
    <n v="0"/>
    <n v="4.8899999999999997"/>
    <n v="56.72"/>
    <n v="20.6"/>
    <n v="0"/>
    <n v="0"/>
    <n v="0"/>
    <n v="0.04"/>
    <n v="6"/>
    <x v="3"/>
  </r>
  <r>
    <x v="6"/>
    <x v="120"/>
    <x v="6"/>
    <x v="201"/>
    <n v="0"/>
    <n v="0"/>
    <n v="0"/>
    <n v="0"/>
    <n v="0"/>
    <n v="0"/>
    <n v="0"/>
    <m/>
    <m/>
    <m/>
    <m/>
    <m/>
    <m/>
    <m/>
    <m/>
    <m/>
    <m/>
    <m/>
    <m/>
    <m/>
    <m/>
    <m/>
    <m/>
    <m/>
    <m/>
    <m/>
    <m/>
    <m/>
    <m/>
    <m/>
    <m/>
    <m/>
    <m/>
    <m/>
    <m/>
    <n v="6"/>
    <x v="3"/>
  </r>
  <r>
    <x v="1"/>
    <x v="121"/>
    <x v="6"/>
    <x v="113"/>
    <n v="38"/>
    <n v="5"/>
    <n v="2"/>
    <n v="0"/>
    <n v="0"/>
    <n v="0"/>
    <n v="17"/>
    <s v="Derice Warnsley"/>
    <s v="Collections Group"/>
    <d v="2025-08-07T00:00:00"/>
    <d v="1899-12-30T13:00:10"/>
    <d v="1899-12-30T22:00:05"/>
    <n v="9"/>
    <n v="9"/>
    <n v="1.22"/>
    <n v="0.04"/>
    <n v="0"/>
    <n v="0.03"/>
    <n v="6.22"/>
    <n v="1.49"/>
    <n v="0"/>
    <n v="0"/>
    <n v="0"/>
    <n v="0"/>
    <n v="9"/>
    <n v="13.52"/>
    <n v="0.43"/>
    <n v="0.01"/>
    <n v="0.3"/>
    <n v="69.09"/>
    <n v="16.600000000000001"/>
    <n v="0"/>
    <n v="0"/>
    <n v="0"/>
    <n v="0.04"/>
    <n v="5"/>
    <x v="4"/>
  </r>
  <r>
    <x v="2"/>
    <x v="121"/>
    <x v="6"/>
    <x v="110"/>
    <n v="55"/>
    <n v="4"/>
    <n v="1"/>
    <n v="9"/>
    <n v="4"/>
    <n v="0"/>
    <n v="17"/>
    <s v="Isiah Thomas"/>
    <s v="Collections Group"/>
    <d v="2025-08-07T00:00:00"/>
    <d v="1899-12-30T13:01:36"/>
    <d v="1899-12-30T22:00:04"/>
    <n v="8.98"/>
    <n v="8.98"/>
    <n v="1.28"/>
    <n v="0"/>
    <n v="0"/>
    <n v="0.27"/>
    <n v="6.18"/>
    <n v="1.24"/>
    <n v="0"/>
    <n v="0"/>
    <n v="0"/>
    <n v="0"/>
    <n v="8.98"/>
    <n v="14.25"/>
    <n v="0"/>
    <n v="0"/>
    <n v="3"/>
    <n v="68.84"/>
    <n v="13.86"/>
    <n v="0"/>
    <n v="0"/>
    <n v="0"/>
    <n v="0.05"/>
    <n v="5"/>
    <x v="4"/>
  </r>
  <r>
    <x v="3"/>
    <x v="121"/>
    <x v="6"/>
    <x v="74"/>
    <n v="43"/>
    <n v="0"/>
    <n v="5"/>
    <n v="6"/>
    <n v="1"/>
    <n v="1"/>
    <n v="21"/>
    <s v="Jerrod Coleman"/>
    <s v="Collections Group"/>
    <d v="2025-08-07T00:00:00"/>
    <d v="1899-12-30T13:00:07"/>
    <d v="1899-12-30T22:00:27"/>
    <n v="9"/>
    <n v="9"/>
    <n v="0.87"/>
    <n v="0.31"/>
    <n v="0"/>
    <n v="0.18"/>
    <n v="6.18"/>
    <n v="1.47"/>
    <n v="0"/>
    <n v="0"/>
    <n v="0"/>
    <n v="0"/>
    <n v="9"/>
    <n v="9.6199999999999992"/>
    <n v="3.48"/>
    <n v="0"/>
    <n v="1.98"/>
    <n v="68.61"/>
    <n v="16.27"/>
    <n v="0"/>
    <n v="0"/>
    <n v="0"/>
    <n v="0.04"/>
    <n v="5"/>
    <x v="4"/>
  </r>
  <r>
    <x v="5"/>
    <x v="121"/>
    <x v="6"/>
    <x v="121"/>
    <n v="25"/>
    <n v="2"/>
    <n v="2"/>
    <n v="3"/>
    <n v="0"/>
    <n v="1"/>
    <n v="11"/>
    <s v="Sabigh Masood"/>
    <s v="Collections Group"/>
    <d v="2025-08-07T00:00:00"/>
    <d v="1899-12-30T13:00:44"/>
    <d v="1899-12-30T22:04:02"/>
    <n v="9.07"/>
    <n v="9.0500000000000007"/>
    <n v="0.66"/>
    <n v="0.19"/>
    <n v="0"/>
    <n v="0.36"/>
    <n v="6.38"/>
    <n v="1.46"/>
    <n v="0"/>
    <n v="0"/>
    <n v="0"/>
    <n v="0"/>
    <n v="9.0500000000000007"/>
    <n v="7.26"/>
    <n v="2.0499999999999998"/>
    <n v="0"/>
    <n v="3.99"/>
    <n v="70.48"/>
    <n v="16.170000000000002"/>
    <n v="0.02"/>
    <n v="0"/>
    <n v="0"/>
    <n v="0.04"/>
    <n v="5"/>
    <x v="4"/>
  </r>
  <r>
    <x v="6"/>
    <x v="121"/>
    <x v="6"/>
    <x v="135"/>
    <n v="0"/>
    <n v="0"/>
    <n v="0"/>
    <n v="0"/>
    <n v="0"/>
    <n v="0"/>
    <n v="0"/>
    <m/>
    <m/>
    <m/>
    <m/>
    <m/>
    <m/>
    <m/>
    <m/>
    <m/>
    <m/>
    <m/>
    <m/>
    <m/>
    <m/>
    <m/>
    <m/>
    <m/>
    <m/>
    <m/>
    <m/>
    <m/>
    <m/>
    <m/>
    <m/>
    <m/>
    <m/>
    <m/>
    <m/>
    <n v="5"/>
    <x v="4"/>
  </r>
  <r>
    <x v="0"/>
    <x v="122"/>
    <x v="6"/>
    <x v="118"/>
    <n v="56"/>
    <n v="9"/>
    <n v="3"/>
    <n v="4"/>
    <n v="1"/>
    <n v="0"/>
    <n v="22"/>
    <s v="Anais Orozco"/>
    <s v="Collections Group"/>
    <d v="2025-08-06T00:00:00"/>
    <d v="1899-12-30T12:59:48"/>
    <d v="1899-12-30T22:01:08"/>
    <n v="9.0299999999999994"/>
    <n v="9.02"/>
    <n v="2.16"/>
    <n v="0.59"/>
    <n v="0"/>
    <n v="0.37"/>
    <n v="4.3"/>
    <n v="1.46"/>
    <n v="0.13"/>
    <n v="0"/>
    <n v="0"/>
    <n v="0.01"/>
    <n v="9.02"/>
    <n v="23.99"/>
    <n v="6.56"/>
    <n v="0"/>
    <n v="4.0999999999999996"/>
    <n v="47.66"/>
    <n v="16.18"/>
    <n v="1.41"/>
    <n v="0"/>
    <n v="0"/>
    <n v="0.1"/>
    <n v="4"/>
    <x v="0"/>
  </r>
  <r>
    <x v="1"/>
    <x v="122"/>
    <x v="6"/>
    <x v="110"/>
    <n v="53"/>
    <n v="7"/>
    <n v="5"/>
    <n v="5"/>
    <n v="0"/>
    <n v="0"/>
    <n v="18"/>
    <s v="Derice Warnsley"/>
    <s v="Collections Group"/>
    <d v="2025-08-06T00:00:00"/>
    <d v="1899-12-30T13:00:15"/>
    <d v="1899-12-30T22:00:02"/>
    <n v="9"/>
    <n v="9"/>
    <n v="1.7"/>
    <n v="0.16"/>
    <n v="0"/>
    <n v="0.02"/>
    <n v="5.61"/>
    <n v="1.51"/>
    <n v="0"/>
    <n v="0"/>
    <n v="0"/>
    <n v="0"/>
    <n v="9"/>
    <n v="18.93"/>
    <n v="1.73"/>
    <n v="0"/>
    <n v="0.19"/>
    <n v="62.38"/>
    <n v="16.73"/>
    <n v="0"/>
    <n v="0"/>
    <n v="0"/>
    <n v="0.05"/>
    <n v="4"/>
    <x v="0"/>
  </r>
  <r>
    <x v="2"/>
    <x v="122"/>
    <x v="6"/>
    <x v="104"/>
    <n v="37"/>
    <n v="5"/>
    <n v="3"/>
    <n v="7"/>
    <n v="0"/>
    <n v="0"/>
    <n v="12"/>
    <s v="Isiah Thomas"/>
    <s v="Collections Group"/>
    <d v="2025-08-06T00:00:00"/>
    <d v="1899-12-30T12:59:18"/>
    <d v="1899-12-30T22:09:29"/>
    <n v="9.17"/>
    <n v="9.17"/>
    <n v="1.65"/>
    <n v="0"/>
    <n v="0"/>
    <n v="0.56000000000000005"/>
    <n v="5.05"/>
    <n v="1.51"/>
    <n v="0.3"/>
    <n v="0"/>
    <n v="0.09"/>
    <n v="0.01"/>
    <n v="9.17"/>
    <n v="18.010000000000002"/>
    <n v="0"/>
    <n v="0"/>
    <n v="6.14"/>
    <n v="55.09"/>
    <n v="16.47"/>
    <n v="3.24"/>
    <n v="0"/>
    <n v="0.94"/>
    <n v="0.13"/>
    <n v="4"/>
    <x v="0"/>
  </r>
  <r>
    <x v="3"/>
    <x v="122"/>
    <x v="6"/>
    <x v="90"/>
    <n v="50"/>
    <n v="2"/>
    <n v="11"/>
    <n v="3"/>
    <n v="0"/>
    <n v="3"/>
    <n v="13"/>
    <s v="Jerrod Coleman"/>
    <s v="Collections Group"/>
    <d v="2025-08-06T00:00:00"/>
    <d v="1899-12-30T13:00:06"/>
    <d v="1899-12-30T22:00:29"/>
    <n v="9"/>
    <n v="9.01"/>
    <n v="1.98"/>
    <n v="0.42"/>
    <n v="0"/>
    <n v="0.33"/>
    <n v="4.38"/>
    <n v="1.47"/>
    <n v="0.42"/>
    <n v="0"/>
    <n v="0"/>
    <n v="0"/>
    <n v="9.01"/>
    <n v="22.03"/>
    <n v="4.6399999999999997"/>
    <n v="0"/>
    <n v="3.68"/>
    <n v="48.63"/>
    <n v="16.309999999999999"/>
    <n v="4.66"/>
    <n v="0"/>
    <n v="0"/>
    <n v="0.05"/>
    <n v="4"/>
    <x v="0"/>
  </r>
  <r>
    <x v="5"/>
    <x v="122"/>
    <x v="6"/>
    <x v="90"/>
    <n v="52"/>
    <n v="2"/>
    <n v="4"/>
    <n v="4"/>
    <n v="0"/>
    <n v="0"/>
    <n v="19"/>
    <s v="Sabigh Masood"/>
    <s v="Collections Group"/>
    <d v="2025-08-06T00:00:00"/>
    <d v="1899-12-30T13:00:28"/>
    <d v="1899-12-30T22:07:28"/>
    <n v="9.1199999999999992"/>
    <n v="9.1199999999999992"/>
    <n v="1.48"/>
    <n v="0.11"/>
    <n v="0"/>
    <n v="0.37"/>
    <n v="5.67"/>
    <n v="1.49"/>
    <n v="0"/>
    <n v="0"/>
    <n v="0"/>
    <n v="0"/>
    <n v="9.1199999999999992"/>
    <n v="16.22"/>
    <n v="1.1599999999999999"/>
    <n v="0"/>
    <n v="4.0199999999999996"/>
    <n v="62.22"/>
    <n v="16.34"/>
    <n v="0"/>
    <n v="0"/>
    <n v="0"/>
    <n v="0.04"/>
    <n v="4"/>
    <x v="0"/>
  </r>
  <r>
    <x v="6"/>
    <x v="122"/>
    <x v="6"/>
    <x v="208"/>
    <n v="0"/>
    <n v="0"/>
    <n v="0"/>
    <n v="0"/>
    <n v="0"/>
    <n v="0"/>
    <n v="0"/>
    <m/>
    <m/>
    <m/>
    <m/>
    <m/>
    <m/>
    <m/>
    <m/>
    <m/>
    <m/>
    <m/>
    <m/>
    <m/>
    <m/>
    <m/>
    <m/>
    <m/>
    <m/>
    <m/>
    <m/>
    <m/>
    <m/>
    <m/>
    <m/>
    <m/>
    <m/>
    <m/>
    <m/>
    <n v="4"/>
    <x v="0"/>
  </r>
  <r>
    <x v="0"/>
    <x v="123"/>
    <x v="6"/>
    <x v="120"/>
    <n v="38"/>
    <n v="1"/>
    <n v="2"/>
    <n v="5"/>
    <n v="0"/>
    <n v="0"/>
    <n v="22"/>
    <s v="Anais Orozco"/>
    <s v="Collections Group"/>
    <d v="2025-08-05T00:00:00"/>
    <d v="1899-12-30T13:00:47"/>
    <d v="1899-12-30T22:00:38"/>
    <n v="9"/>
    <n v="8.1"/>
    <n v="1.05"/>
    <n v="0.42"/>
    <n v="0"/>
    <n v="0.19"/>
    <n v="4.07"/>
    <n v="0.44"/>
    <n v="1.87"/>
    <n v="0"/>
    <n v="0"/>
    <n v="7.0000000000000007E-2"/>
    <n v="8.1"/>
    <n v="12.91"/>
    <n v="5.13"/>
    <n v="0"/>
    <n v="2.35"/>
    <n v="50.26"/>
    <n v="5.41"/>
    <n v="23.11"/>
    <n v="0"/>
    <n v="0"/>
    <n v="0.85"/>
    <n v="3"/>
    <x v="1"/>
  </r>
  <r>
    <x v="1"/>
    <x v="123"/>
    <x v="6"/>
    <x v="109"/>
    <n v="37"/>
    <n v="7"/>
    <n v="7"/>
    <n v="2"/>
    <n v="0"/>
    <n v="0"/>
    <n v="12"/>
    <s v="Derice Warnsley"/>
    <s v="Collections Group"/>
    <d v="2025-08-05T00:00:00"/>
    <d v="1899-12-30T13:00:36"/>
    <d v="1899-12-30T22:06:04"/>
    <n v="9.1"/>
    <n v="9.09"/>
    <n v="1.69"/>
    <n v="7.0000000000000007E-2"/>
    <n v="0"/>
    <n v="0.01"/>
    <n v="5.87"/>
    <n v="1.44"/>
    <n v="0"/>
    <n v="0"/>
    <n v="0"/>
    <n v="0"/>
    <n v="9.09"/>
    <n v="18.57"/>
    <n v="0.81"/>
    <n v="0"/>
    <n v="0.14000000000000001"/>
    <n v="64.55"/>
    <n v="15.89"/>
    <n v="0"/>
    <n v="0"/>
    <n v="0"/>
    <n v="0.04"/>
    <n v="3"/>
    <x v="1"/>
  </r>
  <r>
    <x v="2"/>
    <x v="123"/>
    <x v="6"/>
    <x v="108"/>
    <n v="46"/>
    <n v="5"/>
    <n v="0"/>
    <n v="9"/>
    <n v="1"/>
    <n v="0"/>
    <n v="14"/>
    <s v="Isiah Thomas"/>
    <s v="Collections Group"/>
    <d v="2025-08-05T00:00:00"/>
    <d v="1899-12-30T13:00:53"/>
    <d v="1899-12-30T22:00:45"/>
    <n v="9"/>
    <n v="9"/>
    <n v="2.1"/>
    <n v="0"/>
    <n v="0"/>
    <n v="0.44"/>
    <n v="4.87"/>
    <n v="1.26"/>
    <n v="0.25"/>
    <n v="0"/>
    <n v="7.0000000000000007E-2"/>
    <n v="0"/>
    <n v="9"/>
    <n v="23.39"/>
    <n v="0"/>
    <n v="0"/>
    <n v="4.88"/>
    <n v="54.11"/>
    <n v="14"/>
    <n v="2.76"/>
    <n v="0"/>
    <n v="0.82"/>
    <n v="0.05"/>
    <n v="3"/>
    <x v="1"/>
  </r>
  <r>
    <x v="3"/>
    <x v="123"/>
    <x v="6"/>
    <x v="76"/>
    <n v="36"/>
    <n v="0"/>
    <n v="2"/>
    <n v="1"/>
    <n v="0"/>
    <n v="0"/>
    <n v="24"/>
    <s v="Jerrod Coleman"/>
    <s v="Collections Group"/>
    <d v="2025-08-05T00:00:00"/>
    <d v="1899-12-30T13:00:08"/>
    <d v="1899-12-30T21:59:23"/>
    <n v="8.98"/>
    <n v="8.99"/>
    <n v="0.23"/>
    <n v="0.21"/>
    <n v="0"/>
    <n v="0.23"/>
    <n v="4.8099999999999996"/>
    <n v="1.44"/>
    <n v="2.0499999999999998"/>
    <n v="0"/>
    <n v="0.02"/>
    <n v="0"/>
    <n v="8.99"/>
    <n v="2.5499999999999998"/>
    <n v="2.36"/>
    <n v="0"/>
    <n v="2.5099999999999998"/>
    <n v="53.5"/>
    <n v="15.99"/>
    <n v="22.85"/>
    <n v="0"/>
    <n v="0.19"/>
    <n v="0.04"/>
    <n v="3"/>
    <x v="1"/>
  </r>
  <r>
    <x v="5"/>
    <x v="123"/>
    <x v="6"/>
    <x v="74"/>
    <n v="41"/>
    <n v="7"/>
    <n v="1"/>
    <n v="2"/>
    <n v="0"/>
    <n v="0"/>
    <n v="18"/>
    <s v="Sabigh Masood"/>
    <s v="Collections Group"/>
    <d v="2025-08-05T00:00:00"/>
    <d v="1899-12-30T13:00:21"/>
    <d v="1899-12-30T22:07:58"/>
    <n v="9.1199999999999992"/>
    <n v="9.1300000000000008"/>
    <n v="1.36"/>
    <n v="0.27"/>
    <n v="0"/>
    <n v="0.38"/>
    <n v="4.49"/>
    <n v="1.36"/>
    <n v="1.27"/>
    <n v="0"/>
    <n v="0"/>
    <n v="0"/>
    <n v="9.1300000000000008"/>
    <n v="14.91"/>
    <n v="2.93"/>
    <n v="0"/>
    <n v="4.18"/>
    <n v="49.15"/>
    <n v="14.92"/>
    <n v="13.86"/>
    <n v="0"/>
    <n v="0"/>
    <n v="0.05"/>
    <n v="3"/>
    <x v="1"/>
  </r>
  <r>
    <x v="6"/>
    <x v="123"/>
    <x v="6"/>
    <x v="209"/>
    <n v="0"/>
    <n v="0"/>
    <n v="0"/>
    <n v="0"/>
    <n v="0"/>
    <n v="0"/>
    <n v="0"/>
    <m/>
    <m/>
    <m/>
    <m/>
    <m/>
    <m/>
    <m/>
    <m/>
    <m/>
    <m/>
    <m/>
    <m/>
    <m/>
    <m/>
    <m/>
    <m/>
    <m/>
    <m/>
    <m/>
    <m/>
    <m/>
    <m/>
    <m/>
    <m/>
    <m/>
    <m/>
    <m/>
    <m/>
    <n v="3"/>
    <x v="1"/>
  </r>
  <r>
    <x v="0"/>
    <x v="124"/>
    <x v="6"/>
    <x v="120"/>
    <n v="37"/>
    <n v="1"/>
    <n v="4"/>
    <n v="3"/>
    <n v="0"/>
    <n v="1"/>
    <n v="17"/>
    <s v="Anais Orozco"/>
    <s v="Collections Group"/>
    <d v="2025-08-04T00:00:00"/>
    <d v="1899-12-30T13:01:08"/>
    <d v="1899-12-30T22:00:42"/>
    <n v="8.98"/>
    <n v="8.07"/>
    <n v="0.91"/>
    <n v="0.01"/>
    <n v="0"/>
    <n v="0.16"/>
    <n v="6.49"/>
    <n v="0.48"/>
    <n v="0"/>
    <n v="0"/>
    <n v="0"/>
    <n v="0.01"/>
    <n v="8.07"/>
    <n v="11.26"/>
    <n v="0.15"/>
    <n v="0"/>
    <n v="1.94"/>
    <n v="80.47"/>
    <n v="5.99"/>
    <n v="0"/>
    <n v="0"/>
    <n v="0"/>
    <n v="0.18"/>
    <n v="2"/>
    <x v="2"/>
  </r>
  <r>
    <x v="1"/>
    <x v="124"/>
    <x v="6"/>
    <x v="74"/>
    <n v="31"/>
    <n v="7"/>
    <n v="3"/>
    <n v="0"/>
    <n v="1"/>
    <n v="0"/>
    <n v="12"/>
    <s v="Derice Warnsley"/>
    <s v="Collections Group"/>
    <d v="2025-08-04T00:00:00"/>
    <d v="1899-12-30T13:00:08"/>
    <d v="1899-12-30T22:00:05"/>
    <n v="9"/>
    <n v="9"/>
    <n v="1.07"/>
    <n v="0.03"/>
    <n v="0"/>
    <n v="0.01"/>
    <n v="6.39"/>
    <n v="1.49"/>
    <n v="0"/>
    <n v="0"/>
    <n v="0"/>
    <n v="0"/>
    <n v="9"/>
    <n v="11.94"/>
    <n v="0.34"/>
    <n v="0"/>
    <n v="0.14000000000000001"/>
    <n v="70.989999999999995"/>
    <n v="16.55"/>
    <n v="0"/>
    <n v="0"/>
    <n v="0"/>
    <n v="0.05"/>
    <n v="2"/>
    <x v="2"/>
  </r>
  <r>
    <x v="2"/>
    <x v="124"/>
    <x v="6"/>
    <x v="76"/>
    <n v="38"/>
    <n v="1"/>
    <n v="4"/>
    <n v="11"/>
    <n v="0"/>
    <n v="0"/>
    <n v="21"/>
    <s v="Isiah Thomas"/>
    <s v="Collections Group"/>
    <d v="2025-08-04T00:00:00"/>
    <d v="1899-12-30T12:59:16"/>
    <d v="1899-12-30T22:00:02"/>
    <n v="9.02"/>
    <n v="9.01"/>
    <n v="1.18"/>
    <n v="0"/>
    <n v="0"/>
    <n v="0.17"/>
    <n v="5.36"/>
    <n v="1.52"/>
    <n v="0.76"/>
    <n v="0"/>
    <n v="0"/>
    <n v="0.01"/>
    <n v="9.01"/>
    <n v="13.1"/>
    <n v="0"/>
    <n v="0"/>
    <n v="1.93"/>
    <n v="59.51"/>
    <n v="16.91"/>
    <n v="8.4"/>
    <n v="0"/>
    <n v="0"/>
    <n v="0.14000000000000001"/>
    <n v="2"/>
    <x v="2"/>
  </r>
  <r>
    <x v="3"/>
    <x v="124"/>
    <x v="6"/>
    <x v="114"/>
    <n v="31"/>
    <n v="5"/>
    <n v="3"/>
    <n v="0"/>
    <n v="0"/>
    <n v="1"/>
    <n v="20"/>
    <s v="Jerrod Coleman"/>
    <s v="Collections Group"/>
    <d v="2025-08-04T00:00:00"/>
    <d v="1899-12-30T13:00:53"/>
    <d v="1899-12-30T21:59:43"/>
    <n v="8.98"/>
    <n v="8.98"/>
    <n v="1.08"/>
    <n v="0.04"/>
    <n v="0"/>
    <n v="0.12"/>
    <n v="6.26"/>
    <n v="1.48"/>
    <n v="0"/>
    <n v="0"/>
    <n v="0"/>
    <n v="0"/>
    <n v="8.98"/>
    <n v="11.97"/>
    <n v="0.41"/>
    <n v="0"/>
    <n v="1.36"/>
    <n v="69.760000000000005"/>
    <n v="16.47"/>
    <n v="0"/>
    <n v="0"/>
    <n v="0"/>
    <n v="0.04"/>
    <n v="2"/>
    <x v="2"/>
  </r>
  <r>
    <x v="5"/>
    <x v="124"/>
    <x v="6"/>
    <x v="24"/>
    <n v="47"/>
    <n v="3"/>
    <n v="8"/>
    <n v="14"/>
    <n v="0"/>
    <n v="2"/>
    <n v="16"/>
    <s v="Sabigh Masood"/>
    <s v="Collections Group"/>
    <d v="2025-08-04T00:00:00"/>
    <d v="1899-12-30T13:00:22"/>
    <d v="1899-12-30T22:01:48"/>
    <n v="9.02"/>
    <n v="9.02"/>
    <n v="1.4"/>
    <n v="0.16"/>
    <n v="0"/>
    <n v="0.37"/>
    <n v="5.58"/>
    <n v="1.52"/>
    <n v="0"/>
    <n v="0"/>
    <n v="0"/>
    <n v="0"/>
    <n v="9.02"/>
    <n v="15.47"/>
    <n v="1.72"/>
    <n v="0"/>
    <n v="4.12"/>
    <n v="61.79"/>
    <n v="16.850000000000001"/>
    <n v="0"/>
    <n v="0"/>
    <n v="0"/>
    <n v="0.04"/>
    <n v="2"/>
    <x v="2"/>
  </r>
  <r>
    <x v="6"/>
    <x v="124"/>
    <x v="6"/>
    <x v="210"/>
    <n v="0"/>
    <n v="0"/>
    <n v="0"/>
    <n v="0"/>
    <n v="0"/>
    <n v="0"/>
    <n v="0"/>
    <m/>
    <m/>
    <m/>
    <m/>
    <m/>
    <m/>
    <m/>
    <m/>
    <m/>
    <m/>
    <m/>
    <m/>
    <m/>
    <m/>
    <m/>
    <m/>
    <m/>
    <m/>
    <m/>
    <m/>
    <m/>
    <m/>
    <m/>
    <m/>
    <m/>
    <m/>
    <m/>
    <m/>
    <n v="2"/>
    <x v="2"/>
  </r>
  <r>
    <x v="0"/>
    <x v="125"/>
    <x v="6"/>
    <x v="76"/>
    <n v="37"/>
    <n v="3"/>
    <n v="3"/>
    <n v="0"/>
    <n v="0"/>
    <n v="0"/>
    <n v="25"/>
    <s v="Anais Orozco"/>
    <s v="Collections Group"/>
    <d v="2025-08-01T00:00:00"/>
    <d v="1899-12-30T12:57:02"/>
    <d v="1899-12-30T22:00:08"/>
    <n v="9.0500000000000007"/>
    <n v="8.15"/>
    <n v="1.04"/>
    <n v="0.56000000000000005"/>
    <n v="0"/>
    <n v="0.16"/>
    <n v="5.18"/>
    <n v="0.34"/>
    <n v="0.81"/>
    <n v="0"/>
    <n v="0"/>
    <n v="7.0000000000000007E-2"/>
    <n v="8.15"/>
    <n v="12.73"/>
    <n v="6.83"/>
    <n v="0"/>
    <n v="2.02"/>
    <n v="63.53"/>
    <n v="4.16"/>
    <n v="9.89"/>
    <n v="0"/>
    <n v="0"/>
    <n v="0.83"/>
    <n v="6"/>
    <x v="3"/>
  </r>
  <r>
    <x v="1"/>
    <x v="125"/>
    <x v="6"/>
    <x v="116"/>
    <n v="59"/>
    <n v="6"/>
    <n v="4"/>
    <n v="11"/>
    <n v="0"/>
    <n v="1"/>
    <n v="29"/>
    <s v="Derice Warnsley"/>
    <s v="Collections Group"/>
    <d v="2025-08-01T00:00:00"/>
    <d v="1899-12-30T13:00:06"/>
    <d v="1899-12-30T22:00:14"/>
    <n v="9"/>
    <n v="9"/>
    <n v="1.18"/>
    <n v="0.09"/>
    <n v="0"/>
    <n v="0.02"/>
    <n v="6.21"/>
    <n v="1.5"/>
    <n v="0"/>
    <n v="0"/>
    <n v="0"/>
    <n v="0"/>
    <n v="9"/>
    <n v="13.13"/>
    <n v="0.96"/>
    <n v="0"/>
    <n v="0.25"/>
    <n v="68.989999999999995"/>
    <n v="16.61"/>
    <n v="0"/>
    <n v="0"/>
    <n v="0"/>
    <n v="0.05"/>
    <n v="6"/>
    <x v="3"/>
  </r>
  <r>
    <x v="2"/>
    <x v="125"/>
    <x v="6"/>
    <x v="108"/>
    <n v="48"/>
    <n v="4"/>
    <n v="6"/>
    <n v="6"/>
    <n v="0"/>
    <n v="0"/>
    <n v="26"/>
    <s v="Isiah Thomas"/>
    <s v="Collections Group"/>
    <d v="2025-08-01T00:00:00"/>
    <d v="1899-12-30T12:58:43"/>
    <d v="1899-12-30T22:00:02"/>
    <n v="9.0299999999999994"/>
    <n v="9.02"/>
    <n v="0.78"/>
    <n v="0"/>
    <n v="0"/>
    <n v="0.22"/>
    <n v="6.52"/>
    <n v="1.49"/>
    <n v="0"/>
    <n v="0"/>
    <n v="0"/>
    <n v="0"/>
    <n v="9.02"/>
    <n v="8.67"/>
    <n v="0"/>
    <n v="0"/>
    <n v="2.4500000000000002"/>
    <n v="72.28"/>
    <n v="16.55"/>
    <n v="0"/>
    <n v="0"/>
    <n v="0"/>
    <n v="0.05"/>
    <n v="6"/>
    <x v="3"/>
  </r>
  <r>
    <x v="3"/>
    <x v="125"/>
    <x v="6"/>
    <x v="211"/>
    <n v="8"/>
    <n v="0"/>
    <n v="0"/>
    <n v="0"/>
    <n v="0"/>
    <n v="0"/>
    <n v="7"/>
    <s v="Jerrod Coleman"/>
    <s v="Collections Group"/>
    <d v="2025-08-01T00:00:00"/>
    <d v="1899-12-30T13:00:20"/>
    <d v="1899-12-30T14:34:23"/>
    <n v="1.57"/>
    <n v="1.57"/>
    <n v="0.05"/>
    <n v="0"/>
    <n v="0"/>
    <n v="0.01"/>
    <n v="1.51"/>
    <n v="0"/>
    <n v="0"/>
    <n v="0"/>
    <n v="0"/>
    <n v="0"/>
    <n v="1.57"/>
    <n v="2.92"/>
    <n v="0"/>
    <n v="0"/>
    <n v="0.37"/>
    <n v="96.49"/>
    <n v="0"/>
    <n v="0"/>
    <n v="0"/>
    <n v="0"/>
    <n v="0.21"/>
    <n v="6"/>
    <x v="3"/>
  </r>
  <r>
    <x v="13"/>
    <x v="125"/>
    <x v="6"/>
    <x v="13"/>
    <n v="2"/>
    <n v="1"/>
    <n v="0"/>
    <n v="0"/>
    <n v="0"/>
    <n v="0"/>
    <n v="0"/>
    <m/>
    <m/>
    <m/>
    <m/>
    <m/>
    <m/>
    <m/>
    <m/>
    <m/>
    <m/>
    <m/>
    <m/>
    <m/>
    <m/>
    <m/>
    <m/>
    <m/>
    <m/>
    <m/>
    <m/>
    <m/>
    <m/>
    <m/>
    <m/>
    <m/>
    <m/>
    <m/>
    <m/>
    <n v="6"/>
    <x v="3"/>
  </r>
  <r>
    <x v="5"/>
    <x v="125"/>
    <x v="6"/>
    <x v="114"/>
    <n v="40"/>
    <n v="5"/>
    <n v="0"/>
    <n v="6"/>
    <n v="0"/>
    <n v="0"/>
    <n v="22"/>
    <s v="Sabigh Masood"/>
    <s v="Collections Group"/>
    <d v="2025-08-01T00:00:00"/>
    <d v="1899-12-30T13:00:19"/>
    <d v="1899-12-30T22:01:06"/>
    <n v="9.02"/>
    <n v="8.9700000000000006"/>
    <n v="0.7"/>
    <n v="0.27"/>
    <n v="0"/>
    <n v="0.2"/>
    <n v="4.8499999999999996"/>
    <n v="1.93"/>
    <n v="1.01"/>
    <n v="0"/>
    <n v="0"/>
    <n v="0.01"/>
    <n v="8.9700000000000006"/>
    <n v="7.76"/>
    <n v="3.02"/>
    <n v="0"/>
    <n v="2.2200000000000002"/>
    <n v="54.13"/>
    <n v="21.55"/>
    <n v="11.25"/>
    <n v="0"/>
    <n v="0"/>
    <n v="7.0000000000000007E-2"/>
    <n v="6"/>
    <x v="3"/>
  </r>
  <r>
    <x v="6"/>
    <x v="125"/>
    <x v="6"/>
    <x v="148"/>
    <n v="0"/>
    <n v="0"/>
    <n v="0"/>
    <n v="0"/>
    <n v="0"/>
    <n v="0"/>
    <n v="0"/>
    <m/>
    <m/>
    <m/>
    <m/>
    <m/>
    <m/>
    <m/>
    <m/>
    <m/>
    <m/>
    <m/>
    <m/>
    <m/>
    <m/>
    <m/>
    <m/>
    <m/>
    <m/>
    <m/>
    <m/>
    <m/>
    <m/>
    <m/>
    <m/>
    <m/>
    <m/>
    <m/>
    <m/>
    <n v="6"/>
    <x v="3"/>
  </r>
  <r>
    <x v="0"/>
    <x v="126"/>
    <x v="7"/>
    <x v="74"/>
    <n v="46"/>
    <n v="0"/>
    <n v="0"/>
    <n v="9"/>
    <n v="3"/>
    <n v="0"/>
    <n v="28"/>
    <s v="Anais Orozco"/>
    <s v="Collections Group"/>
    <d v="2025-07-31T00:00:00"/>
    <d v="1899-12-30T13:00:23"/>
    <d v="1899-12-30T22:00:19"/>
    <n v="9"/>
    <n v="8.09"/>
    <n v="1.0900000000000001"/>
    <n v="0.28000000000000003"/>
    <n v="0"/>
    <n v="0.21"/>
    <n v="5.14"/>
    <n v="0.32"/>
    <n v="1.03"/>
    <n v="0"/>
    <n v="0"/>
    <n v="0.03"/>
    <n v="8.09"/>
    <n v="13.52"/>
    <n v="3.42"/>
    <n v="0"/>
    <n v="2.65"/>
    <n v="63.49"/>
    <n v="3.93"/>
    <n v="12.67"/>
    <n v="0"/>
    <n v="0"/>
    <n v="0.32"/>
    <n v="5"/>
    <x v="4"/>
  </r>
  <r>
    <x v="1"/>
    <x v="126"/>
    <x v="7"/>
    <x v="109"/>
    <n v="64"/>
    <n v="11"/>
    <n v="10"/>
    <n v="13"/>
    <n v="0"/>
    <n v="0"/>
    <n v="26"/>
    <s v="Derice Warnsley"/>
    <s v="Collections Group"/>
    <d v="2025-07-31T00:00:00"/>
    <d v="1899-12-30T13:00:42"/>
    <d v="1899-12-30T22:00:17"/>
    <n v="9"/>
    <n v="8.99"/>
    <n v="1.41"/>
    <n v="7.0000000000000007E-2"/>
    <n v="0"/>
    <n v="0.02"/>
    <n v="5.01"/>
    <n v="1.47"/>
    <n v="1.01"/>
    <n v="0"/>
    <n v="0"/>
    <n v="0"/>
    <n v="8.99"/>
    <n v="15.68"/>
    <n v="0.78"/>
    <n v="0"/>
    <n v="0.17"/>
    <n v="55.74"/>
    <n v="16.34"/>
    <n v="11.25"/>
    <n v="0"/>
    <n v="0"/>
    <n v="0.03"/>
    <n v="5"/>
    <x v="4"/>
  </r>
  <r>
    <x v="2"/>
    <x v="126"/>
    <x v="7"/>
    <x v="121"/>
    <n v="26"/>
    <n v="2"/>
    <n v="4"/>
    <n v="5"/>
    <n v="0"/>
    <n v="0"/>
    <n v="10"/>
    <s v="Isiah Thomas"/>
    <s v="Collections Group"/>
    <d v="2025-07-31T00:00:00"/>
    <d v="1899-12-30T12:57:34"/>
    <d v="1899-12-30T22:00:01"/>
    <n v="9.0500000000000007"/>
    <n v="9.0399999999999991"/>
    <n v="1.32"/>
    <n v="0"/>
    <n v="0"/>
    <n v="0.33"/>
    <n v="4.83"/>
    <n v="1.5"/>
    <n v="1.01"/>
    <n v="0"/>
    <n v="0"/>
    <n v="0.04"/>
    <n v="9.0399999999999991"/>
    <n v="14.59"/>
    <n v="0"/>
    <n v="0"/>
    <n v="3.71"/>
    <n v="53.47"/>
    <n v="16.63"/>
    <n v="11.17"/>
    <n v="0"/>
    <n v="0.01"/>
    <n v="0.42"/>
    <n v="5"/>
    <x v="4"/>
  </r>
  <r>
    <x v="3"/>
    <x v="126"/>
    <x v="7"/>
    <x v="190"/>
    <n v="15"/>
    <n v="5"/>
    <n v="3"/>
    <n v="2"/>
    <n v="0"/>
    <n v="0"/>
    <n v="6"/>
    <s v="Jerrod Coleman"/>
    <s v="Collections Group"/>
    <d v="2025-07-31T00:00:00"/>
    <d v="1899-12-30T13:00:16"/>
    <d v="1899-12-30T17:59:04"/>
    <n v="4.9800000000000004"/>
    <n v="4.9800000000000004"/>
    <n v="0.35"/>
    <n v="0"/>
    <n v="0"/>
    <n v="7.0000000000000007E-2"/>
    <n v="2.06"/>
    <n v="1.19"/>
    <n v="1.3"/>
    <n v="0"/>
    <n v="0"/>
    <n v="0"/>
    <n v="4.9800000000000004"/>
    <n v="7.09"/>
    <n v="0"/>
    <n v="0"/>
    <n v="1.34"/>
    <n v="41.45"/>
    <n v="23.94"/>
    <n v="26.11"/>
    <n v="0"/>
    <n v="0"/>
    <n v="7.0000000000000007E-2"/>
    <n v="5"/>
    <x v="4"/>
  </r>
  <r>
    <x v="5"/>
    <x v="126"/>
    <x v="7"/>
    <x v="104"/>
    <n v="48"/>
    <n v="1"/>
    <n v="5"/>
    <n v="7"/>
    <n v="0"/>
    <n v="0"/>
    <n v="25"/>
    <s v="Sabigh Masood"/>
    <s v="Collections Group"/>
    <d v="2025-07-31T00:00:00"/>
    <d v="1899-12-30T12:59:20"/>
    <d v="1899-12-30T22:07:32"/>
    <n v="9.1300000000000008"/>
    <n v="9.14"/>
    <n v="1.1399999999999999"/>
    <n v="7.0000000000000007E-2"/>
    <n v="0"/>
    <n v="0.45"/>
    <n v="4.13"/>
    <n v="1.46"/>
    <n v="1.88"/>
    <n v="0"/>
    <n v="0"/>
    <n v="0.01"/>
    <n v="9.14"/>
    <n v="12.42"/>
    <n v="0.78"/>
    <n v="0"/>
    <n v="4.93"/>
    <n v="45.2"/>
    <n v="16.02"/>
    <n v="20.59"/>
    <n v="0"/>
    <n v="0"/>
    <n v="0.05"/>
    <n v="5"/>
    <x v="4"/>
  </r>
  <r>
    <x v="6"/>
    <x v="126"/>
    <x v="7"/>
    <x v="212"/>
    <n v="0"/>
    <n v="0"/>
    <n v="0"/>
    <n v="0"/>
    <n v="0"/>
    <n v="0"/>
    <n v="0"/>
    <m/>
    <m/>
    <m/>
    <m/>
    <m/>
    <m/>
    <m/>
    <m/>
    <m/>
    <m/>
    <m/>
    <m/>
    <m/>
    <m/>
    <m/>
    <m/>
    <m/>
    <m/>
    <m/>
    <m/>
    <m/>
    <m/>
    <m/>
    <m/>
    <m/>
    <m/>
    <m/>
    <m/>
    <n v="5"/>
    <x v="4"/>
  </r>
  <r>
    <x v="0"/>
    <x v="127"/>
    <x v="7"/>
    <x v="73"/>
    <n v="49"/>
    <n v="4"/>
    <n v="0"/>
    <n v="8"/>
    <n v="2"/>
    <n v="0"/>
    <n v="32"/>
    <s v="Anais Orozco"/>
    <s v="Collections Group"/>
    <d v="2025-07-30T00:00:00"/>
    <d v="1899-12-30T13:00:51"/>
    <d v="1899-12-30T22:00:11"/>
    <n v="9"/>
    <n v="8.07"/>
    <n v="1.47"/>
    <n v="0.31"/>
    <n v="0"/>
    <n v="0.25"/>
    <n v="5.66"/>
    <n v="0.37"/>
    <n v="0"/>
    <n v="0"/>
    <n v="0"/>
    <n v="0.01"/>
    <n v="8.07"/>
    <n v="18.23"/>
    <n v="3.87"/>
    <n v="0"/>
    <n v="3.13"/>
    <n v="70.12"/>
    <n v="4.5199999999999996"/>
    <n v="0"/>
    <n v="0"/>
    <n v="0"/>
    <n v="0.13"/>
    <n v="4"/>
    <x v="0"/>
  </r>
  <r>
    <x v="1"/>
    <x v="127"/>
    <x v="7"/>
    <x v="120"/>
    <n v="43"/>
    <n v="2"/>
    <n v="2"/>
    <n v="5"/>
    <n v="2"/>
    <n v="0"/>
    <n v="23"/>
    <s v="Derice Warnsley"/>
    <s v="Collections Group"/>
    <d v="2025-07-30T00:00:00"/>
    <d v="1899-12-30T13:00:05"/>
    <d v="1899-12-30T22:00:16"/>
    <n v="9"/>
    <n v="9"/>
    <n v="0.97"/>
    <n v="0.16"/>
    <n v="0"/>
    <n v="0.01"/>
    <n v="6.4"/>
    <n v="1.45"/>
    <n v="0"/>
    <n v="0"/>
    <n v="0"/>
    <n v="0"/>
    <n v="9"/>
    <n v="10.76"/>
    <n v="1.8"/>
    <n v="0"/>
    <n v="0.13"/>
    <n v="71.11"/>
    <n v="16.16"/>
    <n v="0"/>
    <n v="0"/>
    <n v="0"/>
    <n v="0.04"/>
    <n v="4"/>
    <x v="0"/>
  </r>
  <r>
    <x v="2"/>
    <x v="127"/>
    <x v="7"/>
    <x v="76"/>
    <n v="38"/>
    <n v="6"/>
    <n v="0"/>
    <n v="11"/>
    <n v="0"/>
    <n v="2"/>
    <n v="17"/>
    <s v="Isiah Thomas"/>
    <s v="Collections Group"/>
    <d v="2025-07-30T00:00:00"/>
    <d v="1899-12-30T12:54:47"/>
    <d v="1899-12-30T22:00:08"/>
    <n v="9.1"/>
    <n v="9.09"/>
    <n v="0.88"/>
    <n v="0"/>
    <n v="0"/>
    <n v="0.4"/>
    <n v="4.8899999999999997"/>
    <n v="1.5"/>
    <n v="1.35"/>
    <n v="0"/>
    <n v="0"/>
    <n v="0.08"/>
    <n v="9.09"/>
    <n v="9.67"/>
    <n v="0"/>
    <n v="0"/>
    <n v="4.3499999999999996"/>
    <n v="53.82"/>
    <n v="16.52"/>
    <n v="14.81"/>
    <n v="0"/>
    <n v="0"/>
    <n v="0.83"/>
    <n v="4"/>
    <x v="0"/>
  </r>
  <r>
    <x v="3"/>
    <x v="127"/>
    <x v="7"/>
    <x v="213"/>
    <n v="20"/>
    <n v="0"/>
    <n v="3"/>
    <n v="1"/>
    <n v="0"/>
    <n v="1"/>
    <n v="13"/>
    <s v="Jerrod Coleman"/>
    <s v="Collections Group"/>
    <d v="2025-07-30T00:00:00"/>
    <d v="1899-12-30T13:00:13"/>
    <d v="1899-12-30T18:59:12"/>
    <n v="5.98"/>
    <n v="5.98"/>
    <n v="0.27"/>
    <n v="0.27"/>
    <n v="0"/>
    <n v="0.06"/>
    <n v="3.51"/>
    <n v="1.22"/>
    <n v="0.65"/>
    <n v="0"/>
    <n v="0"/>
    <n v="0"/>
    <n v="5.98"/>
    <n v="4.59"/>
    <n v="4.45"/>
    <n v="0"/>
    <n v="1.05"/>
    <n v="58.68"/>
    <n v="20.39"/>
    <n v="10.79"/>
    <n v="0"/>
    <n v="0"/>
    <n v="0.06"/>
    <n v="4"/>
    <x v="0"/>
  </r>
  <r>
    <x v="4"/>
    <x v="127"/>
    <x v="7"/>
    <x v="13"/>
    <n v="1"/>
    <n v="0"/>
    <n v="0"/>
    <n v="1"/>
    <n v="0"/>
    <n v="0"/>
    <n v="0"/>
    <s v="Rosette Rwabugahya"/>
    <s v="Collections Group"/>
    <d v="2025-07-30T00:00:00"/>
    <d v="1899-12-30T13:26:22"/>
    <d v="1899-12-30T13:43:57"/>
    <n v="0.28000000000000003"/>
    <n v="0.28999999999999998"/>
    <n v="0.28000000000000003"/>
    <n v="0"/>
    <n v="0"/>
    <n v="0.01"/>
    <n v="0"/>
    <n v="0"/>
    <n v="0"/>
    <n v="0"/>
    <n v="0"/>
    <n v="0"/>
    <n v="0.28999999999999998"/>
    <n v="94.88"/>
    <n v="0"/>
    <n v="0"/>
    <n v="3.98"/>
    <n v="0"/>
    <n v="0"/>
    <n v="0"/>
    <n v="0"/>
    <n v="0"/>
    <n v="1.1399999999999999"/>
    <n v="4"/>
    <x v="0"/>
  </r>
  <r>
    <x v="5"/>
    <x v="127"/>
    <x v="7"/>
    <x v="178"/>
    <n v="31"/>
    <n v="1"/>
    <n v="3"/>
    <n v="3"/>
    <n v="3"/>
    <n v="0"/>
    <n v="13"/>
    <s v="Sabigh Masood"/>
    <s v="Collections Group"/>
    <d v="2025-07-30T00:00:00"/>
    <d v="1899-12-30T12:59:40"/>
    <d v="1899-12-30T22:08:48"/>
    <n v="9.15"/>
    <n v="9.15"/>
    <n v="1.82"/>
    <n v="0.23"/>
    <n v="0"/>
    <n v="0.48"/>
    <n v="4.32"/>
    <n v="1.45"/>
    <n v="0.81"/>
    <n v="0"/>
    <n v="0.04"/>
    <n v="0"/>
    <n v="9.15"/>
    <n v="19.850000000000001"/>
    <n v="2.5299999999999998"/>
    <n v="0"/>
    <n v="5.22"/>
    <n v="47.16"/>
    <n v="15.89"/>
    <n v="8.83"/>
    <n v="0"/>
    <n v="0.48"/>
    <n v="0.04"/>
    <n v="4"/>
    <x v="0"/>
  </r>
  <r>
    <x v="6"/>
    <x v="127"/>
    <x v="7"/>
    <x v="214"/>
    <n v="0"/>
    <n v="0"/>
    <n v="0"/>
    <n v="0"/>
    <n v="0"/>
    <n v="0"/>
    <n v="0"/>
    <m/>
    <m/>
    <m/>
    <m/>
    <m/>
    <m/>
    <m/>
    <m/>
    <m/>
    <m/>
    <m/>
    <m/>
    <m/>
    <m/>
    <m/>
    <m/>
    <m/>
    <m/>
    <m/>
    <m/>
    <m/>
    <m/>
    <m/>
    <m/>
    <m/>
    <m/>
    <m/>
    <m/>
    <n v="4"/>
    <x v="0"/>
  </r>
  <r>
    <x v="0"/>
    <x v="128"/>
    <x v="7"/>
    <x v="74"/>
    <n v="55"/>
    <n v="1"/>
    <n v="2"/>
    <n v="9"/>
    <n v="1"/>
    <n v="0"/>
    <n v="37"/>
    <s v="Anais Orozco"/>
    <s v="Collections Group"/>
    <d v="2025-07-29T00:00:00"/>
    <d v="1899-12-30T12:58:34"/>
    <d v="1899-12-30T22:00:13"/>
    <n v="9.0299999999999994"/>
    <n v="8.09"/>
    <n v="1.44"/>
    <n v="0.61"/>
    <n v="0"/>
    <n v="0.27"/>
    <n v="5.41"/>
    <n v="0.32"/>
    <n v="0"/>
    <n v="0"/>
    <n v="0"/>
    <n v="0.04"/>
    <n v="8.09"/>
    <n v="17.79"/>
    <n v="7.5"/>
    <n v="0"/>
    <n v="3.35"/>
    <n v="66.930000000000007"/>
    <n v="3.95"/>
    <n v="0"/>
    <n v="0"/>
    <n v="0"/>
    <n v="0.48"/>
    <n v="3"/>
    <x v="1"/>
  </r>
  <r>
    <x v="1"/>
    <x v="128"/>
    <x v="7"/>
    <x v="78"/>
    <n v="85"/>
    <n v="7"/>
    <n v="6"/>
    <n v="9"/>
    <n v="0"/>
    <n v="2"/>
    <n v="32"/>
    <s v="Derice Warnsley"/>
    <s v="Collections Group"/>
    <d v="2025-07-29T00:00:00"/>
    <d v="1899-12-30T13:00:18"/>
    <d v="1899-12-30T22:00:05"/>
    <n v="9"/>
    <n v="9"/>
    <n v="1.85"/>
    <n v="0.16"/>
    <n v="0"/>
    <n v="0.03"/>
    <n v="5.47"/>
    <n v="1.48"/>
    <n v="0"/>
    <n v="0"/>
    <n v="0"/>
    <n v="0"/>
    <n v="9"/>
    <n v="20.54"/>
    <n v="1.78"/>
    <n v="0"/>
    <n v="0.36"/>
    <n v="60.82"/>
    <n v="16.46"/>
    <n v="0"/>
    <n v="0"/>
    <n v="0"/>
    <n v="0.04"/>
    <n v="3"/>
    <x v="1"/>
  </r>
  <r>
    <x v="2"/>
    <x v="128"/>
    <x v="7"/>
    <x v="69"/>
    <n v="72"/>
    <n v="4"/>
    <n v="1"/>
    <n v="16"/>
    <n v="0"/>
    <n v="4"/>
    <n v="25"/>
    <s v="Isiah Thomas"/>
    <s v="Collections Group"/>
    <d v="2025-07-29T00:00:00"/>
    <d v="1899-12-30T12:59:45"/>
    <d v="1899-12-30T22:01:50"/>
    <n v="9.0299999999999994"/>
    <n v="9.0299999999999994"/>
    <n v="2.12"/>
    <n v="0"/>
    <n v="0"/>
    <n v="0.6"/>
    <n v="4.79"/>
    <n v="1.53"/>
    <n v="0"/>
    <n v="0"/>
    <n v="0"/>
    <n v="0"/>
    <n v="9.0299999999999994"/>
    <n v="23.45"/>
    <n v="0"/>
    <n v="0"/>
    <n v="6.59"/>
    <n v="52.99"/>
    <n v="16.93"/>
    <n v="0"/>
    <n v="0"/>
    <n v="0"/>
    <n v="0.05"/>
    <n v="3"/>
    <x v="1"/>
  </r>
  <r>
    <x v="3"/>
    <x v="128"/>
    <x v="7"/>
    <x v="110"/>
    <n v="45"/>
    <n v="8"/>
    <n v="4"/>
    <n v="6"/>
    <n v="0"/>
    <n v="2"/>
    <n v="14"/>
    <s v="Jerrod Coleman"/>
    <s v="Collections Group"/>
    <d v="2025-07-29T00:00:00"/>
    <d v="1899-12-30T13:00:11"/>
    <d v="1899-12-30T21:59:53"/>
    <n v="8.98"/>
    <n v="8.99"/>
    <n v="1.1200000000000001"/>
    <n v="0.12"/>
    <n v="0"/>
    <n v="0.24"/>
    <n v="6.06"/>
    <n v="1.45"/>
    <n v="0"/>
    <n v="0"/>
    <n v="0"/>
    <n v="0"/>
    <n v="8.99"/>
    <n v="12.47"/>
    <n v="1.31"/>
    <n v="0"/>
    <n v="2.67"/>
    <n v="67.34"/>
    <n v="16.16"/>
    <n v="0"/>
    <n v="0"/>
    <n v="0"/>
    <n v="0.04"/>
    <n v="3"/>
    <x v="1"/>
  </r>
  <r>
    <x v="4"/>
    <x v="128"/>
    <x v="7"/>
    <x v="13"/>
    <n v="1"/>
    <n v="0"/>
    <n v="0"/>
    <n v="0"/>
    <n v="0"/>
    <n v="0"/>
    <n v="0"/>
    <s v="Rosette Rwabugahya"/>
    <s v="Collections Group"/>
    <d v="2025-07-29T00:00:00"/>
    <d v="1899-12-30T16:21:29"/>
    <d v="1899-12-30T22:46:44"/>
    <n v="6.42"/>
    <n v="6.42"/>
    <n v="6.41"/>
    <n v="0"/>
    <n v="0"/>
    <n v="0.01"/>
    <n v="0"/>
    <n v="0"/>
    <n v="0"/>
    <n v="0"/>
    <n v="0"/>
    <n v="0.01"/>
    <n v="6.42"/>
    <n v="99.84"/>
    <n v="0"/>
    <n v="0"/>
    <n v="0.08"/>
    <n v="0"/>
    <n v="0"/>
    <n v="0"/>
    <n v="0"/>
    <n v="0"/>
    <n v="0.08"/>
    <n v="3"/>
    <x v="1"/>
  </r>
  <r>
    <x v="5"/>
    <x v="128"/>
    <x v="7"/>
    <x v="110"/>
    <n v="63"/>
    <n v="3"/>
    <n v="2"/>
    <n v="6"/>
    <n v="1"/>
    <n v="0"/>
    <n v="33"/>
    <s v="Sabigh Masood"/>
    <s v="Collections Group"/>
    <d v="2025-07-29T00:00:00"/>
    <d v="1899-12-30T12:59:25"/>
    <d v="1899-12-30T22:02:01"/>
    <n v="9.0500000000000007"/>
    <n v="9.0399999999999991"/>
    <n v="1.32"/>
    <n v="0.1"/>
    <n v="0"/>
    <n v="0.3"/>
    <n v="5.8"/>
    <n v="1.51"/>
    <n v="0"/>
    <n v="0"/>
    <n v="0.02"/>
    <n v="0"/>
    <n v="9.0399999999999991"/>
    <n v="14.58"/>
    <n v="1.1599999999999999"/>
    <n v="0"/>
    <n v="3.27"/>
    <n v="64.14"/>
    <n v="16.64"/>
    <n v="0"/>
    <n v="0"/>
    <n v="0.17"/>
    <n v="0.04"/>
    <n v="3"/>
    <x v="1"/>
  </r>
  <r>
    <x v="6"/>
    <x v="128"/>
    <x v="7"/>
    <x v="215"/>
    <n v="0"/>
    <n v="0"/>
    <n v="0"/>
    <n v="0"/>
    <n v="0"/>
    <n v="0"/>
    <n v="0"/>
    <m/>
    <m/>
    <m/>
    <m/>
    <m/>
    <m/>
    <m/>
    <m/>
    <m/>
    <m/>
    <m/>
    <m/>
    <m/>
    <m/>
    <m/>
    <m/>
    <m/>
    <m/>
    <m/>
    <m/>
    <m/>
    <m/>
    <m/>
    <m/>
    <m/>
    <m/>
    <m/>
    <m/>
    <n v="3"/>
    <x v="1"/>
  </r>
  <r>
    <x v="0"/>
    <x v="129"/>
    <x v="7"/>
    <x v="120"/>
    <n v="56"/>
    <n v="3"/>
    <n v="3"/>
    <n v="4"/>
    <n v="1"/>
    <n v="0"/>
    <n v="33"/>
    <s v="Anais Orozco"/>
    <s v="Collections Group"/>
    <d v="2025-07-28T00:00:00"/>
    <d v="1899-12-30T13:00:34"/>
    <d v="1899-12-30T22:00:25"/>
    <n v="9"/>
    <n v="8.08"/>
    <n v="0.9"/>
    <n v="0.48"/>
    <n v="0"/>
    <n v="0.19"/>
    <n v="5.92"/>
    <n v="0.56999999999999995"/>
    <n v="0"/>
    <n v="0"/>
    <n v="0"/>
    <n v="0.01"/>
    <n v="8.08"/>
    <n v="11.13"/>
    <n v="5.97"/>
    <n v="0"/>
    <n v="2.31"/>
    <n v="73.349999999999994"/>
    <n v="7.11"/>
    <n v="0"/>
    <n v="0"/>
    <n v="0"/>
    <n v="0.13"/>
    <n v="2"/>
    <x v="2"/>
  </r>
  <r>
    <x v="1"/>
    <x v="129"/>
    <x v="7"/>
    <x v="24"/>
    <n v="30"/>
    <n v="2"/>
    <n v="1"/>
    <n v="3"/>
    <n v="0"/>
    <n v="1"/>
    <n v="14"/>
    <s v="Derice Warnsley"/>
    <s v="Collections Group"/>
    <d v="2025-07-28T00:00:00"/>
    <d v="1899-12-30T13:00:08"/>
    <d v="1899-12-30T22:00:08"/>
    <n v="9"/>
    <n v="9"/>
    <n v="0.79"/>
    <n v="0.16"/>
    <n v="0"/>
    <n v="0.01"/>
    <n v="6.57"/>
    <n v="1.46"/>
    <n v="0"/>
    <n v="0"/>
    <n v="0"/>
    <n v="0"/>
    <n v="9"/>
    <n v="8.81"/>
    <n v="1.74"/>
    <n v="0"/>
    <n v="0.15"/>
    <n v="73.010000000000005"/>
    <n v="16.239999999999998"/>
    <n v="0"/>
    <n v="0"/>
    <n v="0"/>
    <n v="0.04"/>
    <n v="2"/>
    <x v="2"/>
  </r>
  <r>
    <x v="2"/>
    <x v="129"/>
    <x v="7"/>
    <x v="121"/>
    <n v="28"/>
    <n v="1"/>
    <n v="2"/>
    <n v="7"/>
    <n v="0"/>
    <n v="0"/>
    <n v="14"/>
    <s v="Isiah Thomas"/>
    <s v="Collections Group"/>
    <d v="2025-07-28T00:00:00"/>
    <d v="1899-12-30T12:59:23"/>
    <d v="1899-12-30T22:00:21"/>
    <n v="9.02"/>
    <n v="9.02"/>
    <n v="0.75"/>
    <n v="0"/>
    <n v="0"/>
    <n v="0.28000000000000003"/>
    <n v="5.93"/>
    <n v="1.5"/>
    <n v="0.54"/>
    <n v="0"/>
    <n v="0"/>
    <n v="0.01"/>
    <n v="9.02"/>
    <n v="8.34"/>
    <n v="0"/>
    <n v="0"/>
    <n v="3.13"/>
    <n v="65.73"/>
    <n v="16.68"/>
    <n v="6.01"/>
    <n v="0"/>
    <n v="0"/>
    <n v="0.1"/>
    <n v="2"/>
    <x v="2"/>
  </r>
  <r>
    <x v="3"/>
    <x v="129"/>
    <x v="7"/>
    <x v="121"/>
    <n v="20"/>
    <n v="1"/>
    <n v="6"/>
    <n v="4"/>
    <n v="0"/>
    <n v="0"/>
    <n v="6"/>
    <s v="Jerrod Coleman"/>
    <s v="Collections Group"/>
    <d v="2025-07-28T00:00:00"/>
    <d v="1899-12-30T13:00:23"/>
    <d v="1899-12-30T21:58:50"/>
    <n v="8.9700000000000006"/>
    <n v="8.9700000000000006"/>
    <n v="0.95"/>
    <n v="0.26"/>
    <n v="0"/>
    <n v="0.06"/>
    <n v="6.26"/>
    <n v="1.44"/>
    <n v="0"/>
    <n v="0"/>
    <n v="0"/>
    <n v="0"/>
    <n v="8.9700000000000006"/>
    <n v="10.61"/>
    <n v="2.93"/>
    <n v="0"/>
    <n v="0.62"/>
    <n v="69.790000000000006"/>
    <n v="16"/>
    <n v="0"/>
    <n v="0"/>
    <n v="0"/>
    <n v="0.04"/>
    <n v="2"/>
    <x v="2"/>
  </r>
  <r>
    <x v="5"/>
    <x v="129"/>
    <x v="7"/>
    <x v="76"/>
    <n v="46"/>
    <n v="1"/>
    <n v="5"/>
    <n v="4"/>
    <n v="7"/>
    <n v="0"/>
    <n v="20"/>
    <s v="Sabigh Masood"/>
    <s v="Collections Group"/>
    <d v="2025-07-28T00:00:00"/>
    <d v="1899-12-30T13:00:06"/>
    <d v="1899-12-30T22:01:12"/>
    <n v="9.02"/>
    <n v="9.02"/>
    <n v="1.07"/>
    <n v="0.18"/>
    <n v="0"/>
    <n v="0.34"/>
    <n v="5.95"/>
    <n v="1.47"/>
    <n v="0"/>
    <n v="0"/>
    <n v="0"/>
    <n v="0"/>
    <n v="9.02"/>
    <n v="11.9"/>
    <n v="2.04"/>
    <n v="0"/>
    <n v="3.74"/>
    <n v="65.97"/>
    <n v="16.309999999999999"/>
    <n v="0"/>
    <n v="0"/>
    <n v="0"/>
    <n v="0.04"/>
    <n v="2"/>
    <x v="2"/>
  </r>
  <r>
    <x v="6"/>
    <x v="129"/>
    <x v="7"/>
    <x v="202"/>
    <n v="0"/>
    <n v="0"/>
    <n v="0"/>
    <n v="0"/>
    <n v="0"/>
    <n v="0"/>
    <n v="0"/>
    <m/>
    <m/>
    <m/>
    <m/>
    <m/>
    <m/>
    <m/>
    <m/>
    <m/>
    <m/>
    <m/>
    <m/>
    <m/>
    <m/>
    <m/>
    <m/>
    <m/>
    <m/>
    <m/>
    <m/>
    <m/>
    <m/>
    <m/>
    <m/>
    <m/>
    <m/>
    <m/>
    <m/>
    <n v="2"/>
    <x v="2"/>
  </r>
  <r>
    <x v="0"/>
    <x v="130"/>
    <x v="7"/>
    <x v="76"/>
    <n v="32"/>
    <n v="3"/>
    <n v="2"/>
    <n v="1"/>
    <n v="0"/>
    <n v="0"/>
    <n v="14"/>
    <s v="Anais Orozco"/>
    <s v="Collections Group"/>
    <d v="2025-07-25T00:00:00"/>
    <d v="1899-12-30T13:01:39"/>
    <d v="1899-12-30T22:00:40"/>
    <n v="8.98"/>
    <n v="7.96"/>
    <n v="1.0900000000000001"/>
    <n v="0.22"/>
    <n v="0"/>
    <n v="0.18"/>
    <n v="5.91"/>
    <n v="0.15"/>
    <n v="0.33"/>
    <n v="0"/>
    <n v="0"/>
    <n v="0.09"/>
    <n v="7.96"/>
    <n v="13.68"/>
    <n v="2.76"/>
    <n v="0"/>
    <n v="2.23"/>
    <n v="74.22"/>
    <n v="1.83"/>
    <n v="4.0999999999999996"/>
    <n v="0"/>
    <n v="0"/>
    <n v="1.19"/>
    <n v="6"/>
    <x v="3"/>
  </r>
  <r>
    <x v="15"/>
    <x v="130"/>
    <x v="7"/>
    <x v="178"/>
    <n v="28"/>
    <n v="1"/>
    <n v="0"/>
    <n v="4"/>
    <n v="0"/>
    <n v="0"/>
    <n v="15"/>
    <s v="Candace Smith"/>
    <s v="Collections Group"/>
    <d v="2025-07-25T00:00:00"/>
    <d v="1899-12-30T12:59:57"/>
    <d v="1899-12-30T20:58:50"/>
    <n v="7.98"/>
    <n v="7.31"/>
    <n v="0.45"/>
    <n v="1.06"/>
    <n v="0"/>
    <n v="0.33"/>
    <n v="4.4400000000000004"/>
    <n v="0.92"/>
    <n v="0"/>
    <n v="0"/>
    <n v="0"/>
    <n v="0.11"/>
    <n v="7.31"/>
    <n v="6.18"/>
    <n v="14.52"/>
    <n v="0"/>
    <n v="4.55"/>
    <n v="60.74"/>
    <n v="12.55"/>
    <n v="0"/>
    <n v="0"/>
    <n v="0"/>
    <n v="1.47"/>
    <n v="6"/>
    <x v="3"/>
  </r>
  <r>
    <x v="2"/>
    <x v="130"/>
    <x v="7"/>
    <x v="74"/>
    <n v="36"/>
    <n v="5"/>
    <n v="1"/>
    <n v="8"/>
    <n v="1"/>
    <n v="0"/>
    <n v="14"/>
    <s v="Isiah Thomas"/>
    <s v="Collections Group"/>
    <d v="2025-07-25T00:00:00"/>
    <d v="1899-12-30T12:59:33"/>
    <d v="1899-12-30T22:00:22"/>
    <n v="9.02"/>
    <n v="9.01"/>
    <n v="1.01"/>
    <n v="0"/>
    <n v="0"/>
    <n v="0.31"/>
    <n v="6.2"/>
    <n v="1.49"/>
    <n v="0"/>
    <n v="0"/>
    <n v="0"/>
    <n v="0"/>
    <n v="9.01"/>
    <n v="11.23"/>
    <n v="0"/>
    <n v="0"/>
    <n v="3.4"/>
    <n v="68.75"/>
    <n v="16.579999999999998"/>
    <n v="0"/>
    <n v="0"/>
    <n v="0"/>
    <n v="0.04"/>
    <n v="6"/>
    <x v="3"/>
  </r>
  <r>
    <x v="3"/>
    <x v="130"/>
    <x v="7"/>
    <x v="74"/>
    <n v="34"/>
    <n v="6"/>
    <n v="6"/>
    <n v="4"/>
    <n v="0"/>
    <n v="0"/>
    <n v="8"/>
    <s v="Jerrod Coleman"/>
    <s v="Collections Group"/>
    <d v="2025-07-25T00:00:00"/>
    <d v="1899-12-30T13:00:14"/>
    <d v="1899-12-30T21:59:14"/>
    <n v="8.98"/>
    <n v="8.7100000000000009"/>
    <n v="1.02"/>
    <n v="0.24"/>
    <n v="0"/>
    <n v="0.08"/>
    <n v="5.91"/>
    <n v="1.46"/>
    <n v="0"/>
    <n v="0"/>
    <n v="0"/>
    <n v="0.01"/>
    <n v="8.7100000000000009"/>
    <n v="11.68"/>
    <n v="2.72"/>
    <n v="0"/>
    <n v="0.89"/>
    <n v="67.91"/>
    <n v="16.72"/>
    <n v="0"/>
    <n v="0"/>
    <n v="0"/>
    <n v="7.0000000000000007E-2"/>
    <n v="6"/>
    <x v="3"/>
  </r>
  <r>
    <x v="4"/>
    <x v="130"/>
    <x v="7"/>
    <x v="13"/>
    <n v="2"/>
    <n v="0"/>
    <n v="0"/>
    <n v="2"/>
    <n v="0"/>
    <n v="0"/>
    <n v="0"/>
    <s v="Rosette Rwabugahya"/>
    <s v="Collections Group"/>
    <d v="2025-07-25T00:00:00"/>
    <d v="1899-12-30T13:38:08"/>
    <d v="1899-12-30T15:36:34"/>
    <n v="1.97"/>
    <n v="1.48"/>
    <n v="1.44"/>
    <n v="0"/>
    <n v="0"/>
    <n v="0.02"/>
    <n v="0"/>
    <n v="0"/>
    <n v="0"/>
    <n v="0"/>
    <n v="0"/>
    <n v="0.02"/>
    <n v="1.48"/>
    <n v="97.3"/>
    <n v="0"/>
    <n v="0"/>
    <n v="1.58"/>
    <n v="0"/>
    <n v="0"/>
    <n v="0"/>
    <n v="0"/>
    <n v="0"/>
    <n v="1.1299999999999999"/>
    <n v="6"/>
    <x v="3"/>
  </r>
  <r>
    <x v="5"/>
    <x v="130"/>
    <x v="7"/>
    <x v="178"/>
    <n v="42"/>
    <n v="4"/>
    <n v="1"/>
    <n v="6"/>
    <n v="1"/>
    <n v="0"/>
    <n v="19"/>
    <s v="Sabigh Masood"/>
    <s v="Collections Group"/>
    <d v="2025-07-25T00:00:00"/>
    <d v="1899-12-30T13:00:11"/>
    <d v="1899-12-30T22:00:58"/>
    <n v="9"/>
    <n v="9.01"/>
    <n v="1.49"/>
    <n v="0.25"/>
    <n v="0"/>
    <n v="0.41"/>
    <n v="4.87"/>
    <n v="1.99"/>
    <n v="0"/>
    <n v="0"/>
    <n v="0"/>
    <n v="0"/>
    <n v="9.01"/>
    <n v="16.55"/>
    <n v="2.83"/>
    <n v="0"/>
    <n v="4.5599999999999996"/>
    <n v="54"/>
    <n v="22.03"/>
    <n v="0"/>
    <n v="0"/>
    <n v="0"/>
    <n v="0.04"/>
    <n v="6"/>
    <x v="3"/>
  </r>
  <r>
    <x v="6"/>
    <x v="130"/>
    <x v="7"/>
    <x v="216"/>
    <n v="0"/>
    <n v="0"/>
    <n v="0"/>
    <n v="0"/>
    <n v="0"/>
    <n v="0"/>
    <n v="0"/>
    <m/>
    <m/>
    <m/>
    <m/>
    <m/>
    <m/>
    <m/>
    <m/>
    <m/>
    <m/>
    <m/>
    <m/>
    <m/>
    <m/>
    <m/>
    <m/>
    <m/>
    <m/>
    <m/>
    <m/>
    <m/>
    <m/>
    <m/>
    <m/>
    <m/>
    <m/>
    <m/>
    <m/>
    <n v="6"/>
    <x v="3"/>
  </r>
  <r>
    <x v="0"/>
    <x v="131"/>
    <x v="7"/>
    <x v="178"/>
    <n v="30"/>
    <n v="1"/>
    <n v="3"/>
    <n v="3"/>
    <n v="0"/>
    <n v="0"/>
    <n v="19"/>
    <s v="Anais Orozco"/>
    <s v="Collections Group"/>
    <d v="2025-07-24T00:00:00"/>
    <d v="1899-12-30T13:00:49"/>
    <d v="1899-12-30T22:00:13"/>
    <n v="9"/>
    <n v="8.07"/>
    <n v="0.75"/>
    <n v="0.18"/>
    <n v="0"/>
    <n v="0.14000000000000001"/>
    <n v="6.06"/>
    <n v="0.5"/>
    <n v="0.42"/>
    <n v="0"/>
    <n v="0"/>
    <n v="0.02"/>
    <n v="8.07"/>
    <n v="9.2799999999999994"/>
    <n v="2.19"/>
    <n v="0"/>
    <n v="1.77"/>
    <n v="75.09"/>
    <n v="6.24"/>
    <n v="5.2"/>
    <n v="0"/>
    <n v="0"/>
    <n v="0.23"/>
    <n v="5"/>
    <x v="4"/>
  </r>
  <r>
    <x v="15"/>
    <x v="131"/>
    <x v="7"/>
    <x v="168"/>
    <n v="12"/>
    <n v="0"/>
    <n v="0"/>
    <n v="1"/>
    <n v="2"/>
    <n v="0"/>
    <n v="6"/>
    <s v="Candace Smith"/>
    <s v="Collections Group"/>
    <d v="2025-07-24T00:00:00"/>
    <d v="1899-12-30T12:59:47"/>
    <d v="1899-12-30T21:59:30"/>
    <n v="9"/>
    <n v="7.31"/>
    <n v="0.37"/>
    <n v="0"/>
    <n v="0"/>
    <n v="0.23"/>
    <n v="4.1500000000000004"/>
    <n v="0"/>
    <n v="2.5099999999999998"/>
    <n v="0"/>
    <n v="0"/>
    <n v="0.05"/>
    <n v="7.31"/>
    <n v="5.04"/>
    <n v="0"/>
    <n v="0"/>
    <n v="3.14"/>
    <n v="56.81"/>
    <n v="0"/>
    <n v="34.4"/>
    <n v="0"/>
    <n v="0"/>
    <n v="0.62"/>
    <n v="5"/>
    <x v="4"/>
  </r>
  <r>
    <x v="1"/>
    <x v="131"/>
    <x v="7"/>
    <x v="74"/>
    <n v="35"/>
    <n v="3"/>
    <n v="0"/>
    <n v="4"/>
    <n v="0"/>
    <n v="0"/>
    <n v="16"/>
    <s v="Derice Warnsley"/>
    <s v="Collections Group"/>
    <d v="2025-07-24T00:00:00"/>
    <d v="1899-12-30T13:00:15"/>
    <d v="1899-12-30T22:00:05"/>
    <n v="9"/>
    <n v="9"/>
    <n v="0.91"/>
    <n v="0.12"/>
    <n v="0"/>
    <n v="0.03"/>
    <n v="6.05"/>
    <n v="1.47"/>
    <n v="0.41"/>
    <n v="0"/>
    <n v="0"/>
    <n v="0"/>
    <n v="9"/>
    <n v="10.17"/>
    <n v="1.31"/>
    <n v="0"/>
    <n v="0.28999999999999998"/>
    <n v="67.22"/>
    <n v="16.36"/>
    <n v="4.6100000000000003"/>
    <n v="0"/>
    <n v="0"/>
    <n v="0.04"/>
    <n v="5"/>
    <x v="4"/>
  </r>
  <r>
    <x v="2"/>
    <x v="131"/>
    <x v="7"/>
    <x v="178"/>
    <n v="42"/>
    <n v="5"/>
    <n v="3"/>
    <n v="5"/>
    <n v="0"/>
    <n v="1"/>
    <n v="12"/>
    <s v="Isiah Thomas"/>
    <s v="Collections Group"/>
    <d v="2025-07-24T00:00:00"/>
    <d v="1899-12-30T12:59:43"/>
    <d v="1899-12-30T22:02:08"/>
    <n v="9.0500000000000007"/>
    <n v="9.0399999999999991"/>
    <n v="1.17"/>
    <n v="0"/>
    <n v="0"/>
    <n v="0.25"/>
    <n v="4.68"/>
    <n v="1.49"/>
    <n v="1.44"/>
    <n v="0"/>
    <n v="0"/>
    <n v="0"/>
    <n v="9.0399999999999991"/>
    <n v="12.96"/>
    <n v="0"/>
    <n v="0"/>
    <n v="2.8"/>
    <n v="51.76"/>
    <n v="16.52"/>
    <n v="15.92"/>
    <n v="0"/>
    <n v="0"/>
    <n v="0.04"/>
    <n v="5"/>
    <x v="4"/>
  </r>
  <r>
    <x v="3"/>
    <x v="131"/>
    <x v="7"/>
    <x v="74"/>
    <n v="39"/>
    <n v="8"/>
    <n v="4"/>
    <n v="1"/>
    <n v="0"/>
    <n v="0"/>
    <n v="15"/>
    <s v="Jerrod Coleman"/>
    <s v="Collections Group"/>
    <d v="2025-07-24T00:00:00"/>
    <d v="1899-12-30T13:00:30"/>
    <d v="1899-12-30T22:01:05"/>
    <n v="9.02"/>
    <n v="9.01"/>
    <n v="1.24"/>
    <n v="0.22"/>
    <n v="0"/>
    <n v="0.1"/>
    <n v="5.58"/>
    <n v="1.46"/>
    <n v="0.4"/>
    <n v="0"/>
    <n v="0"/>
    <n v="0"/>
    <n v="9.01"/>
    <n v="13.81"/>
    <n v="2.4"/>
    <n v="0"/>
    <n v="1.1399999999999999"/>
    <n v="61.97"/>
    <n v="16.170000000000002"/>
    <n v="4.46"/>
    <n v="0"/>
    <n v="0"/>
    <n v="0.04"/>
    <n v="5"/>
    <x v="4"/>
  </r>
  <r>
    <x v="5"/>
    <x v="131"/>
    <x v="7"/>
    <x v="73"/>
    <n v="41"/>
    <n v="10"/>
    <n v="3"/>
    <n v="2"/>
    <n v="1"/>
    <n v="0"/>
    <n v="17"/>
    <s v="Sabigh Masood"/>
    <s v="Collections Group"/>
    <d v="2025-07-24T00:00:00"/>
    <d v="1899-12-30T12:59:29"/>
    <d v="1899-12-30T22:05:48"/>
    <n v="9.1"/>
    <n v="9.1"/>
    <n v="1.26"/>
    <n v="0.13"/>
    <n v="0"/>
    <n v="0.4"/>
    <n v="5.37"/>
    <n v="1.51"/>
    <n v="0.43"/>
    <n v="0"/>
    <n v="0"/>
    <n v="0"/>
    <n v="9.1"/>
    <n v="13.81"/>
    <n v="1.46"/>
    <n v="0"/>
    <n v="4.38"/>
    <n v="59.03"/>
    <n v="16.600000000000001"/>
    <n v="4.68"/>
    <n v="0"/>
    <n v="0"/>
    <n v="0.04"/>
    <n v="5"/>
    <x v="4"/>
  </r>
  <r>
    <x v="6"/>
    <x v="131"/>
    <x v="7"/>
    <x v="217"/>
    <n v="0"/>
    <n v="0"/>
    <n v="0"/>
    <n v="0"/>
    <n v="0"/>
    <n v="0"/>
    <n v="0"/>
    <m/>
    <m/>
    <m/>
    <m/>
    <m/>
    <m/>
    <m/>
    <m/>
    <m/>
    <m/>
    <m/>
    <m/>
    <m/>
    <m/>
    <m/>
    <m/>
    <m/>
    <m/>
    <m/>
    <m/>
    <m/>
    <m/>
    <m/>
    <m/>
    <m/>
    <m/>
    <m/>
    <m/>
    <n v="5"/>
    <x v="4"/>
  </r>
  <r>
    <x v="0"/>
    <x v="132"/>
    <x v="7"/>
    <x v="74"/>
    <n v="55"/>
    <n v="1"/>
    <n v="1"/>
    <n v="2"/>
    <n v="0"/>
    <n v="4"/>
    <n v="32"/>
    <s v="Anais Orozco"/>
    <s v="Collections Group"/>
    <d v="2025-07-23T00:00:00"/>
    <d v="1899-12-30T13:00:58"/>
    <d v="1899-12-30T22:00:23"/>
    <n v="9"/>
    <n v="8.07"/>
    <n v="1.08"/>
    <n v="0.54"/>
    <n v="0"/>
    <n v="0.14000000000000001"/>
    <n v="5.34"/>
    <n v="0.49"/>
    <n v="0.48"/>
    <n v="0"/>
    <n v="0"/>
    <n v="0.01"/>
    <n v="8.07"/>
    <n v="13.38"/>
    <n v="6.65"/>
    <n v="0"/>
    <n v="1.68"/>
    <n v="66.180000000000007"/>
    <n v="6.09"/>
    <n v="5.89"/>
    <n v="0"/>
    <n v="0"/>
    <n v="0.14000000000000001"/>
    <n v="4"/>
    <x v="0"/>
  </r>
  <r>
    <x v="15"/>
    <x v="132"/>
    <x v="7"/>
    <x v="147"/>
    <n v="26"/>
    <n v="1"/>
    <n v="0"/>
    <n v="2"/>
    <n v="0"/>
    <n v="0"/>
    <n v="17"/>
    <s v="Candace Smith"/>
    <s v="Collections Group"/>
    <d v="2025-07-23T00:00:00"/>
    <d v="1899-12-30T12:58:59"/>
    <d v="1899-12-30T21:57:06"/>
    <n v="8.98"/>
    <n v="8.15"/>
    <n v="0.35"/>
    <n v="1"/>
    <n v="0"/>
    <n v="0.32"/>
    <n v="5.73"/>
    <n v="0.72"/>
    <n v="0"/>
    <n v="0"/>
    <n v="0"/>
    <n v="0.02"/>
    <n v="8.15"/>
    <n v="4.26"/>
    <n v="12.32"/>
    <n v="0"/>
    <n v="3.96"/>
    <n v="70.38"/>
    <n v="8.83"/>
    <n v="0"/>
    <n v="0"/>
    <n v="0.02"/>
    <n v="0.23"/>
    <n v="4"/>
    <x v="0"/>
  </r>
  <r>
    <x v="1"/>
    <x v="132"/>
    <x v="7"/>
    <x v="74"/>
    <n v="43"/>
    <n v="3"/>
    <n v="6"/>
    <n v="1"/>
    <n v="1"/>
    <n v="0"/>
    <n v="19"/>
    <s v="Derice Warnsley"/>
    <s v="Collections Group"/>
    <d v="2025-07-23T00:00:00"/>
    <d v="1899-12-30T13:00:05"/>
    <d v="1899-12-30T22:00:08"/>
    <n v="9"/>
    <n v="9"/>
    <n v="1.37"/>
    <n v="0.11"/>
    <n v="0"/>
    <n v="0.03"/>
    <n v="6.02"/>
    <n v="1.46"/>
    <n v="0"/>
    <n v="0"/>
    <n v="0"/>
    <n v="0"/>
    <n v="9"/>
    <n v="15.25"/>
    <n v="1.23"/>
    <n v="0"/>
    <n v="0.32"/>
    <n v="66.92"/>
    <n v="16.23"/>
    <n v="0"/>
    <n v="0"/>
    <n v="0"/>
    <n v="0.05"/>
    <n v="4"/>
    <x v="0"/>
  </r>
  <r>
    <x v="2"/>
    <x v="132"/>
    <x v="7"/>
    <x v="76"/>
    <n v="33"/>
    <n v="2"/>
    <n v="0"/>
    <n v="7"/>
    <n v="1"/>
    <n v="2"/>
    <n v="11"/>
    <s v="Isiah Thomas"/>
    <s v="Collections Group"/>
    <d v="2025-07-23T00:00:00"/>
    <d v="1899-12-30T12:59:42"/>
    <d v="1899-12-30T22:00:12"/>
    <n v="9.02"/>
    <n v="9.01"/>
    <n v="1.22"/>
    <n v="0"/>
    <n v="0"/>
    <n v="0.46"/>
    <n v="5.81"/>
    <n v="1.51"/>
    <n v="0"/>
    <n v="0"/>
    <n v="0"/>
    <n v="0"/>
    <n v="9.01"/>
    <n v="13.55"/>
    <n v="0"/>
    <n v="0"/>
    <n v="5.12"/>
    <n v="64.52"/>
    <n v="16.75"/>
    <n v="0"/>
    <n v="0"/>
    <n v="0"/>
    <n v="0.05"/>
    <n v="4"/>
    <x v="0"/>
  </r>
  <r>
    <x v="3"/>
    <x v="132"/>
    <x v="7"/>
    <x v="116"/>
    <n v="63"/>
    <n v="1"/>
    <n v="2"/>
    <n v="3"/>
    <n v="0"/>
    <n v="1"/>
    <n v="30"/>
    <s v="Jerrod Coleman"/>
    <s v="Collections Group"/>
    <d v="2025-07-23T00:00:00"/>
    <d v="1899-12-30T13:00:08"/>
    <d v="1899-12-30T21:59:47"/>
    <n v="8.98"/>
    <n v="8.99"/>
    <n v="0.66"/>
    <n v="0.19"/>
    <n v="0"/>
    <n v="0.13"/>
    <n v="6.54"/>
    <n v="1.47"/>
    <n v="0"/>
    <n v="0"/>
    <n v="0"/>
    <n v="0.01"/>
    <n v="8.99"/>
    <n v="7.39"/>
    <n v="2.08"/>
    <n v="0"/>
    <n v="1.47"/>
    <n v="72.72"/>
    <n v="16.29"/>
    <n v="0"/>
    <n v="0"/>
    <n v="0"/>
    <n v="0.06"/>
    <n v="4"/>
    <x v="0"/>
  </r>
  <r>
    <x v="5"/>
    <x v="132"/>
    <x v="7"/>
    <x v="114"/>
    <n v="30"/>
    <n v="1"/>
    <n v="3"/>
    <n v="1"/>
    <n v="0"/>
    <n v="0"/>
    <n v="20"/>
    <s v="Sabigh Masood"/>
    <s v="Collections Group"/>
    <d v="2025-07-23T00:00:00"/>
    <d v="1899-12-30T12:59:57"/>
    <d v="1899-12-30T22:00:51"/>
    <n v="9.02"/>
    <n v="8.52"/>
    <n v="0.4"/>
    <n v="0.27"/>
    <n v="0"/>
    <n v="0.2"/>
    <n v="6.07"/>
    <n v="1.04"/>
    <n v="0.41"/>
    <n v="0"/>
    <n v="0.11"/>
    <n v="0.03"/>
    <n v="8.52"/>
    <n v="4.68"/>
    <n v="3.15"/>
    <n v="0"/>
    <n v="2.33"/>
    <n v="71.209999999999994"/>
    <n v="12.22"/>
    <n v="4.76"/>
    <n v="0"/>
    <n v="1.32"/>
    <n v="0.32"/>
    <n v="4"/>
    <x v="0"/>
  </r>
  <r>
    <x v="6"/>
    <x v="132"/>
    <x v="7"/>
    <x v="218"/>
    <n v="0"/>
    <n v="0"/>
    <n v="0"/>
    <n v="0"/>
    <n v="0"/>
    <n v="0"/>
    <n v="0"/>
    <m/>
    <m/>
    <m/>
    <m/>
    <m/>
    <m/>
    <m/>
    <m/>
    <m/>
    <m/>
    <m/>
    <m/>
    <m/>
    <m/>
    <m/>
    <m/>
    <m/>
    <m/>
    <m/>
    <m/>
    <m/>
    <m/>
    <m/>
    <m/>
    <m/>
    <m/>
    <m/>
    <m/>
    <n v="4"/>
    <x v="0"/>
  </r>
  <r>
    <x v="0"/>
    <x v="133"/>
    <x v="7"/>
    <x v="104"/>
    <n v="50"/>
    <n v="1"/>
    <n v="5"/>
    <n v="11"/>
    <n v="2"/>
    <n v="0"/>
    <n v="20"/>
    <s v="Anais Orozco"/>
    <s v="Collections Group"/>
    <d v="2025-07-22T00:00:00"/>
    <d v="1899-12-30T13:00:09"/>
    <d v="1899-12-30T22:00:28"/>
    <n v="9"/>
    <n v="8.11"/>
    <n v="1.35"/>
    <n v="0.03"/>
    <n v="0"/>
    <n v="0.4"/>
    <n v="5.77"/>
    <n v="0.54"/>
    <n v="0"/>
    <n v="0"/>
    <n v="0"/>
    <n v="0.02"/>
    <n v="8.11"/>
    <n v="16.61"/>
    <n v="0.33"/>
    <n v="0"/>
    <n v="4.9800000000000004"/>
    <n v="71.12"/>
    <n v="6.71"/>
    <n v="0"/>
    <n v="0"/>
    <n v="0"/>
    <n v="0.26"/>
    <n v="3"/>
    <x v="1"/>
  </r>
  <r>
    <x v="15"/>
    <x v="133"/>
    <x v="7"/>
    <x v="114"/>
    <n v="29"/>
    <n v="1"/>
    <n v="0"/>
    <n v="9"/>
    <n v="0"/>
    <n v="0"/>
    <n v="10"/>
    <s v="Candace Smith"/>
    <s v="Collections Group"/>
    <d v="2025-07-22T00:00:00"/>
    <d v="1899-12-30T12:58:25"/>
    <d v="1899-12-30T21:59:25"/>
    <n v="9.02"/>
    <n v="8.15"/>
    <n v="1.02"/>
    <n v="0.54"/>
    <n v="0"/>
    <n v="0.51"/>
    <n v="5.3"/>
    <n v="0.67"/>
    <n v="0"/>
    <n v="0"/>
    <n v="0.03"/>
    <n v="0.08"/>
    <n v="8.15"/>
    <n v="12.51"/>
    <n v="6.66"/>
    <n v="0"/>
    <n v="6.21"/>
    <n v="65.010000000000005"/>
    <n v="8.2100000000000009"/>
    <n v="0"/>
    <n v="0"/>
    <n v="0.37"/>
    <n v="1.04"/>
    <n v="3"/>
    <x v="1"/>
  </r>
  <r>
    <x v="1"/>
    <x v="133"/>
    <x v="7"/>
    <x v="52"/>
    <n v="65"/>
    <n v="4"/>
    <n v="4"/>
    <n v="13"/>
    <n v="0"/>
    <n v="1"/>
    <n v="23"/>
    <s v="Derice Warnsley"/>
    <s v="Collections Group"/>
    <d v="2025-07-22T00:00:00"/>
    <d v="1899-12-30T13:00:09"/>
    <d v="1899-12-30T22:00:04"/>
    <n v="9"/>
    <n v="9"/>
    <n v="1.61"/>
    <n v="0.21"/>
    <n v="0"/>
    <n v="0.02"/>
    <n v="5.72"/>
    <n v="1.44"/>
    <n v="0"/>
    <n v="0"/>
    <n v="0"/>
    <n v="0"/>
    <n v="9"/>
    <n v="17.88"/>
    <n v="2.2999999999999998"/>
    <n v="0"/>
    <n v="0.25"/>
    <n v="63.54"/>
    <n v="16"/>
    <n v="0"/>
    <n v="0"/>
    <n v="0"/>
    <n v="0.04"/>
    <n v="3"/>
    <x v="1"/>
  </r>
  <r>
    <x v="2"/>
    <x v="133"/>
    <x v="7"/>
    <x v="120"/>
    <n v="57"/>
    <n v="7"/>
    <n v="0"/>
    <n v="25"/>
    <n v="0"/>
    <n v="0"/>
    <n v="20"/>
    <s v="Isiah Thomas"/>
    <s v="Collections Group"/>
    <d v="2025-07-22T00:00:00"/>
    <d v="1899-12-30T12:59:57"/>
    <d v="1899-12-30T22:00:04"/>
    <n v="9.02"/>
    <n v="9"/>
    <n v="1.46"/>
    <n v="0"/>
    <n v="0"/>
    <n v="0.34"/>
    <n v="5.68"/>
    <n v="1.51"/>
    <n v="0"/>
    <n v="0"/>
    <n v="0"/>
    <n v="0"/>
    <n v="9"/>
    <n v="16.21"/>
    <n v="0"/>
    <n v="0"/>
    <n v="3.78"/>
    <n v="63.15"/>
    <n v="16.82"/>
    <n v="0"/>
    <n v="0"/>
    <n v="0"/>
    <n v="0.04"/>
    <n v="3"/>
    <x v="1"/>
  </r>
  <r>
    <x v="3"/>
    <x v="133"/>
    <x v="7"/>
    <x v="120"/>
    <n v="36"/>
    <n v="2"/>
    <n v="11"/>
    <n v="3"/>
    <n v="0"/>
    <n v="1"/>
    <n v="13"/>
    <s v="Jerrod Coleman"/>
    <s v="Collections Group"/>
    <d v="2025-07-22T00:00:00"/>
    <d v="1899-12-30T13:00:18"/>
    <d v="1899-12-30T22:00:27"/>
    <n v="9"/>
    <n v="9"/>
    <n v="0.98"/>
    <n v="0.33"/>
    <n v="0"/>
    <n v="0.18"/>
    <n v="6.05"/>
    <n v="1.45"/>
    <n v="0"/>
    <n v="0"/>
    <n v="0"/>
    <n v="0"/>
    <n v="9"/>
    <n v="10.87"/>
    <n v="3.72"/>
    <n v="0"/>
    <n v="2.02"/>
    <n v="67.22"/>
    <n v="16.13"/>
    <n v="0"/>
    <n v="0"/>
    <n v="0"/>
    <n v="0.04"/>
    <n v="3"/>
    <x v="1"/>
  </r>
  <r>
    <x v="5"/>
    <x v="133"/>
    <x v="7"/>
    <x v="121"/>
    <n v="44"/>
    <n v="8"/>
    <n v="7"/>
    <n v="7"/>
    <n v="1"/>
    <n v="0"/>
    <n v="18"/>
    <s v="Sabigh Masood"/>
    <s v="Collections Group"/>
    <d v="2025-07-22T00:00:00"/>
    <d v="1899-12-30T12:58:58"/>
    <d v="1899-12-30T22:00:39"/>
    <n v="9.0299999999999994"/>
    <n v="9.0299999999999994"/>
    <n v="1.9"/>
    <n v="0.19"/>
    <n v="0"/>
    <n v="0.4"/>
    <n v="5.04"/>
    <n v="1.49"/>
    <n v="0"/>
    <n v="0"/>
    <n v="0"/>
    <n v="0"/>
    <n v="9.0299999999999994"/>
    <n v="21.08"/>
    <n v="2.06"/>
    <n v="0"/>
    <n v="4.4400000000000004"/>
    <n v="55.86"/>
    <n v="16.510000000000002"/>
    <n v="0"/>
    <n v="0"/>
    <n v="0"/>
    <n v="0.04"/>
    <n v="3"/>
    <x v="1"/>
  </r>
  <r>
    <x v="6"/>
    <x v="133"/>
    <x v="7"/>
    <x v="219"/>
    <n v="0"/>
    <n v="0"/>
    <n v="0"/>
    <n v="0"/>
    <n v="0"/>
    <n v="0"/>
    <n v="0"/>
    <m/>
    <m/>
    <m/>
    <m/>
    <m/>
    <m/>
    <m/>
    <m/>
    <m/>
    <m/>
    <m/>
    <m/>
    <m/>
    <m/>
    <m/>
    <m/>
    <m/>
    <m/>
    <m/>
    <m/>
    <m/>
    <m/>
    <m/>
    <m/>
    <m/>
    <m/>
    <m/>
    <m/>
    <n v="3"/>
    <x v="1"/>
  </r>
  <r>
    <x v="15"/>
    <x v="134"/>
    <x v="7"/>
    <x v="120"/>
    <n v="39"/>
    <n v="0"/>
    <n v="1"/>
    <n v="6"/>
    <n v="0"/>
    <n v="1"/>
    <n v="23"/>
    <s v="Candace Smith"/>
    <s v="Collections Group"/>
    <d v="2025-07-21T00:00:00"/>
    <d v="1899-12-30T13:00:46"/>
    <d v="1899-12-30T22:00:24"/>
    <n v="9"/>
    <n v="8.1999999999999993"/>
    <n v="0.42"/>
    <n v="0.22"/>
    <n v="0"/>
    <n v="0.49"/>
    <n v="6.18"/>
    <n v="0.72"/>
    <n v="0"/>
    <n v="0"/>
    <n v="0.16"/>
    <n v="0.01"/>
    <n v="8.1999999999999993"/>
    <n v="5.07"/>
    <n v="2.7"/>
    <n v="0"/>
    <n v="5.99"/>
    <n v="75.41"/>
    <n v="8.73"/>
    <n v="0"/>
    <n v="0"/>
    <n v="1.95"/>
    <n v="0.15"/>
    <n v="2"/>
    <x v="2"/>
  </r>
  <r>
    <x v="1"/>
    <x v="134"/>
    <x v="7"/>
    <x v="108"/>
    <n v="57"/>
    <n v="4"/>
    <n v="0"/>
    <n v="9"/>
    <n v="0"/>
    <n v="0"/>
    <n v="28"/>
    <s v="Derice Warnsley"/>
    <s v="Collections Group"/>
    <d v="2025-07-21T00:00:00"/>
    <d v="1899-12-30T13:00:06"/>
    <d v="1899-12-30T22:00:05"/>
    <n v="9"/>
    <n v="9"/>
    <n v="1.08"/>
    <n v="7.0000000000000007E-2"/>
    <n v="0"/>
    <n v="0.01"/>
    <n v="6.34"/>
    <n v="1.49"/>
    <n v="0"/>
    <n v="0"/>
    <n v="0"/>
    <n v="0"/>
    <n v="9"/>
    <n v="12.02"/>
    <n v="0.78"/>
    <n v="0"/>
    <n v="0.15"/>
    <n v="70.459999999999994"/>
    <n v="16.55"/>
    <n v="0"/>
    <n v="0"/>
    <n v="0"/>
    <n v="0.04"/>
    <n v="2"/>
    <x v="2"/>
  </r>
  <r>
    <x v="2"/>
    <x v="134"/>
    <x v="7"/>
    <x v="74"/>
    <n v="40"/>
    <n v="5"/>
    <n v="0"/>
    <n v="15"/>
    <n v="0"/>
    <n v="0"/>
    <n v="14"/>
    <s v="Isiah Thomas"/>
    <s v="Collections Group"/>
    <d v="2025-07-21T00:00:00"/>
    <d v="1899-12-30T13:00:24"/>
    <d v="1899-12-30T22:00:04"/>
    <n v="9"/>
    <n v="8.99"/>
    <n v="1.88"/>
    <n v="0"/>
    <n v="0"/>
    <n v="0.36"/>
    <n v="5.21"/>
    <n v="1.55"/>
    <n v="0"/>
    <n v="0"/>
    <n v="0"/>
    <n v="0"/>
    <n v="8.99"/>
    <n v="20.91"/>
    <n v="0"/>
    <n v="0"/>
    <n v="3.97"/>
    <n v="57.89"/>
    <n v="17.190000000000001"/>
    <n v="0"/>
    <n v="0"/>
    <n v="0"/>
    <n v="0.04"/>
    <n v="2"/>
    <x v="2"/>
  </r>
  <r>
    <x v="3"/>
    <x v="134"/>
    <x v="7"/>
    <x v="113"/>
    <n v="43"/>
    <n v="4"/>
    <n v="7"/>
    <n v="1"/>
    <n v="0"/>
    <n v="0"/>
    <n v="19"/>
    <s v="Jerrod Coleman"/>
    <s v="Collections Group"/>
    <d v="2025-07-21T00:00:00"/>
    <d v="1899-12-30T13:00:31"/>
    <d v="1899-12-30T21:58:12"/>
    <n v="8.9700000000000006"/>
    <n v="8.9499999999999993"/>
    <n v="1.1200000000000001"/>
    <n v="0.28000000000000003"/>
    <n v="0"/>
    <n v="0.14000000000000001"/>
    <n v="5.94"/>
    <n v="1.47"/>
    <n v="0"/>
    <n v="0"/>
    <n v="0"/>
    <n v="0"/>
    <n v="8.9499999999999993"/>
    <n v="12.57"/>
    <n v="3.1"/>
    <n v="0"/>
    <n v="1.55"/>
    <n v="66.33"/>
    <n v="16.41"/>
    <n v="0"/>
    <n v="0"/>
    <n v="0"/>
    <n v="0.04"/>
    <n v="2"/>
    <x v="2"/>
  </r>
  <r>
    <x v="5"/>
    <x v="134"/>
    <x v="7"/>
    <x v="116"/>
    <n v="73"/>
    <n v="6"/>
    <n v="0"/>
    <n v="17"/>
    <n v="0"/>
    <n v="0"/>
    <n v="34"/>
    <s v="Sabigh Masood"/>
    <s v="Collections Group"/>
    <d v="2025-07-21T00:00:00"/>
    <d v="1899-12-30T12:59:08"/>
    <d v="1899-12-30T22:02:03"/>
    <n v="9.0500000000000007"/>
    <n v="9.0500000000000007"/>
    <n v="1.07"/>
    <n v="0.26"/>
    <n v="0"/>
    <n v="0.22"/>
    <n v="6.01"/>
    <n v="1.49"/>
    <n v="0"/>
    <n v="0"/>
    <n v="0"/>
    <n v="0"/>
    <n v="9.0500000000000007"/>
    <n v="11.78"/>
    <n v="2.86"/>
    <n v="0"/>
    <n v="2.4"/>
    <n v="66.459999999999994"/>
    <n v="16.46"/>
    <n v="0"/>
    <n v="0"/>
    <n v="0"/>
    <n v="0.04"/>
    <n v="2"/>
    <x v="2"/>
  </r>
  <r>
    <x v="6"/>
    <x v="134"/>
    <x v="7"/>
    <x v="220"/>
    <n v="0"/>
    <n v="0"/>
    <n v="0"/>
    <n v="0"/>
    <n v="0"/>
    <n v="0"/>
    <n v="0"/>
    <m/>
    <m/>
    <m/>
    <m/>
    <m/>
    <m/>
    <m/>
    <m/>
    <m/>
    <m/>
    <m/>
    <m/>
    <m/>
    <m/>
    <m/>
    <m/>
    <m/>
    <m/>
    <m/>
    <m/>
    <m/>
    <m/>
    <m/>
    <m/>
    <m/>
    <m/>
    <m/>
    <m/>
    <n v="2"/>
    <x v="2"/>
  </r>
  <r>
    <x v="15"/>
    <x v="135"/>
    <x v="7"/>
    <x v="221"/>
    <n v="17"/>
    <n v="0"/>
    <n v="0"/>
    <n v="3"/>
    <n v="0"/>
    <n v="0"/>
    <n v="10"/>
    <s v="Candace Smith"/>
    <s v="Collections Group"/>
    <d v="2025-07-18T00:00:00"/>
    <d v="1899-12-30T13:01:13"/>
    <d v="1899-12-30T21:58:36"/>
    <n v="8.9499999999999993"/>
    <n v="6.41"/>
    <n v="0.27"/>
    <n v="1.0900000000000001"/>
    <n v="0"/>
    <n v="0.21"/>
    <n v="3.93"/>
    <n v="0.84"/>
    <n v="0"/>
    <n v="0"/>
    <n v="0.01"/>
    <n v="7.0000000000000007E-2"/>
    <n v="6.41"/>
    <n v="4.16"/>
    <n v="16.95"/>
    <n v="0"/>
    <n v="3.24"/>
    <n v="61.26"/>
    <n v="13.06"/>
    <n v="0"/>
    <n v="0"/>
    <n v="0.19"/>
    <n v="1.1399999999999999"/>
    <n v="6"/>
    <x v="3"/>
  </r>
  <r>
    <x v="1"/>
    <x v="135"/>
    <x v="7"/>
    <x v="73"/>
    <n v="35"/>
    <n v="10"/>
    <n v="1"/>
    <n v="4"/>
    <n v="0"/>
    <n v="0"/>
    <n v="9"/>
    <s v="Derice Warnsley"/>
    <s v="Collections Group"/>
    <d v="2025-07-18T00:00:00"/>
    <d v="1899-12-30T13:00:05"/>
    <d v="1899-12-30T22:00:01"/>
    <n v="9"/>
    <n v="9"/>
    <n v="1.66"/>
    <n v="0"/>
    <n v="0"/>
    <n v="0.02"/>
    <n v="4.34"/>
    <n v="1.5"/>
    <n v="1.47"/>
    <n v="0"/>
    <n v="0"/>
    <n v="0"/>
    <n v="9"/>
    <n v="18.440000000000001"/>
    <n v="0"/>
    <n v="0"/>
    <n v="0.17"/>
    <n v="48.27"/>
    <n v="16.72"/>
    <n v="16.350000000000001"/>
    <n v="0"/>
    <n v="0"/>
    <n v="0.04"/>
    <n v="6"/>
    <x v="3"/>
  </r>
  <r>
    <x v="2"/>
    <x v="135"/>
    <x v="7"/>
    <x v="108"/>
    <n v="58"/>
    <n v="4"/>
    <n v="0"/>
    <n v="4"/>
    <n v="0"/>
    <n v="0"/>
    <n v="41"/>
    <s v="Isiah Thomas"/>
    <s v="Collections Group"/>
    <d v="2025-07-18T00:00:00"/>
    <d v="1899-12-30T12:58:03"/>
    <d v="1899-12-30T22:00:07"/>
    <n v="9.0299999999999994"/>
    <n v="9.0399999999999991"/>
    <n v="1.1200000000000001"/>
    <n v="0"/>
    <n v="0"/>
    <n v="0.28000000000000003"/>
    <n v="5.98"/>
    <n v="1.52"/>
    <n v="0.09"/>
    <n v="0"/>
    <n v="0"/>
    <n v="0.04"/>
    <n v="9.0399999999999991"/>
    <n v="12.44"/>
    <n v="0"/>
    <n v="0"/>
    <n v="3.07"/>
    <n v="66.2"/>
    <n v="16.84"/>
    <n v="1"/>
    <n v="0"/>
    <n v="0"/>
    <n v="0.45"/>
    <n v="6"/>
    <x v="3"/>
  </r>
  <r>
    <x v="3"/>
    <x v="135"/>
    <x v="7"/>
    <x v="109"/>
    <n v="42"/>
    <n v="3"/>
    <n v="2"/>
    <n v="4"/>
    <n v="0"/>
    <n v="0"/>
    <n v="23"/>
    <s v="Jerrod Coleman"/>
    <s v="Collections Group"/>
    <d v="2025-07-18T00:00:00"/>
    <d v="1899-12-30T13:00:25"/>
    <d v="1899-12-30T21:59:05"/>
    <n v="8.98"/>
    <n v="8.98"/>
    <n v="0.78"/>
    <n v="0.33"/>
    <n v="0"/>
    <n v="0.23"/>
    <n v="6.15"/>
    <n v="1.48"/>
    <n v="0"/>
    <n v="0"/>
    <n v="0"/>
    <n v="0.01"/>
    <n v="8.98"/>
    <n v="8.73"/>
    <n v="3.71"/>
    <n v="0"/>
    <n v="2.5299999999999998"/>
    <n v="68.5"/>
    <n v="16.45"/>
    <n v="0"/>
    <n v="0"/>
    <n v="0"/>
    <n v="0.08"/>
    <n v="6"/>
    <x v="3"/>
  </r>
  <r>
    <x v="5"/>
    <x v="135"/>
    <x v="7"/>
    <x v="74"/>
    <n v="44"/>
    <n v="4"/>
    <n v="0"/>
    <n v="1"/>
    <n v="1"/>
    <n v="0"/>
    <n v="27"/>
    <s v="Sabigh Masood"/>
    <s v="Collections Group"/>
    <d v="2025-07-18T00:00:00"/>
    <d v="1899-12-30T12:59:49"/>
    <d v="1899-12-30T22:07:15"/>
    <n v="9.1300000000000008"/>
    <n v="9.1199999999999992"/>
    <n v="1.1000000000000001"/>
    <n v="0.23"/>
    <n v="0"/>
    <n v="0.51"/>
    <n v="5.33"/>
    <n v="1.95"/>
    <n v="0"/>
    <n v="0"/>
    <n v="0"/>
    <n v="0"/>
    <n v="9.1199999999999992"/>
    <n v="12.02"/>
    <n v="2.52"/>
    <n v="0"/>
    <n v="5.58"/>
    <n v="58.41"/>
    <n v="21.42"/>
    <n v="0"/>
    <n v="0"/>
    <n v="0"/>
    <n v="0.04"/>
    <n v="6"/>
    <x v="3"/>
  </r>
  <r>
    <x v="6"/>
    <x v="135"/>
    <x v="7"/>
    <x v="222"/>
    <n v="0"/>
    <n v="0"/>
    <n v="0"/>
    <n v="0"/>
    <n v="0"/>
    <n v="0"/>
    <n v="0"/>
    <m/>
    <m/>
    <m/>
    <m/>
    <m/>
    <m/>
    <m/>
    <m/>
    <m/>
    <m/>
    <m/>
    <m/>
    <m/>
    <m/>
    <m/>
    <m/>
    <m/>
    <m/>
    <m/>
    <m/>
    <m/>
    <m/>
    <m/>
    <m/>
    <m/>
    <m/>
    <m/>
    <m/>
    <n v="6"/>
    <x v="3"/>
  </r>
  <r>
    <x v="15"/>
    <x v="136"/>
    <x v="7"/>
    <x v="76"/>
    <n v="37"/>
    <n v="2"/>
    <n v="2"/>
    <n v="4"/>
    <n v="0"/>
    <n v="1"/>
    <n v="18"/>
    <s v="Candace Smith"/>
    <s v="Collections Group"/>
    <d v="2025-07-17T00:00:00"/>
    <d v="1899-12-30T13:02:19"/>
    <d v="1899-12-30T21:59:00"/>
    <n v="8.9499999999999993"/>
    <n v="7.52"/>
    <n v="0.69"/>
    <n v="0.34"/>
    <n v="0"/>
    <n v="0.64"/>
    <n v="4.84"/>
    <n v="0.47"/>
    <n v="0.48"/>
    <n v="0"/>
    <n v="0.03"/>
    <n v="0.03"/>
    <n v="7.52"/>
    <n v="9.23"/>
    <n v="4.46"/>
    <n v="0"/>
    <n v="8.5"/>
    <n v="64.319999999999993"/>
    <n v="6.28"/>
    <n v="6.44"/>
    <n v="0"/>
    <n v="0.34"/>
    <n v="0.41"/>
    <n v="5"/>
    <x v="4"/>
  </r>
  <r>
    <x v="1"/>
    <x v="136"/>
    <x v="7"/>
    <x v="118"/>
    <n v="54"/>
    <n v="8"/>
    <n v="0"/>
    <n v="13"/>
    <n v="0"/>
    <n v="2"/>
    <n v="22"/>
    <s v="Derice Warnsley"/>
    <s v="Collections Group"/>
    <d v="2025-07-17T00:00:00"/>
    <d v="1899-12-30T13:00:10"/>
    <d v="1899-12-30T22:01:46"/>
    <n v="9.02"/>
    <n v="9.0299999999999994"/>
    <n v="1.45"/>
    <n v="0.12"/>
    <n v="0"/>
    <n v="0.03"/>
    <n v="5.08"/>
    <n v="1.47"/>
    <n v="0.88"/>
    <n v="0"/>
    <n v="0"/>
    <n v="0"/>
    <n v="9.0299999999999994"/>
    <n v="16.07"/>
    <n v="1.34"/>
    <n v="0"/>
    <n v="0.28000000000000003"/>
    <n v="56.29"/>
    <n v="16.28"/>
    <n v="9.69"/>
    <n v="0"/>
    <n v="0"/>
    <n v="0.05"/>
    <n v="5"/>
    <x v="4"/>
  </r>
  <r>
    <x v="2"/>
    <x v="136"/>
    <x v="7"/>
    <x v="120"/>
    <n v="49"/>
    <n v="6"/>
    <n v="1"/>
    <n v="6"/>
    <n v="0"/>
    <n v="0"/>
    <n v="28"/>
    <s v="Isiah Thomas"/>
    <s v="Collections Group"/>
    <d v="2025-07-17T00:00:00"/>
    <d v="1899-12-30T13:01:33"/>
    <d v="1899-12-30T22:00:07"/>
    <n v="8.98"/>
    <n v="8.98"/>
    <n v="1.21"/>
    <n v="0"/>
    <n v="0"/>
    <n v="0.41"/>
    <n v="4.47"/>
    <n v="1.54"/>
    <n v="1.32"/>
    <n v="0"/>
    <n v="0"/>
    <n v="0.01"/>
    <n v="8.98"/>
    <n v="13.5"/>
    <n v="0"/>
    <n v="0"/>
    <n v="4.62"/>
    <n v="49.85"/>
    <n v="17.2"/>
    <n v="14.72"/>
    <n v="0"/>
    <n v="0"/>
    <n v="0.11"/>
    <n v="5"/>
    <x v="4"/>
  </r>
  <r>
    <x v="3"/>
    <x v="136"/>
    <x v="7"/>
    <x v="69"/>
    <n v="55"/>
    <n v="3"/>
    <n v="5"/>
    <n v="7"/>
    <n v="0"/>
    <n v="0"/>
    <n v="21"/>
    <s v="Jerrod Coleman"/>
    <s v="Collections Group"/>
    <d v="2025-07-17T00:00:00"/>
    <d v="1899-12-30T13:00:11"/>
    <d v="1899-12-30T21:59:06"/>
    <n v="8.98"/>
    <n v="8.98"/>
    <n v="1.38"/>
    <n v="0.15"/>
    <n v="0"/>
    <n v="0.19"/>
    <n v="5.32"/>
    <n v="1.47"/>
    <n v="0.47"/>
    <n v="0"/>
    <n v="0"/>
    <n v="0"/>
    <n v="8.98"/>
    <n v="15.34"/>
    <n v="1.63"/>
    <n v="0"/>
    <n v="2.17"/>
    <n v="59.2"/>
    <n v="16.350000000000001"/>
    <n v="5.27"/>
    <n v="0"/>
    <n v="0"/>
    <n v="0.05"/>
    <n v="5"/>
    <x v="4"/>
  </r>
  <r>
    <x v="5"/>
    <x v="136"/>
    <x v="7"/>
    <x v="64"/>
    <n v="82"/>
    <n v="4"/>
    <n v="4"/>
    <n v="8"/>
    <n v="0"/>
    <n v="1"/>
    <n v="44"/>
    <s v="Sabigh Masood"/>
    <s v="Collections Group"/>
    <d v="2025-07-17T00:00:00"/>
    <d v="1899-12-30T13:01:02"/>
    <d v="1899-12-30T22:10:09"/>
    <n v="9.15"/>
    <n v="9.14"/>
    <n v="1.24"/>
    <n v="0.27"/>
    <n v="0"/>
    <n v="0.31"/>
    <n v="5.28"/>
    <n v="1.49"/>
    <n v="0.46"/>
    <n v="0"/>
    <n v="7.0000000000000007E-2"/>
    <n v="0.02"/>
    <n v="9.14"/>
    <n v="13.58"/>
    <n v="3"/>
    <n v="0"/>
    <n v="3.43"/>
    <n v="57.78"/>
    <n v="16.28"/>
    <n v="5"/>
    <n v="0"/>
    <n v="0.74"/>
    <n v="0.19"/>
    <n v="5"/>
    <x v="4"/>
  </r>
  <r>
    <x v="6"/>
    <x v="136"/>
    <x v="7"/>
    <x v="223"/>
    <n v="0"/>
    <n v="0"/>
    <n v="0"/>
    <n v="0"/>
    <n v="0"/>
    <n v="0"/>
    <n v="0"/>
    <m/>
    <m/>
    <m/>
    <m/>
    <m/>
    <m/>
    <m/>
    <m/>
    <m/>
    <m/>
    <m/>
    <m/>
    <m/>
    <m/>
    <m/>
    <m/>
    <m/>
    <m/>
    <m/>
    <m/>
    <m/>
    <m/>
    <m/>
    <m/>
    <m/>
    <m/>
    <m/>
    <m/>
    <n v="5"/>
    <x v="4"/>
  </r>
  <r>
    <x v="15"/>
    <x v="137"/>
    <x v="7"/>
    <x v="211"/>
    <n v="5"/>
    <n v="1"/>
    <n v="0"/>
    <n v="0"/>
    <n v="0"/>
    <n v="0"/>
    <n v="2"/>
    <s v="Candace Smith"/>
    <s v="Collections Group"/>
    <d v="2025-07-16T00:00:00"/>
    <d v="1899-12-30T13:02:23"/>
    <d v="1899-12-30T14:00:05"/>
    <n v="0.97"/>
    <n v="0.96"/>
    <n v="7.0000000000000007E-2"/>
    <n v="7.0000000000000007E-2"/>
    <n v="0"/>
    <n v="0.2"/>
    <n v="0.57999999999999996"/>
    <n v="0"/>
    <n v="0"/>
    <n v="0"/>
    <n v="0.04"/>
    <n v="0"/>
    <n v="0.96"/>
    <n v="6.91"/>
    <n v="7.37"/>
    <n v="0"/>
    <n v="20.350000000000001"/>
    <n v="60.58"/>
    <n v="0"/>
    <n v="0"/>
    <n v="0"/>
    <n v="4.3899999999999997"/>
    <n v="0.4"/>
    <n v="4"/>
    <x v="0"/>
  </r>
  <r>
    <x v="1"/>
    <x v="137"/>
    <x v="7"/>
    <x v="108"/>
    <n v="45"/>
    <n v="6"/>
    <n v="3"/>
    <n v="1"/>
    <n v="2"/>
    <n v="0"/>
    <n v="18"/>
    <s v="Derice Warnsley"/>
    <s v="Collections Group"/>
    <d v="2025-07-16T00:00:00"/>
    <d v="1899-12-30T13:00:15"/>
    <d v="1899-12-30T22:00:17"/>
    <n v="9"/>
    <n v="9"/>
    <n v="1.36"/>
    <n v="0"/>
    <n v="0"/>
    <n v="0.03"/>
    <n v="5.68"/>
    <n v="1.48"/>
    <n v="0.45"/>
    <n v="0"/>
    <n v="0"/>
    <n v="0"/>
    <n v="9"/>
    <n v="15.09"/>
    <n v="0"/>
    <n v="0"/>
    <n v="0.36"/>
    <n v="63.11"/>
    <n v="16.440000000000001"/>
    <n v="4.95"/>
    <n v="0"/>
    <n v="0"/>
    <n v="0.05"/>
    <n v="4"/>
    <x v="0"/>
  </r>
  <r>
    <x v="2"/>
    <x v="137"/>
    <x v="7"/>
    <x v="224"/>
    <n v="10"/>
    <n v="1"/>
    <n v="0"/>
    <n v="0"/>
    <n v="0"/>
    <n v="1"/>
    <n v="6"/>
    <s v="Isiah Thomas"/>
    <s v="Collections Group"/>
    <d v="2025-07-16T00:00:00"/>
    <d v="1899-12-30T13:08:40"/>
    <d v="1899-12-30T18:01:32"/>
    <n v="4.88"/>
    <n v="4.87"/>
    <n v="0.28999999999999998"/>
    <n v="1.08"/>
    <n v="0"/>
    <n v="7.0000000000000007E-2"/>
    <n v="1.57"/>
    <n v="1.29"/>
    <n v="0"/>
    <n v="0"/>
    <n v="0"/>
    <n v="0.56999999999999995"/>
    <n v="4.87"/>
    <n v="6.01"/>
    <n v="22.23"/>
    <n v="0"/>
    <n v="1.44"/>
    <n v="32.26"/>
    <n v="26.39"/>
    <n v="0"/>
    <n v="0"/>
    <n v="0"/>
    <n v="11.68"/>
    <n v="4"/>
    <x v="0"/>
  </r>
  <r>
    <x v="3"/>
    <x v="137"/>
    <x v="7"/>
    <x v="75"/>
    <n v="75"/>
    <n v="1"/>
    <n v="0"/>
    <n v="2"/>
    <n v="0"/>
    <n v="1"/>
    <n v="51"/>
    <s v="Jerrod Coleman"/>
    <s v="Collections Group"/>
    <d v="2025-07-16T00:00:00"/>
    <d v="1899-12-30T13:01:04"/>
    <d v="1899-12-30T21:59:22"/>
    <n v="8.9700000000000006"/>
    <n v="8.9700000000000006"/>
    <n v="0.6"/>
    <n v="0.2"/>
    <n v="0"/>
    <n v="0.13"/>
    <n v="6.66"/>
    <n v="1.37"/>
    <n v="0"/>
    <n v="0"/>
    <n v="0"/>
    <n v="0.01"/>
    <n v="8.9700000000000006"/>
    <n v="6.71"/>
    <n v="2.27"/>
    <n v="0"/>
    <n v="1.42"/>
    <n v="74.23"/>
    <n v="15.29"/>
    <n v="0"/>
    <n v="0"/>
    <n v="0"/>
    <n v="0.08"/>
    <n v="4"/>
    <x v="0"/>
  </r>
  <r>
    <x v="5"/>
    <x v="137"/>
    <x v="7"/>
    <x v="52"/>
    <n v="86"/>
    <n v="2"/>
    <n v="0"/>
    <n v="2"/>
    <n v="0"/>
    <n v="0"/>
    <n v="59"/>
    <s v="Sabigh Masood"/>
    <s v="Collections Group"/>
    <d v="2025-07-16T00:00:00"/>
    <d v="1899-12-30T13:00:15"/>
    <d v="1899-12-30T22:01:04"/>
    <n v="9.02"/>
    <n v="9.01"/>
    <n v="0.55000000000000004"/>
    <n v="0.23"/>
    <n v="0"/>
    <n v="0.44"/>
    <n v="6.37"/>
    <n v="1.39"/>
    <n v="0"/>
    <n v="0"/>
    <n v="0.02"/>
    <n v="0"/>
    <n v="9.01"/>
    <n v="6.07"/>
    <n v="2.57"/>
    <n v="0"/>
    <n v="4.91"/>
    <n v="70.709999999999994"/>
    <n v="15.45"/>
    <n v="0"/>
    <n v="0"/>
    <n v="0.24"/>
    <n v="0.05"/>
    <n v="4"/>
    <x v="0"/>
  </r>
  <r>
    <x v="6"/>
    <x v="137"/>
    <x v="7"/>
    <x v="219"/>
    <n v="0"/>
    <n v="0"/>
    <n v="0"/>
    <n v="0"/>
    <n v="0"/>
    <n v="0"/>
    <n v="0"/>
    <m/>
    <m/>
    <m/>
    <m/>
    <m/>
    <m/>
    <m/>
    <m/>
    <m/>
    <m/>
    <m/>
    <m/>
    <m/>
    <m/>
    <m/>
    <m/>
    <m/>
    <m/>
    <m/>
    <m/>
    <m/>
    <m/>
    <m/>
    <m/>
    <m/>
    <m/>
    <m/>
    <m/>
    <n v="4"/>
    <x v="0"/>
  </r>
  <r>
    <x v="0"/>
    <x v="138"/>
    <x v="7"/>
    <x v="74"/>
    <n v="43"/>
    <n v="6"/>
    <n v="3"/>
    <n v="3"/>
    <n v="1"/>
    <n v="1"/>
    <n v="23"/>
    <s v="Anais Orozco"/>
    <s v="Collections Group"/>
    <d v="2025-07-15T00:00:00"/>
    <d v="1899-12-30T12:59:05"/>
    <d v="1899-12-30T22:05:17"/>
    <n v="9.1"/>
    <n v="9.1"/>
    <n v="2.04"/>
    <n v="0.61"/>
    <n v="0"/>
    <n v="0.26"/>
    <n v="3.45"/>
    <n v="1.27"/>
    <n v="1.44"/>
    <n v="0"/>
    <n v="0"/>
    <n v="0.02"/>
    <n v="9.1"/>
    <n v="22.44"/>
    <n v="6.74"/>
    <n v="0"/>
    <n v="2.85"/>
    <n v="37.89"/>
    <n v="14"/>
    <n v="15.81"/>
    <n v="0"/>
    <n v="0"/>
    <n v="0.26"/>
    <n v="3"/>
    <x v="1"/>
  </r>
  <r>
    <x v="15"/>
    <x v="138"/>
    <x v="7"/>
    <x v="104"/>
    <n v="45"/>
    <n v="6"/>
    <n v="4"/>
    <n v="4"/>
    <n v="0"/>
    <n v="4"/>
    <n v="20"/>
    <s v="Candace Smith"/>
    <s v="Collections Group"/>
    <d v="2025-07-15T00:00:00"/>
    <d v="1899-12-30T12:58:52"/>
    <d v="1899-12-30T21:59:56"/>
    <n v="9.02"/>
    <n v="8.0500000000000007"/>
    <n v="1.1599999999999999"/>
    <n v="0.47"/>
    <n v="0"/>
    <n v="0.66"/>
    <n v="5.16"/>
    <n v="0.57999999999999996"/>
    <n v="0"/>
    <n v="0"/>
    <n v="0"/>
    <n v="0.02"/>
    <n v="8.0500000000000007"/>
    <n v="14.41"/>
    <n v="5.82"/>
    <n v="0"/>
    <n v="8.25"/>
    <n v="64.05"/>
    <n v="7.19"/>
    <n v="0"/>
    <n v="0"/>
    <n v="0"/>
    <n v="0.28000000000000003"/>
    <n v="3"/>
    <x v="1"/>
  </r>
  <r>
    <x v="1"/>
    <x v="138"/>
    <x v="7"/>
    <x v="113"/>
    <n v="40"/>
    <n v="5"/>
    <n v="3"/>
    <n v="9"/>
    <n v="2"/>
    <n v="2"/>
    <n v="6"/>
    <s v="Derice Warnsley"/>
    <s v="Collections Group"/>
    <d v="2025-07-15T00:00:00"/>
    <d v="1899-12-30T13:00:20"/>
    <d v="1899-12-30T22:00:10"/>
    <n v="9"/>
    <n v="9"/>
    <n v="1.39"/>
    <n v="0.12"/>
    <n v="0"/>
    <n v="0.02"/>
    <n v="5.97"/>
    <n v="1.49"/>
    <n v="0"/>
    <n v="0"/>
    <n v="0"/>
    <n v="0.01"/>
    <n v="9"/>
    <n v="15.49"/>
    <n v="1.32"/>
    <n v="0"/>
    <n v="0.18"/>
    <n v="66.349999999999994"/>
    <n v="16.579999999999998"/>
    <n v="0"/>
    <n v="0"/>
    <n v="0"/>
    <n v="7.0000000000000007E-2"/>
    <n v="3"/>
    <x v="1"/>
  </r>
  <r>
    <x v="2"/>
    <x v="138"/>
    <x v="7"/>
    <x v="13"/>
    <n v="9"/>
    <n v="2"/>
    <n v="0"/>
    <n v="1"/>
    <n v="2"/>
    <n v="0"/>
    <n v="0"/>
    <m/>
    <m/>
    <m/>
    <m/>
    <m/>
    <m/>
    <m/>
    <m/>
    <m/>
    <m/>
    <m/>
    <m/>
    <m/>
    <m/>
    <m/>
    <m/>
    <m/>
    <m/>
    <m/>
    <m/>
    <m/>
    <m/>
    <m/>
    <m/>
    <m/>
    <m/>
    <m/>
    <m/>
    <n v="3"/>
    <x v="1"/>
  </r>
  <r>
    <x v="3"/>
    <x v="138"/>
    <x v="7"/>
    <x v="116"/>
    <n v="83"/>
    <n v="9"/>
    <n v="11"/>
    <n v="2"/>
    <n v="4"/>
    <n v="1"/>
    <n v="42"/>
    <s v="Jerrod Coleman"/>
    <s v="Collections Group"/>
    <d v="2025-07-15T00:00:00"/>
    <d v="1899-12-30T13:00:32"/>
    <d v="1899-12-30T21:59:28"/>
    <n v="8.98"/>
    <n v="8.98"/>
    <n v="1.5"/>
    <n v="0"/>
    <n v="0"/>
    <n v="0.32"/>
    <n v="5.41"/>
    <n v="1.44"/>
    <n v="0.31"/>
    <n v="0"/>
    <n v="0"/>
    <n v="0.01"/>
    <n v="8.98"/>
    <n v="16.670000000000002"/>
    <n v="0"/>
    <n v="0"/>
    <n v="3.52"/>
    <n v="60.18"/>
    <n v="16.09"/>
    <n v="3.47"/>
    <n v="0"/>
    <n v="0"/>
    <n v="0.06"/>
    <n v="3"/>
    <x v="1"/>
  </r>
  <r>
    <x v="4"/>
    <x v="138"/>
    <x v="7"/>
    <x v="13"/>
    <n v="2"/>
    <n v="0"/>
    <n v="0"/>
    <n v="2"/>
    <n v="0"/>
    <n v="0"/>
    <n v="0"/>
    <s v="Rosette Rwabugahya"/>
    <s v="Collections Group"/>
    <d v="2025-07-15T00:00:00"/>
    <d v="1899-12-30T14:46:11"/>
    <d v="1899-12-30T15:24:33"/>
    <n v="0.63"/>
    <n v="0.64"/>
    <n v="0.63"/>
    <n v="0"/>
    <n v="0"/>
    <n v="0.01"/>
    <n v="0"/>
    <n v="0"/>
    <n v="0"/>
    <n v="0"/>
    <n v="0"/>
    <n v="0"/>
    <n v="0.64"/>
    <n v="98.57"/>
    <n v="0"/>
    <n v="0"/>
    <n v="0.91"/>
    <n v="0"/>
    <n v="0"/>
    <n v="0"/>
    <n v="0"/>
    <n v="0"/>
    <n v="0.52"/>
    <n v="3"/>
    <x v="1"/>
  </r>
  <r>
    <x v="5"/>
    <x v="138"/>
    <x v="7"/>
    <x v="109"/>
    <n v="50"/>
    <n v="2"/>
    <n v="5"/>
    <n v="10"/>
    <n v="1"/>
    <n v="0"/>
    <n v="18"/>
    <s v="Sabigh Masood"/>
    <s v="Collections Group"/>
    <d v="2025-07-15T00:00:00"/>
    <d v="1899-12-30T13:00:19"/>
    <d v="1899-12-30T22:03:45"/>
    <n v="9.0500000000000007"/>
    <n v="9.06"/>
    <n v="1.03"/>
    <n v="0.14000000000000001"/>
    <n v="0"/>
    <n v="0.35"/>
    <n v="5.54"/>
    <n v="1.49"/>
    <n v="0.43"/>
    <n v="0"/>
    <n v="7.0000000000000007E-2"/>
    <n v="0"/>
    <n v="9.06"/>
    <n v="11.36"/>
    <n v="1.55"/>
    <n v="0"/>
    <n v="3.91"/>
    <n v="61.17"/>
    <n v="16.48"/>
    <n v="4.75"/>
    <n v="0"/>
    <n v="0.74"/>
    <n v="0.04"/>
    <n v="3"/>
    <x v="1"/>
  </r>
  <r>
    <x v="6"/>
    <x v="138"/>
    <x v="7"/>
    <x v="225"/>
    <n v="0"/>
    <n v="0"/>
    <n v="0"/>
    <n v="0"/>
    <n v="0"/>
    <n v="0"/>
    <n v="0"/>
    <m/>
    <m/>
    <m/>
    <m/>
    <m/>
    <m/>
    <m/>
    <m/>
    <m/>
    <m/>
    <m/>
    <m/>
    <m/>
    <m/>
    <m/>
    <m/>
    <m/>
    <m/>
    <m/>
    <m/>
    <m/>
    <m/>
    <m/>
    <m/>
    <m/>
    <m/>
    <m/>
    <m/>
    <n v="3"/>
    <x v="1"/>
  </r>
  <r>
    <x v="0"/>
    <x v="139"/>
    <x v="7"/>
    <x v="116"/>
    <n v="63"/>
    <n v="2"/>
    <n v="6"/>
    <n v="7"/>
    <n v="0"/>
    <n v="3"/>
    <n v="41"/>
    <s v="Anais Orozco"/>
    <s v="Collections Group"/>
    <d v="2025-07-14T00:00:00"/>
    <d v="1899-12-30T13:00:53"/>
    <d v="1899-12-30T22:00:06"/>
    <n v="9"/>
    <n v="8.11"/>
    <n v="1.22"/>
    <n v="0"/>
    <n v="0"/>
    <n v="0.37"/>
    <n v="5.91"/>
    <n v="0.56999999999999995"/>
    <n v="0"/>
    <n v="0"/>
    <n v="0"/>
    <n v="0.04"/>
    <n v="8.11"/>
    <n v="15.03"/>
    <n v="0"/>
    <n v="0"/>
    <n v="4.5599999999999996"/>
    <n v="72.88"/>
    <n v="7.04"/>
    <n v="0"/>
    <n v="0"/>
    <n v="0"/>
    <n v="0.48"/>
    <n v="2"/>
    <x v="2"/>
  </r>
  <r>
    <x v="15"/>
    <x v="139"/>
    <x v="7"/>
    <x v="213"/>
    <n v="20"/>
    <n v="0"/>
    <n v="0"/>
    <n v="3"/>
    <n v="2"/>
    <n v="0"/>
    <n v="12"/>
    <s v="Candace Smith"/>
    <s v="Collections Group"/>
    <d v="2025-07-14T00:00:00"/>
    <d v="1899-12-30T13:02:02"/>
    <d v="1899-12-30T21:58:47"/>
    <n v="8.93"/>
    <n v="8.56"/>
    <n v="0.95"/>
    <n v="1.29"/>
    <n v="0"/>
    <n v="0.37"/>
    <n v="4.2300000000000004"/>
    <n v="1.2"/>
    <n v="0.51"/>
    <n v="0"/>
    <n v="0"/>
    <n v="0.02"/>
    <n v="8.56"/>
    <n v="11.07"/>
    <n v="15.04"/>
    <n v="0"/>
    <n v="4.37"/>
    <n v="49.39"/>
    <n v="13.99"/>
    <n v="5.9"/>
    <n v="0"/>
    <n v="0"/>
    <n v="0.25"/>
    <n v="2"/>
    <x v="2"/>
  </r>
  <r>
    <x v="1"/>
    <x v="139"/>
    <x v="7"/>
    <x v="74"/>
    <n v="37"/>
    <n v="3"/>
    <n v="2"/>
    <n v="3"/>
    <n v="0"/>
    <n v="0"/>
    <n v="21"/>
    <s v="Derice Warnsley"/>
    <s v="Collections Group"/>
    <d v="2025-07-14T00:00:00"/>
    <d v="1899-12-30T13:00:21"/>
    <d v="1899-12-30T22:00:06"/>
    <n v="9"/>
    <n v="9"/>
    <n v="1.44"/>
    <n v="0.13"/>
    <n v="0"/>
    <n v="0.02"/>
    <n v="5.23"/>
    <n v="1.49"/>
    <n v="0.68"/>
    <n v="0"/>
    <n v="0"/>
    <n v="0.01"/>
    <n v="9"/>
    <n v="15.97"/>
    <n v="1.45"/>
    <n v="0"/>
    <n v="0.21"/>
    <n v="58.1"/>
    <n v="16.600000000000001"/>
    <n v="7.59"/>
    <n v="0"/>
    <n v="0"/>
    <n v="7.0000000000000007E-2"/>
    <n v="2"/>
    <x v="2"/>
  </r>
  <r>
    <x v="2"/>
    <x v="139"/>
    <x v="7"/>
    <x v="13"/>
    <n v="3"/>
    <n v="1"/>
    <n v="0"/>
    <n v="0"/>
    <n v="1"/>
    <n v="1"/>
    <n v="0"/>
    <m/>
    <m/>
    <m/>
    <m/>
    <m/>
    <m/>
    <m/>
    <m/>
    <m/>
    <m/>
    <m/>
    <m/>
    <m/>
    <m/>
    <m/>
    <m/>
    <m/>
    <m/>
    <m/>
    <m/>
    <m/>
    <m/>
    <m/>
    <m/>
    <m/>
    <m/>
    <m/>
    <m/>
    <n v="2"/>
    <x v="2"/>
  </r>
  <r>
    <x v="3"/>
    <x v="139"/>
    <x v="7"/>
    <x v="69"/>
    <n v="77"/>
    <n v="4"/>
    <n v="9"/>
    <n v="2"/>
    <n v="0"/>
    <n v="10"/>
    <n v="44"/>
    <s v="Jerrod Coleman"/>
    <s v="Collections Group"/>
    <d v="2025-07-14T00:00:00"/>
    <d v="1899-12-30T13:00:45"/>
    <d v="1899-12-30T21:59:29"/>
    <n v="8.98"/>
    <n v="8.98"/>
    <n v="1.02"/>
    <n v="0.24"/>
    <n v="0"/>
    <n v="0.23"/>
    <n v="6.02"/>
    <n v="1.47"/>
    <n v="0"/>
    <n v="0"/>
    <n v="0"/>
    <n v="0"/>
    <n v="8.98"/>
    <n v="11.33"/>
    <n v="2.69"/>
    <n v="0"/>
    <n v="2.6"/>
    <n v="67"/>
    <n v="16.34"/>
    <n v="0"/>
    <n v="0"/>
    <n v="0"/>
    <n v="0.04"/>
    <n v="2"/>
    <x v="2"/>
  </r>
  <r>
    <x v="5"/>
    <x v="139"/>
    <x v="7"/>
    <x v="104"/>
    <n v="70"/>
    <n v="5"/>
    <n v="1"/>
    <n v="4"/>
    <n v="0"/>
    <n v="3"/>
    <n v="46"/>
    <s v="Sabigh Masood"/>
    <s v="Collections Group"/>
    <d v="2025-07-14T00:00:00"/>
    <d v="1899-12-30T12:59:50"/>
    <d v="1899-12-30T22:03:57"/>
    <n v="9.07"/>
    <n v="9.07"/>
    <n v="0.93"/>
    <n v="0.14000000000000001"/>
    <n v="0"/>
    <n v="0.4"/>
    <n v="5.86"/>
    <n v="1.5"/>
    <n v="0.23"/>
    <n v="0"/>
    <n v="0"/>
    <n v="0"/>
    <n v="9.07"/>
    <n v="10.28"/>
    <n v="1.57"/>
    <n v="0"/>
    <n v="4.3600000000000003"/>
    <n v="64.63"/>
    <n v="16.53"/>
    <n v="2.59"/>
    <n v="0"/>
    <n v="0"/>
    <n v="0.04"/>
    <n v="2"/>
    <x v="2"/>
  </r>
  <r>
    <x v="6"/>
    <x v="139"/>
    <x v="7"/>
    <x v="226"/>
    <n v="0"/>
    <n v="0"/>
    <n v="0"/>
    <n v="0"/>
    <n v="0"/>
    <n v="0"/>
    <n v="0"/>
    <m/>
    <m/>
    <m/>
    <m/>
    <m/>
    <m/>
    <m/>
    <m/>
    <m/>
    <m/>
    <m/>
    <m/>
    <m/>
    <m/>
    <m/>
    <m/>
    <m/>
    <m/>
    <m/>
    <m/>
    <m/>
    <m/>
    <m/>
    <m/>
    <m/>
    <m/>
    <m/>
    <m/>
    <n v="2"/>
    <x v="2"/>
  </r>
  <r>
    <x v="0"/>
    <x v="140"/>
    <x v="7"/>
    <x v="104"/>
    <n v="46"/>
    <n v="3"/>
    <n v="2"/>
    <n v="5"/>
    <n v="0"/>
    <n v="0"/>
    <n v="24"/>
    <s v="Anais Orozco"/>
    <s v="Collections Group"/>
    <d v="2025-07-11T00:00:00"/>
    <d v="1899-12-30T12:59:45"/>
    <d v="1899-12-30T21:57:55"/>
    <n v="8.9700000000000006"/>
    <n v="8.08"/>
    <n v="0.97"/>
    <n v="0.16"/>
    <n v="0"/>
    <n v="0.28000000000000003"/>
    <n v="5.27"/>
    <n v="0.54"/>
    <n v="0.73"/>
    <n v="0"/>
    <n v="0"/>
    <n v="0.14000000000000001"/>
    <n v="8.08"/>
    <n v="12.02"/>
    <n v="1.97"/>
    <n v="0"/>
    <n v="3.45"/>
    <n v="65.22"/>
    <n v="6.63"/>
    <n v="8.99"/>
    <n v="0"/>
    <n v="0"/>
    <n v="1.73"/>
    <n v="6"/>
    <x v="3"/>
  </r>
  <r>
    <x v="15"/>
    <x v="140"/>
    <x v="7"/>
    <x v="73"/>
    <n v="51"/>
    <n v="0"/>
    <n v="0"/>
    <n v="5"/>
    <n v="0"/>
    <n v="0"/>
    <n v="37"/>
    <s v="Candace Smith"/>
    <s v="Collections Group"/>
    <d v="2025-07-11T00:00:00"/>
    <d v="1899-12-30T13:04:56"/>
    <d v="1899-12-30T21:57:35"/>
    <n v="8.8800000000000008"/>
    <n v="7.91"/>
    <n v="0.74"/>
    <n v="0.71"/>
    <n v="0"/>
    <n v="0.41"/>
    <n v="4.6900000000000004"/>
    <n v="0.6"/>
    <n v="0.73"/>
    <n v="0"/>
    <n v="0"/>
    <n v="0.03"/>
    <n v="7.91"/>
    <n v="9.33"/>
    <n v="8.9499999999999993"/>
    <n v="0"/>
    <n v="5.23"/>
    <n v="59.31"/>
    <n v="7.54"/>
    <n v="9.2799999999999994"/>
    <n v="0"/>
    <n v="0"/>
    <n v="0.37"/>
    <n v="6"/>
    <x v="3"/>
  </r>
  <r>
    <x v="1"/>
    <x v="140"/>
    <x v="7"/>
    <x v="69"/>
    <n v="54"/>
    <n v="4"/>
    <n v="0"/>
    <n v="2"/>
    <n v="0"/>
    <n v="0"/>
    <n v="32"/>
    <s v="Derice Warnsley"/>
    <s v="Collections Group"/>
    <d v="2025-07-11T00:00:00"/>
    <d v="1899-12-30T13:00:37"/>
    <d v="1899-12-30T22:00:28"/>
    <n v="9"/>
    <n v="9"/>
    <n v="1.1399999999999999"/>
    <n v="0.18"/>
    <n v="0"/>
    <n v="0.02"/>
    <n v="5.44"/>
    <n v="1.49"/>
    <n v="0.73"/>
    <n v="0"/>
    <n v="0"/>
    <n v="0"/>
    <n v="9"/>
    <n v="12.67"/>
    <n v="1.99"/>
    <n v="0"/>
    <n v="0.2"/>
    <n v="60.44"/>
    <n v="16.579999999999998"/>
    <n v="8.07"/>
    <n v="0"/>
    <n v="0"/>
    <n v="0.05"/>
    <n v="6"/>
    <x v="3"/>
  </r>
  <r>
    <x v="3"/>
    <x v="140"/>
    <x v="7"/>
    <x v="75"/>
    <n v="62"/>
    <n v="4"/>
    <n v="2"/>
    <n v="6"/>
    <n v="0"/>
    <n v="0"/>
    <n v="38"/>
    <s v="Jerrod Coleman"/>
    <s v="Collections Group"/>
    <d v="2025-07-11T00:00:00"/>
    <d v="1899-12-30T13:00:33"/>
    <d v="1899-12-30T21:56:53"/>
    <n v="8.93"/>
    <n v="8.94"/>
    <n v="0.7"/>
    <n v="0.26"/>
    <n v="0"/>
    <n v="0.16"/>
    <n v="5.7"/>
    <n v="1.46"/>
    <n v="0.66"/>
    <n v="0"/>
    <n v="0"/>
    <n v="0"/>
    <n v="8.94"/>
    <n v="7.8"/>
    <n v="2.92"/>
    <n v="0"/>
    <n v="1.75"/>
    <n v="63.73"/>
    <n v="16.32"/>
    <n v="7.43"/>
    <n v="0"/>
    <n v="0"/>
    <n v="0.04"/>
    <n v="6"/>
    <x v="3"/>
  </r>
  <r>
    <x v="8"/>
    <x v="140"/>
    <x v="7"/>
    <x v="13"/>
    <n v="1"/>
    <n v="0"/>
    <n v="0"/>
    <n v="0"/>
    <n v="0"/>
    <n v="0"/>
    <n v="0"/>
    <m/>
    <m/>
    <m/>
    <m/>
    <m/>
    <m/>
    <m/>
    <m/>
    <m/>
    <m/>
    <m/>
    <m/>
    <m/>
    <m/>
    <m/>
    <m/>
    <m/>
    <m/>
    <m/>
    <m/>
    <m/>
    <m/>
    <m/>
    <m/>
    <m/>
    <m/>
    <m/>
    <m/>
    <n v="6"/>
    <x v="3"/>
  </r>
  <r>
    <x v="4"/>
    <x v="140"/>
    <x v="7"/>
    <x v="13"/>
    <n v="1"/>
    <n v="0"/>
    <n v="0"/>
    <n v="0"/>
    <n v="0"/>
    <n v="0"/>
    <n v="0"/>
    <s v="Rosette Rwabugahya"/>
    <s v="Collections Group"/>
    <d v="2025-07-11T00:00:00"/>
    <d v="1899-12-30T19:59:36"/>
    <d v="1899-12-30T20:04:58"/>
    <n v="0.08"/>
    <n v="0.09"/>
    <n v="7.0000000000000007E-2"/>
    <n v="0"/>
    <n v="0"/>
    <n v="0.01"/>
    <n v="0"/>
    <n v="0"/>
    <n v="0"/>
    <n v="0"/>
    <n v="0"/>
    <n v="0.01"/>
    <n v="0.09"/>
    <n v="77.709999999999994"/>
    <n v="0"/>
    <n v="0"/>
    <n v="6.5"/>
    <n v="0"/>
    <n v="0"/>
    <n v="0"/>
    <n v="0"/>
    <n v="0"/>
    <n v="15.79"/>
    <n v="6"/>
    <x v="3"/>
  </r>
  <r>
    <x v="6"/>
    <x v="140"/>
    <x v="7"/>
    <x v="227"/>
    <n v="0"/>
    <n v="0"/>
    <n v="0"/>
    <n v="0"/>
    <n v="0"/>
    <n v="0"/>
    <n v="0"/>
    <m/>
    <m/>
    <m/>
    <m/>
    <m/>
    <m/>
    <m/>
    <m/>
    <m/>
    <m/>
    <m/>
    <m/>
    <m/>
    <m/>
    <m/>
    <m/>
    <m/>
    <m/>
    <m/>
    <m/>
    <m/>
    <m/>
    <m/>
    <m/>
    <m/>
    <m/>
    <m/>
    <m/>
    <n v="6"/>
    <x v="3"/>
  </r>
  <r>
    <x v="0"/>
    <x v="141"/>
    <x v="7"/>
    <x v="104"/>
    <n v="50"/>
    <n v="0"/>
    <n v="0"/>
    <n v="4"/>
    <n v="3"/>
    <n v="0"/>
    <n v="30"/>
    <s v="Anais Orozco"/>
    <s v="Collections Group"/>
    <d v="2025-07-10T00:00:00"/>
    <d v="1899-12-30T12:59:25"/>
    <d v="1899-12-30T22:00:06"/>
    <n v="9.02"/>
    <n v="8.2200000000000006"/>
    <n v="2.08"/>
    <n v="0.44"/>
    <n v="0"/>
    <n v="0.16"/>
    <n v="4.71"/>
    <n v="0.63"/>
    <n v="0.17"/>
    <n v="0"/>
    <n v="0"/>
    <n v="0.04"/>
    <n v="8.2200000000000006"/>
    <n v="25.29"/>
    <n v="5.31"/>
    <n v="0"/>
    <n v="1.91"/>
    <n v="57.32"/>
    <n v="7.65"/>
    <n v="2.0499999999999998"/>
    <n v="0"/>
    <n v="0"/>
    <n v="0.47"/>
    <n v="5"/>
    <x v="4"/>
  </r>
  <r>
    <x v="15"/>
    <x v="141"/>
    <x v="7"/>
    <x v="110"/>
    <n v="63"/>
    <n v="9"/>
    <n v="0"/>
    <n v="12"/>
    <n v="1"/>
    <n v="0"/>
    <n v="33"/>
    <s v="Candace Smith"/>
    <s v="Collections Group"/>
    <d v="2025-07-10T00:00:00"/>
    <d v="1899-12-30T13:04:49"/>
    <d v="1899-12-30T22:00:17"/>
    <n v="8.93"/>
    <n v="8.0299999999999994"/>
    <n v="0.93"/>
    <n v="0.86"/>
    <n v="0"/>
    <n v="0.31"/>
    <n v="4.29"/>
    <n v="0.56000000000000005"/>
    <n v="1.07"/>
    <n v="0"/>
    <n v="0"/>
    <n v="0.01"/>
    <n v="8.0299999999999994"/>
    <n v="11.57"/>
    <n v="10.72"/>
    <n v="0"/>
    <n v="3.88"/>
    <n v="53.38"/>
    <n v="6.99"/>
    <n v="13.33"/>
    <n v="0"/>
    <n v="0"/>
    <n v="0.13"/>
    <n v="5"/>
    <x v="4"/>
  </r>
  <r>
    <x v="1"/>
    <x v="141"/>
    <x v="7"/>
    <x v="113"/>
    <n v="44"/>
    <n v="5"/>
    <n v="4"/>
    <n v="9"/>
    <n v="0"/>
    <n v="0"/>
    <n v="14"/>
    <s v="Derice Warnsley"/>
    <s v="Collections Group"/>
    <d v="2025-07-10T00:00:00"/>
    <d v="1899-12-30T12:59:46"/>
    <d v="1899-12-30T22:00:13"/>
    <n v="9.02"/>
    <n v="9.01"/>
    <n v="1.27"/>
    <n v="7.0000000000000007E-2"/>
    <n v="0"/>
    <n v="0.02"/>
    <n v="5.18"/>
    <n v="1.45"/>
    <n v="1.01"/>
    <n v="0"/>
    <n v="0"/>
    <n v="0.01"/>
    <n v="9.01"/>
    <n v="14.09"/>
    <n v="0.81"/>
    <n v="0"/>
    <n v="0.18"/>
    <n v="57.48"/>
    <n v="16.079999999999998"/>
    <n v="11.26"/>
    <n v="0"/>
    <n v="0"/>
    <n v="0.1"/>
    <n v="5"/>
    <x v="4"/>
  </r>
  <r>
    <x v="3"/>
    <x v="141"/>
    <x v="7"/>
    <x v="64"/>
    <n v="67"/>
    <n v="3"/>
    <n v="4"/>
    <n v="9"/>
    <n v="0"/>
    <n v="4"/>
    <n v="33"/>
    <s v="Jerrod Coleman"/>
    <s v="Collections Group"/>
    <d v="2025-07-10T00:00:00"/>
    <d v="1899-12-30T12:59:51"/>
    <d v="1899-12-30T22:02:07"/>
    <n v="9.0500000000000007"/>
    <n v="9.0399999999999991"/>
    <n v="1.37"/>
    <n v="0.22"/>
    <n v="0"/>
    <n v="0.26"/>
    <n v="5.01"/>
    <n v="1.44"/>
    <n v="0.72"/>
    <n v="0"/>
    <n v="0"/>
    <n v="0.01"/>
    <n v="9.0399999999999991"/>
    <n v="15.19"/>
    <n v="2.46"/>
    <n v="0"/>
    <n v="2.92"/>
    <n v="55.49"/>
    <n v="15.93"/>
    <n v="7.93"/>
    <n v="0"/>
    <n v="0"/>
    <n v="7.0000000000000007E-2"/>
    <n v="5"/>
    <x v="4"/>
  </r>
  <r>
    <x v="5"/>
    <x v="141"/>
    <x v="7"/>
    <x v="116"/>
    <n v="57"/>
    <n v="3"/>
    <n v="0"/>
    <n v="6"/>
    <n v="0"/>
    <n v="0"/>
    <n v="37"/>
    <s v="Sabigh Masood"/>
    <s v="Collections Group"/>
    <d v="2025-07-10T00:00:00"/>
    <d v="1899-12-30T12:59:41"/>
    <d v="1899-12-30T22:04:42"/>
    <n v="9.08"/>
    <n v="9.08"/>
    <n v="1.54"/>
    <n v="0.15"/>
    <n v="0"/>
    <n v="0.41"/>
    <n v="4.8"/>
    <n v="1.45"/>
    <n v="0.72"/>
    <n v="0"/>
    <n v="0"/>
    <n v="0"/>
    <n v="9.08"/>
    <n v="16.98"/>
    <n v="1.7"/>
    <n v="0"/>
    <n v="4.54"/>
    <n v="52.81"/>
    <n v="15.97"/>
    <n v="7.95"/>
    <n v="0"/>
    <n v="0"/>
    <n v="0.04"/>
    <n v="5"/>
    <x v="4"/>
  </r>
  <r>
    <x v="6"/>
    <x v="141"/>
    <x v="7"/>
    <x v="228"/>
    <n v="0"/>
    <n v="0"/>
    <n v="0"/>
    <n v="0"/>
    <n v="0"/>
    <n v="0"/>
    <n v="0"/>
    <m/>
    <m/>
    <m/>
    <m/>
    <m/>
    <m/>
    <m/>
    <m/>
    <m/>
    <m/>
    <m/>
    <m/>
    <m/>
    <m/>
    <m/>
    <m/>
    <m/>
    <m/>
    <m/>
    <m/>
    <m/>
    <m/>
    <m/>
    <m/>
    <m/>
    <m/>
    <m/>
    <m/>
    <n v="5"/>
    <x v="4"/>
  </r>
  <r>
    <x v="0"/>
    <x v="142"/>
    <x v="7"/>
    <x v="74"/>
    <n v="51"/>
    <n v="2"/>
    <n v="9"/>
    <n v="6"/>
    <n v="0"/>
    <n v="2"/>
    <n v="29"/>
    <s v="Anais Orozco"/>
    <s v="Collections Group"/>
    <d v="2025-07-09T00:00:00"/>
    <d v="1899-12-30T13:00:17"/>
    <d v="1899-12-30T22:00:51"/>
    <n v="9"/>
    <n v="7.93"/>
    <n v="1.79"/>
    <n v="0.15"/>
    <n v="0"/>
    <n v="0.25"/>
    <n v="4.68"/>
    <n v="0.39"/>
    <n v="0.65"/>
    <n v="0"/>
    <n v="0"/>
    <n v="0.02"/>
    <n v="7.93"/>
    <n v="22.62"/>
    <n v="1.9"/>
    <n v="0"/>
    <n v="3.1"/>
    <n v="58.97"/>
    <n v="4.97"/>
    <n v="8.2200000000000006"/>
    <n v="0"/>
    <n v="0"/>
    <n v="0.23"/>
    <n v="4"/>
    <x v="0"/>
  </r>
  <r>
    <x v="15"/>
    <x v="142"/>
    <x v="7"/>
    <x v="109"/>
    <n v="58"/>
    <n v="5"/>
    <n v="6"/>
    <n v="2"/>
    <n v="0"/>
    <n v="3"/>
    <n v="35"/>
    <s v="Candace Smith"/>
    <s v="Collections Group"/>
    <d v="2025-07-09T00:00:00"/>
    <d v="1899-12-30T13:06:03"/>
    <d v="1899-12-30T21:59:30"/>
    <n v="8.8800000000000008"/>
    <n v="7.99"/>
    <n v="0.94"/>
    <n v="0.37"/>
    <n v="0"/>
    <n v="0.56999999999999995"/>
    <n v="5.59"/>
    <n v="0.5"/>
    <n v="0"/>
    <n v="0"/>
    <n v="0"/>
    <n v="0.02"/>
    <n v="7.99"/>
    <n v="11.79"/>
    <n v="4.6500000000000004"/>
    <n v="0"/>
    <n v="7.13"/>
    <n v="69.94"/>
    <n v="6.22"/>
    <n v="0"/>
    <n v="0"/>
    <n v="0"/>
    <n v="0.26"/>
    <n v="4"/>
    <x v="0"/>
  </r>
  <r>
    <x v="1"/>
    <x v="142"/>
    <x v="7"/>
    <x v="118"/>
    <n v="72"/>
    <n v="4"/>
    <n v="7"/>
    <n v="3"/>
    <n v="1"/>
    <n v="3"/>
    <n v="39"/>
    <s v="Derice Warnsley"/>
    <s v="Collections Group"/>
    <d v="2025-07-09T00:00:00"/>
    <d v="1899-12-30T13:00:24"/>
    <d v="1899-12-30T22:00:03"/>
    <n v="9"/>
    <n v="8.99"/>
    <n v="1.34"/>
    <n v="0.17"/>
    <n v="0"/>
    <n v="0.02"/>
    <n v="5.97"/>
    <n v="1.48"/>
    <n v="0"/>
    <n v="0"/>
    <n v="0"/>
    <n v="0.01"/>
    <n v="8.99"/>
    <n v="14.93"/>
    <n v="1.94"/>
    <n v="0"/>
    <n v="0.2"/>
    <n v="66.34"/>
    <n v="16.489999999999998"/>
    <n v="0"/>
    <n v="0"/>
    <n v="0"/>
    <n v="0.1"/>
    <n v="4"/>
    <x v="0"/>
  </r>
  <r>
    <x v="3"/>
    <x v="142"/>
    <x v="7"/>
    <x v="74"/>
    <n v="37"/>
    <n v="6"/>
    <n v="10"/>
    <n v="1"/>
    <n v="0"/>
    <n v="2"/>
    <n v="16"/>
    <s v="Jerrod Coleman"/>
    <s v="Collections Group"/>
    <d v="2025-07-09T00:00:00"/>
    <d v="1899-12-30T13:00:11"/>
    <d v="1899-12-30T21:59:09"/>
    <n v="8.98"/>
    <n v="8.98"/>
    <n v="1.45"/>
    <n v="0"/>
    <n v="0"/>
    <n v="0.37"/>
    <n v="5.71"/>
    <n v="1.45"/>
    <n v="0"/>
    <n v="0"/>
    <n v="0"/>
    <n v="0"/>
    <n v="8.98"/>
    <n v="16.12"/>
    <n v="0"/>
    <n v="0"/>
    <n v="4.17"/>
    <n v="63.54"/>
    <n v="16.12"/>
    <n v="0"/>
    <n v="0"/>
    <n v="0"/>
    <n v="0.05"/>
    <n v="4"/>
    <x v="0"/>
  </r>
  <r>
    <x v="5"/>
    <x v="142"/>
    <x v="7"/>
    <x v="75"/>
    <n v="91"/>
    <n v="2"/>
    <n v="5"/>
    <n v="7"/>
    <n v="0"/>
    <n v="1"/>
    <n v="58"/>
    <s v="Sabigh Masood"/>
    <s v="Collections Group"/>
    <d v="2025-07-09T00:00:00"/>
    <d v="1899-12-30T12:59:57"/>
    <d v="1899-12-30T22:05:29"/>
    <n v="9.1"/>
    <n v="9.09"/>
    <n v="0.55000000000000004"/>
    <n v="0.25"/>
    <n v="0"/>
    <n v="0.23"/>
    <n v="6.58"/>
    <n v="1.46"/>
    <n v="0"/>
    <n v="0"/>
    <n v="0.02"/>
    <n v="0"/>
    <n v="9.09"/>
    <n v="6.03"/>
    <n v="2.7"/>
    <n v="0"/>
    <n v="2.54"/>
    <n v="72.42"/>
    <n v="16.03"/>
    <n v="0"/>
    <n v="0"/>
    <n v="0.23"/>
    <n v="0.04"/>
    <n v="4"/>
    <x v="0"/>
  </r>
  <r>
    <x v="6"/>
    <x v="142"/>
    <x v="7"/>
    <x v="229"/>
    <n v="0"/>
    <n v="0"/>
    <n v="0"/>
    <n v="0"/>
    <n v="0"/>
    <n v="0"/>
    <n v="0"/>
    <m/>
    <m/>
    <m/>
    <m/>
    <m/>
    <m/>
    <m/>
    <m/>
    <m/>
    <m/>
    <m/>
    <m/>
    <m/>
    <m/>
    <m/>
    <m/>
    <m/>
    <m/>
    <m/>
    <m/>
    <m/>
    <m/>
    <m/>
    <m/>
    <m/>
    <m/>
    <m/>
    <m/>
    <n v="4"/>
    <x v="0"/>
  </r>
  <r>
    <x v="0"/>
    <x v="143"/>
    <x v="7"/>
    <x v="118"/>
    <n v="71"/>
    <n v="6"/>
    <n v="1"/>
    <n v="9"/>
    <n v="0"/>
    <n v="0"/>
    <n v="40"/>
    <s v="Anais Orozco"/>
    <s v="Collections Group"/>
    <d v="2025-07-08T00:00:00"/>
    <d v="1899-12-30T12:55:27"/>
    <d v="1899-12-30T22:00:14"/>
    <n v="9.08"/>
    <n v="8.2799999999999994"/>
    <n v="0.78"/>
    <n v="0.28999999999999998"/>
    <n v="0"/>
    <n v="0.19"/>
    <n v="6.24"/>
    <n v="0.67"/>
    <n v="0"/>
    <n v="0"/>
    <n v="0"/>
    <n v="0.11"/>
    <n v="8.2799999999999994"/>
    <n v="9.4499999999999993"/>
    <n v="3.47"/>
    <n v="0"/>
    <n v="2.2799999999999998"/>
    <n v="75.349999999999994"/>
    <n v="8.07"/>
    <n v="0"/>
    <n v="0"/>
    <n v="0"/>
    <n v="1.37"/>
    <n v="3"/>
    <x v="1"/>
  </r>
  <r>
    <x v="15"/>
    <x v="143"/>
    <x v="7"/>
    <x v="113"/>
    <n v="51"/>
    <n v="4"/>
    <n v="2"/>
    <n v="7"/>
    <n v="0"/>
    <n v="1"/>
    <n v="23"/>
    <s v="Candace Smith"/>
    <s v="Collections Group"/>
    <d v="2025-07-08T00:00:00"/>
    <d v="1899-12-30T13:03:01"/>
    <d v="1899-12-30T21:59:08"/>
    <n v="8.93"/>
    <n v="8.08"/>
    <n v="1.1499999999999999"/>
    <n v="0.36"/>
    <n v="0"/>
    <n v="0.62"/>
    <n v="4.72"/>
    <n v="0.67"/>
    <n v="0.52"/>
    <n v="0"/>
    <n v="0.02"/>
    <n v="0.03"/>
    <n v="8.08"/>
    <n v="14.22"/>
    <n v="4.42"/>
    <n v="0"/>
    <n v="7.65"/>
    <n v="58.32"/>
    <n v="8.3000000000000007"/>
    <n v="6.48"/>
    <n v="0"/>
    <n v="0.23"/>
    <n v="0.38"/>
    <n v="3"/>
    <x v="1"/>
  </r>
  <r>
    <x v="1"/>
    <x v="143"/>
    <x v="7"/>
    <x v="90"/>
    <n v="54"/>
    <n v="3"/>
    <n v="0"/>
    <n v="3"/>
    <n v="0"/>
    <n v="0"/>
    <n v="31"/>
    <s v="Derice Warnsley"/>
    <s v="Collections Group"/>
    <d v="2025-07-08T00:00:00"/>
    <d v="1899-12-30T13:00:35"/>
    <d v="1899-12-30T22:00:06"/>
    <n v="9"/>
    <n v="8.99"/>
    <n v="1.87"/>
    <n v="0.16"/>
    <n v="0"/>
    <n v="0.02"/>
    <n v="5.45"/>
    <n v="1.49"/>
    <n v="0"/>
    <n v="0"/>
    <n v="0"/>
    <n v="0"/>
    <n v="8.99"/>
    <n v="20.83"/>
    <n v="1.73"/>
    <n v="0"/>
    <n v="0.27"/>
    <n v="60.56"/>
    <n v="16.559999999999999"/>
    <n v="0"/>
    <n v="0"/>
    <n v="0"/>
    <n v="0.04"/>
    <n v="3"/>
    <x v="1"/>
  </r>
  <r>
    <x v="2"/>
    <x v="143"/>
    <x v="7"/>
    <x v="13"/>
    <n v="2"/>
    <n v="2"/>
    <n v="0"/>
    <n v="0"/>
    <n v="0"/>
    <n v="0"/>
    <n v="0"/>
    <m/>
    <m/>
    <m/>
    <m/>
    <m/>
    <m/>
    <m/>
    <m/>
    <m/>
    <m/>
    <m/>
    <m/>
    <m/>
    <m/>
    <m/>
    <m/>
    <m/>
    <m/>
    <m/>
    <m/>
    <m/>
    <m/>
    <m/>
    <m/>
    <m/>
    <m/>
    <m/>
    <m/>
    <n v="3"/>
    <x v="1"/>
  </r>
  <r>
    <x v="3"/>
    <x v="143"/>
    <x v="7"/>
    <x v="110"/>
    <n v="57"/>
    <n v="4"/>
    <n v="7"/>
    <n v="2"/>
    <n v="0"/>
    <n v="0"/>
    <n v="34"/>
    <s v="Jerrod Coleman"/>
    <s v="Collections Group"/>
    <d v="2025-07-08T00:00:00"/>
    <d v="1899-12-30T12:58:47"/>
    <d v="1899-12-30T21:58:28"/>
    <n v="9"/>
    <n v="8.99"/>
    <n v="0.89"/>
    <n v="0.31"/>
    <n v="0"/>
    <n v="0.23"/>
    <n v="5.57"/>
    <n v="1.47"/>
    <n v="0.5"/>
    <n v="0"/>
    <n v="0"/>
    <n v="0.02"/>
    <n v="8.99"/>
    <n v="9.92"/>
    <n v="3.39"/>
    <n v="0"/>
    <n v="2.54"/>
    <n v="61.97"/>
    <n v="16.309999999999999"/>
    <n v="5.61"/>
    <n v="0"/>
    <n v="0"/>
    <n v="0.26"/>
    <n v="3"/>
    <x v="1"/>
  </r>
  <r>
    <x v="5"/>
    <x v="143"/>
    <x v="7"/>
    <x v="74"/>
    <n v="49"/>
    <n v="4"/>
    <n v="2"/>
    <n v="16"/>
    <n v="0"/>
    <n v="0"/>
    <n v="19"/>
    <s v="Sabigh Masood"/>
    <s v="Collections Group"/>
    <d v="2025-07-08T00:00:00"/>
    <d v="1899-12-30T13:01:53"/>
    <d v="1899-12-30T22:24:54"/>
    <n v="9.3800000000000008"/>
    <n v="9.3800000000000008"/>
    <n v="2.11"/>
    <n v="0.18"/>
    <n v="0"/>
    <n v="0.41"/>
    <n v="4.5999999999999996"/>
    <n v="1.37"/>
    <n v="0.66"/>
    <n v="0"/>
    <n v="0.03"/>
    <n v="0.03"/>
    <n v="9.3800000000000008"/>
    <n v="22.5"/>
    <n v="1.94"/>
    <n v="0"/>
    <n v="4.33"/>
    <n v="49.05"/>
    <n v="14.63"/>
    <n v="6.98"/>
    <n v="0"/>
    <n v="0.3"/>
    <n v="0.27"/>
    <n v="3"/>
    <x v="1"/>
  </r>
  <r>
    <x v="6"/>
    <x v="143"/>
    <x v="7"/>
    <x v="219"/>
    <n v="0"/>
    <n v="0"/>
    <n v="0"/>
    <n v="0"/>
    <n v="0"/>
    <n v="0"/>
    <n v="0"/>
    <m/>
    <m/>
    <m/>
    <m/>
    <m/>
    <m/>
    <m/>
    <m/>
    <m/>
    <m/>
    <m/>
    <m/>
    <m/>
    <m/>
    <m/>
    <m/>
    <m/>
    <m/>
    <m/>
    <m/>
    <m/>
    <m/>
    <m/>
    <m/>
    <m/>
    <m/>
    <m/>
    <m/>
    <n v="3"/>
    <x v="1"/>
  </r>
  <r>
    <x v="0"/>
    <x v="144"/>
    <x v="7"/>
    <x v="113"/>
    <n v="58"/>
    <n v="6"/>
    <n v="7"/>
    <n v="4"/>
    <n v="0"/>
    <n v="0"/>
    <n v="31"/>
    <s v="Anais Orozco"/>
    <s v="Collections Group"/>
    <d v="2025-07-07T00:00:00"/>
    <d v="1899-12-30T13:01:00"/>
    <d v="1899-12-30T22:00:14"/>
    <n v="8.98"/>
    <n v="8.06"/>
    <n v="1.1499999999999999"/>
    <n v="0.21"/>
    <n v="0"/>
    <n v="0.25"/>
    <n v="5.82"/>
    <n v="0.5"/>
    <n v="0.11"/>
    <n v="0"/>
    <n v="0"/>
    <n v="0.03"/>
    <n v="8.06"/>
    <n v="14.29"/>
    <n v="2.5499999999999998"/>
    <n v="0"/>
    <n v="3.11"/>
    <n v="72.17"/>
    <n v="6.18"/>
    <n v="1.31"/>
    <n v="0"/>
    <n v="0"/>
    <n v="0.4"/>
    <n v="2"/>
    <x v="2"/>
  </r>
  <r>
    <x v="15"/>
    <x v="144"/>
    <x v="7"/>
    <x v="114"/>
    <n v="22"/>
    <n v="1"/>
    <n v="0"/>
    <n v="3"/>
    <n v="0"/>
    <n v="0"/>
    <n v="14"/>
    <s v="Candace Smith"/>
    <s v="Collections Group"/>
    <d v="2025-07-07T00:00:00"/>
    <d v="1899-12-30T13:04:02"/>
    <d v="1899-12-30T21:57:42"/>
    <n v="8.8800000000000008"/>
    <n v="8.07"/>
    <n v="0.39"/>
    <n v="0.08"/>
    <n v="0"/>
    <n v="0.43"/>
    <n v="5.87"/>
    <n v="0.71"/>
    <n v="0.49"/>
    <n v="0"/>
    <n v="0.08"/>
    <n v="0.03"/>
    <n v="8.07"/>
    <n v="4.78"/>
    <n v="0.94"/>
    <n v="0"/>
    <n v="5.29"/>
    <n v="72.72"/>
    <n v="8.77"/>
    <n v="6.09"/>
    <n v="0"/>
    <n v="1.01"/>
    <n v="0.4"/>
    <n v="2"/>
    <x v="2"/>
  </r>
  <r>
    <x v="1"/>
    <x v="144"/>
    <x v="7"/>
    <x v="42"/>
    <n v="77"/>
    <n v="5"/>
    <n v="1"/>
    <n v="3"/>
    <n v="0"/>
    <n v="4"/>
    <n v="34"/>
    <s v="Derice Warnsley"/>
    <s v="Collections Group"/>
    <d v="2025-07-07T00:00:00"/>
    <d v="1899-12-30T13:00:38"/>
    <d v="1899-12-30T22:00:16"/>
    <n v="9"/>
    <n v="8.99"/>
    <n v="1.49"/>
    <n v="0.09"/>
    <n v="0"/>
    <n v="0.02"/>
    <n v="5.88"/>
    <n v="1.51"/>
    <n v="0"/>
    <n v="0"/>
    <n v="0"/>
    <n v="0"/>
    <n v="8.99"/>
    <n v="16.54"/>
    <n v="1.01"/>
    <n v="0"/>
    <n v="0.25"/>
    <n v="65.41"/>
    <n v="16.760000000000002"/>
    <n v="0"/>
    <n v="0"/>
    <n v="0"/>
    <n v="0.04"/>
    <n v="2"/>
    <x v="2"/>
  </r>
  <r>
    <x v="3"/>
    <x v="144"/>
    <x v="7"/>
    <x v="75"/>
    <n v="70"/>
    <n v="8"/>
    <n v="3"/>
    <n v="2"/>
    <n v="0"/>
    <n v="1"/>
    <n v="41"/>
    <s v="Jerrod Coleman"/>
    <s v="Collections Group"/>
    <d v="2025-07-07T00:00:00"/>
    <d v="1899-12-30T13:00:05"/>
    <d v="1899-12-30T22:00:03"/>
    <n v="9"/>
    <n v="8.1199999999999992"/>
    <n v="0.53"/>
    <n v="0.22"/>
    <n v="0"/>
    <n v="0.22"/>
    <n v="6.37"/>
    <n v="0.69"/>
    <n v="0"/>
    <n v="0"/>
    <n v="0"/>
    <n v="0.09"/>
    <n v="8.1199999999999992"/>
    <n v="6.48"/>
    <n v="2.66"/>
    <n v="0"/>
    <n v="2.7"/>
    <n v="78.48"/>
    <n v="8.5399999999999991"/>
    <n v="0"/>
    <n v="0"/>
    <n v="0"/>
    <n v="1.1399999999999999"/>
    <n v="2"/>
    <x v="2"/>
  </r>
  <r>
    <x v="5"/>
    <x v="144"/>
    <x v="7"/>
    <x v="109"/>
    <n v="62"/>
    <n v="9"/>
    <n v="8"/>
    <n v="3"/>
    <n v="0"/>
    <n v="1"/>
    <n v="34"/>
    <s v="Sabigh Masood"/>
    <s v="Collections Group"/>
    <d v="2025-07-07T00:00:00"/>
    <d v="1899-12-30T12:59:54"/>
    <d v="1899-12-30T22:02:14"/>
    <n v="9.0500000000000007"/>
    <n v="9.0399999999999991"/>
    <n v="1.35"/>
    <n v="0.12"/>
    <n v="0"/>
    <n v="0.35"/>
    <n v="5.74"/>
    <n v="1.47"/>
    <n v="0"/>
    <n v="0"/>
    <n v="0"/>
    <n v="0.01"/>
    <n v="9.0399999999999991"/>
    <n v="14.9"/>
    <n v="1.36"/>
    <n v="0"/>
    <n v="3.89"/>
    <n v="63.48"/>
    <n v="16.21"/>
    <n v="0"/>
    <n v="0"/>
    <n v="0"/>
    <n v="0.14000000000000001"/>
    <n v="2"/>
    <x v="2"/>
  </r>
  <r>
    <x v="6"/>
    <x v="144"/>
    <x v="7"/>
    <x v="228"/>
    <n v="0"/>
    <n v="0"/>
    <n v="0"/>
    <n v="0"/>
    <n v="0"/>
    <n v="0"/>
    <n v="0"/>
    <m/>
    <m/>
    <m/>
    <m/>
    <m/>
    <m/>
    <m/>
    <m/>
    <m/>
    <m/>
    <m/>
    <m/>
    <m/>
    <m/>
    <m/>
    <m/>
    <m/>
    <m/>
    <m/>
    <m/>
    <m/>
    <m/>
    <m/>
    <m/>
    <m/>
    <m/>
    <m/>
    <m/>
    <n v="2"/>
    <x v="2"/>
  </r>
  <r>
    <x v="0"/>
    <x v="145"/>
    <x v="7"/>
    <x v="51"/>
    <n v="97"/>
    <n v="6"/>
    <n v="0"/>
    <n v="10"/>
    <n v="0"/>
    <n v="0"/>
    <n v="53"/>
    <s v="Anais Orozco"/>
    <s v="Collections Group"/>
    <d v="2025-07-03T00:00:00"/>
    <d v="1899-12-30T13:01:28"/>
    <d v="1899-12-30T22:03:24"/>
    <n v="9.0299999999999994"/>
    <n v="8.27"/>
    <n v="1.21"/>
    <n v="0.04"/>
    <n v="0"/>
    <n v="0.28999999999999998"/>
    <n v="5.96"/>
    <n v="0.66"/>
    <n v="0"/>
    <n v="0"/>
    <n v="0"/>
    <n v="0.11"/>
    <n v="8.27"/>
    <n v="14.63"/>
    <n v="0.54"/>
    <n v="0"/>
    <n v="3.46"/>
    <n v="72.05"/>
    <n v="7.96"/>
    <n v="0"/>
    <n v="0"/>
    <n v="0"/>
    <n v="1.37"/>
    <n v="5"/>
    <x v="4"/>
  </r>
  <r>
    <x v="15"/>
    <x v="145"/>
    <x v="7"/>
    <x v="190"/>
    <n v="20"/>
    <n v="0"/>
    <n v="0"/>
    <n v="6"/>
    <n v="0"/>
    <n v="2"/>
    <n v="8"/>
    <s v="Candace Smith"/>
    <s v="Collections Group"/>
    <d v="2025-07-03T00:00:00"/>
    <d v="1899-12-30T13:00:00"/>
    <d v="1899-12-30T15:03:15"/>
    <n v="2.0499999999999998"/>
    <n v="2.0499999999999998"/>
    <n v="0.5"/>
    <n v="0"/>
    <n v="0"/>
    <n v="0.27"/>
    <n v="1.26"/>
    <n v="0"/>
    <n v="0"/>
    <n v="0"/>
    <n v="0"/>
    <n v="0.02"/>
    <n v="2.0499999999999998"/>
    <n v="24.51"/>
    <n v="0"/>
    <n v="0"/>
    <n v="13.38"/>
    <n v="61.28"/>
    <n v="0"/>
    <n v="0"/>
    <n v="0"/>
    <n v="0"/>
    <n v="0.84"/>
    <n v="5"/>
    <x v="4"/>
  </r>
  <r>
    <x v="1"/>
    <x v="145"/>
    <x v="7"/>
    <x v="51"/>
    <n v="72"/>
    <n v="7"/>
    <n v="4"/>
    <n v="9"/>
    <n v="0"/>
    <n v="0"/>
    <n v="33"/>
    <s v="Derice Warnsley"/>
    <s v="Collections Group"/>
    <d v="2025-07-03T00:00:00"/>
    <d v="1899-12-30T13:00:46"/>
    <d v="1899-12-30T22:00:17"/>
    <n v="9"/>
    <n v="8.99"/>
    <n v="1.95"/>
    <n v="0.1"/>
    <n v="0"/>
    <n v="0.02"/>
    <n v="5.05"/>
    <n v="1.49"/>
    <n v="0.38"/>
    <n v="0"/>
    <n v="0"/>
    <n v="0"/>
    <n v="8.99"/>
    <n v="21.64"/>
    <n v="1.1299999999999999"/>
    <n v="0"/>
    <n v="0.27"/>
    <n v="56.11"/>
    <n v="16.53"/>
    <n v="4.2699999999999996"/>
    <n v="0"/>
    <n v="0"/>
    <n v="0.05"/>
    <n v="5"/>
    <x v="4"/>
  </r>
  <r>
    <x v="3"/>
    <x v="145"/>
    <x v="7"/>
    <x v="69"/>
    <n v="80"/>
    <n v="3"/>
    <n v="4"/>
    <n v="5"/>
    <n v="0"/>
    <n v="1"/>
    <n v="49"/>
    <s v="Jerrod Coleman"/>
    <s v="Collections Group"/>
    <d v="2025-07-03T00:00:00"/>
    <d v="1899-12-30T13:00:08"/>
    <d v="1899-12-30T19:00:28"/>
    <n v="6"/>
    <n v="6.01"/>
    <n v="0.86"/>
    <n v="0"/>
    <n v="0"/>
    <n v="0.18"/>
    <n v="3.7"/>
    <n v="1.21"/>
    <n v="0.05"/>
    <n v="0"/>
    <n v="0"/>
    <n v="0.01"/>
    <n v="6.01"/>
    <n v="14.26"/>
    <n v="0"/>
    <n v="0"/>
    <n v="2.96"/>
    <n v="61.68"/>
    <n v="20.11"/>
    <n v="0.9"/>
    <n v="0"/>
    <n v="0"/>
    <n v="0.08"/>
    <n v="5"/>
    <x v="4"/>
  </r>
  <r>
    <x v="6"/>
    <x v="145"/>
    <x v="7"/>
    <x v="230"/>
    <n v="0"/>
    <n v="0"/>
    <n v="0"/>
    <n v="0"/>
    <n v="0"/>
    <n v="0"/>
    <n v="0"/>
    <m/>
    <m/>
    <m/>
    <m/>
    <m/>
    <m/>
    <m/>
    <m/>
    <m/>
    <m/>
    <m/>
    <m/>
    <m/>
    <m/>
    <m/>
    <m/>
    <m/>
    <m/>
    <m/>
    <m/>
    <m/>
    <m/>
    <m/>
    <m/>
    <m/>
    <m/>
    <m/>
    <m/>
    <n v="5"/>
    <x v="4"/>
  </r>
  <r>
    <x v="0"/>
    <x v="146"/>
    <x v="7"/>
    <x v="104"/>
    <n v="53"/>
    <n v="4"/>
    <n v="2"/>
    <n v="0"/>
    <n v="0"/>
    <n v="0"/>
    <n v="31"/>
    <s v="Anais Orozco"/>
    <s v="Collections Group"/>
    <d v="2025-07-02T00:00:00"/>
    <d v="1899-12-30T13:01:05"/>
    <d v="1899-12-30T22:00:13"/>
    <n v="8.98"/>
    <n v="8.0500000000000007"/>
    <n v="0.45"/>
    <n v="0.2"/>
    <n v="0"/>
    <n v="0.21"/>
    <n v="6.41"/>
    <n v="0.59"/>
    <n v="0.18"/>
    <n v="0"/>
    <n v="0"/>
    <n v="0.02"/>
    <n v="8.0500000000000007"/>
    <n v="5.62"/>
    <n v="2.52"/>
    <n v="0"/>
    <n v="2.58"/>
    <n v="79.55"/>
    <n v="7.31"/>
    <n v="2.2400000000000002"/>
    <n v="0"/>
    <n v="0"/>
    <n v="0.19"/>
    <n v="4"/>
    <x v="0"/>
  </r>
  <r>
    <x v="15"/>
    <x v="146"/>
    <x v="7"/>
    <x v="24"/>
    <n v="42"/>
    <n v="0"/>
    <n v="0"/>
    <n v="2"/>
    <n v="0"/>
    <n v="1"/>
    <n v="28"/>
    <s v="Candace Smith"/>
    <s v="Collections Group"/>
    <d v="2025-07-02T00:00:00"/>
    <d v="1899-12-30T15:16:38"/>
    <d v="1899-12-30T21:59:27"/>
    <n v="6.72"/>
    <n v="6.05"/>
    <n v="0.37"/>
    <n v="0"/>
    <n v="0"/>
    <n v="0.27"/>
    <n v="4.79"/>
    <n v="0.56999999999999995"/>
    <n v="0"/>
    <n v="0"/>
    <n v="0"/>
    <n v="0.05"/>
    <n v="6.05"/>
    <n v="6.16"/>
    <n v="0"/>
    <n v="0"/>
    <n v="4.49"/>
    <n v="79.12"/>
    <n v="9.4499999999999993"/>
    <n v="0"/>
    <n v="0"/>
    <n v="0"/>
    <n v="0.79"/>
    <n v="4"/>
    <x v="0"/>
  </r>
  <r>
    <x v="1"/>
    <x v="146"/>
    <x v="7"/>
    <x v="52"/>
    <n v="92"/>
    <n v="8"/>
    <n v="1"/>
    <n v="4"/>
    <n v="4"/>
    <n v="0"/>
    <n v="40"/>
    <s v="Derice Warnsley"/>
    <s v="Collections Group"/>
    <d v="2025-07-02T00:00:00"/>
    <d v="1899-12-30T13:00:14"/>
    <d v="1899-12-30T22:00:11"/>
    <n v="9"/>
    <n v="9"/>
    <n v="1.5"/>
    <n v="0.04"/>
    <n v="0"/>
    <n v="0.03"/>
    <n v="5.95"/>
    <n v="1.48"/>
    <n v="0"/>
    <n v="0"/>
    <n v="0"/>
    <n v="0"/>
    <n v="9"/>
    <n v="16.71"/>
    <n v="0.42"/>
    <n v="0"/>
    <n v="0.28999999999999998"/>
    <n v="66.12"/>
    <n v="16.41"/>
    <n v="0"/>
    <n v="0"/>
    <n v="0"/>
    <n v="0.04"/>
    <n v="4"/>
    <x v="0"/>
  </r>
  <r>
    <x v="3"/>
    <x v="146"/>
    <x v="7"/>
    <x v="118"/>
    <n v="73"/>
    <n v="0"/>
    <n v="13"/>
    <n v="6"/>
    <n v="0"/>
    <n v="0"/>
    <n v="38"/>
    <s v="Jerrod Coleman"/>
    <s v="Collections Group"/>
    <d v="2025-07-02T00:00:00"/>
    <d v="1899-12-30T13:00:09"/>
    <d v="1899-12-30T21:59:58"/>
    <n v="8.98"/>
    <n v="9"/>
    <n v="0.69"/>
    <n v="0.5"/>
    <n v="0"/>
    <n v="0.19"/>
    <n v="6.13"/>
    <n v="1.47"/>
    <n v="0"/>
    <n v="0"/>
    <n v="0"/>
    <n v="0"/>
    <n v="9"/>
    <n v="7.7"/>
    <n v="5.56"/>
    <n v="0.01"/>
    <n v="2.14"/>
    <n v="68.16"/>
    <n v="16.39"/>
    <n v="0"/>
    <n v="0"/>
    <n v="0"/>
    <n v="0.05"/>
    <n v="4"/>
    <x v="0"/>
  </r>
  <r>
    <x v="5"/>
    <x v="146"/>
    <x v="7"/>
    <x v="69"/>
    <n v="76"/>
    <n v="5"/>
    <n v="1"/>
    <n v="6"/>
    <n v="0"/>
    <n v="0"/>
    <n v="44"/>
    <s v="Sabigh Masood"/>
    <s v="Collections Group"/>
    <d v="2025-07-02T00:00:00"/>
    <d v="1899-12-30T13:01:01"/>
    <d v="1899-12-30T22:01:40"/>
    <n v="9"/>
    <n v="9"/>
    <n v="1.23"/>
    <n v="0.3"/>
    <n v="0"/>
    <n v="0.25"/>
    <n v="5.67"/>
    <n v="1.51"/>
    <n v="0"/>
    <n v="0"/>
    <n v="0.01"/>
    <n v="0.02"/>
    <n v="9"/>
    <n v="13.69"/>
    <n v="3.37"/>
    <n v="0"/>
    <n v="2.78"/>
    <n v="63.04"/>
    <n v="16.809999999999999"/>
    <n v="0"/>
    <n v="0"/>
    <n v="0.12"/>
    <n v="0.2"/>
    <n v="4"/>
    <x v="0"/>
  </r>
  <r>
    <x v="6"/>
    <x v="146"/>
    <x v="7"/>
    <x v="231"/>
    <n v="0"/>
    <n v="0"/>
    <n v="0"/>
    <n v="0"/>
    <n v="0"/>
    <n v="0"/>
    <n v="0"/>
    <m/>
    <m/>
    <m/>
    <m/>
    <m/>
    <m/>
    <m/>
    <m/>
    <m/>
    <m/>
    <m/>
    <m/>
    <m/>
    <m/>
    <m/>
    <m/>
    <m/>
    <m/>
    <m/>
    <m/>
    <m/>
    <m/>
    <m/>
    <m/>
    <m/>
    <m/>
    <m/>
    <m/>
    <n v="4"/>
    <x v="0"/>
  </r>
  <r>
    <x v="0"/>
    <x v="147"/>
    <x v="7"/>
    <x v="52"/>
    <n v="79"/>
    <n v="3"/>
    <n v="8"/>
    <n v="7"/>
    <n v="0"/>
    <n v="0"/>
    <n v="38"/>
    <s v="Anais Orozco"/>
    <s v="Collections Group"/>
    <d v="2025-07-01T00:00:00"/>
    <d v="1899-12-30T13:01:38"/>
    <d v="1899-12-30T22:00:28"/>
    <n v="8.98"/>
    <n v="8.1199999999999992"/>
    <n v="1.42"/>
    <n v="0.34"/>
    <n v="0"/>
    <n v="0.49"/>
    <n v="5.29"/>
    <n v="0.56000000000000005"/>
    <n v="0"/>
    <n v="0"/>
    <n v="0"/>
    <n v="0.01"/>
    <n v="8.1199999999999992"/>
    <n v="17.52"/>
    <n v="4.1500000000000004"/>
    <n v="0"/>
    <n v="6.03"/>
    <n v="65.22"/>
    <n v="6.93"/>
    <n v="0"/>
    <n v="0"/>
    <n v="0"/>
    <n v="0.15"/>
    <n v="3"/>
    <x v="1"/>
  </r>
  <r>
    <x v="15"/>
    <x v="147"/>
    <x v="7"/>
    <x v="120"/>
    <n v="40"/>
    <n v="6"/>
    <n v="6"/>
    <n v="4"/>
    <n v="0"/>
    <n v="0"/>
    <n v="18"/>
    <s v="Candace Smith"/>
    <s v="Collections Group"/>
    <d v="2025-07-01T00:00:00"/>
    <d v="1899-12-30T13:02:55"/>
    <d v="1899-12-30T21:56:51"/>
    <n v="8.9"/>
    <n v="8.14"/>
    <n v="1"/>
    <n v="0.77"/>
    <n v="0"/>
    <n v="0.96"/>
    <n v="4.5599999999999996"/>
    <n v="0.69"/>
    <n v="0"/>
    <n v="0"/>
    <n v="0.14000000000000001"/>
    <n v="0.02"/>
    <n v="8.14"/>
    <n v="12.33"/>
    <n v="9.44"/>
    <n v="0"/>
    <n v="11.74"/>
    <n v="56.03"/>
    <n v="8.4700000000000006"/>
    <n v="0"/>
    <n v="0"/>
    <n v="1.7"/>
    <n v="0.28999999999999998"/>
    <n v="3"/>
    <x v="1"/>
  </r>
  <r>
    <x v="1"/>
    <x v="147"/>
    <x v="7"/>
    <x v="18"/>
    <n v="89"/>
    <n v="9"/>
    <n v="4"/>
    <n v="6"/>
    <n v="0"/>
    <n v="2"/>
    <n v="56"/>
    <s v="Derice Warnsley"/>
    <s v="Collections Group"/>
    <d v="2025-07-01T00:00:00"/>
    <d v="1899-12-30T13:01:34"/>
    <d v="1899-12-30T22:00:11"/>
    <n v="8.98"/>
    <n v="8.98"/>
    <n v="1.67"/>
    <n v="0.14000000000000001"/>
    <n v="0"/>
    <n v="0.02"/>
    <n v="5.21"/>
    <n v="1.42"/>
    <n v="0.51"/>
    <n v="0"/>
    <n v="0"/>
    <n v="0.01"/>
    <n v="8.98"/>
    <n v="18.649999999999999"/>
    <n v="1.57"/>
    <n v="0"/>
    <n v="0.24"/>
    <n v="58.06"/>
    <n v="15.77"/>
    <n v="5.65"/>
    <n v="0"/>
    <n v="0"/>
    <n v="0.06"/>
    <n v="3"/>
    <x v="1"/>
  </r>
  <r>
    <x v="2"/>
    <x v="147"/>
    <x v="7"/>
    <x v="13"/>
    <n v="1"/>
    <n v="1"/>
    <n v="0"/>
    <n v="0"/>
    <n v="0"/>
    <n v="0"/>
    <n v="0"/>
    <m/>
    <m/>
    <m/>
    <m/>
    <m/>
    <m/>
    <m/>
    <m/>
    <m/>
    <m/>
    <m/>
    <m/>
    <m/>
    <m/>
    <m/>
    <m/>
    <m/>
    <m/>
    <m/>
    <m/>
    <m/>
    <m/>
    <m/>
    <m/>
    <m/>
    <m/>
    <m/>
    <m/>
    <n v="3"/>
    <x v="1"/>
  </r>
  <r>
    <x v="5"/>
    <x v="147"/>
    <x v="7"/>
    <x v="64"/>
    <n v="87"/>
    <n v="3"/>
    <n v="11"/>
    <n v="4"/>
    <n v="0"/>
    <n v="3"/>
    <n v="50"/>
    <s v="Sabigh Masood"/>
    <s v="Collections Group"/>
    <d v="2025-07-01T00:00:00"/>
    <d v="1899-12-30T12:59:48"/>
    <d v="1899-12-30T22:02:48"/>
    <n v="9.0500000000000007"/>
    <n v="9.0500000000000007"/>
    <n v="1.1499999999999999"/>
    <n v="0.2"/>
    <n v="0"/>
    <n v="0.46"/>
    <n v="5.2"/>
    <n v="1.5"/>
    <n v="0.53"/>
    <n v="0"/>
    <n v="0"/>
    <n v="0"/>
    <n v="9.0500000000000007"/>
    <n v="12.75"/>
    <n v="2.19"/>
    <n v="0"/>
    <n v="5.13"/>
    <n v="57.47"/>
    <n v="16.55"/>
    <n v="5.87"/>
    <n v="0"/>
    <n v="0"/>
    <n v="0.05"/>
    <n v="3"/>
    <x v="1"/>
  </r>
  <r>
    <x v="6"/>
    <x v="147"/>
    <x v="7"/>
    <x v="232"/>
    <n v="0"/>
    <n v="0"/>
    <n v="0"/>
    <n v="0"/>
    <n v="0"/>
    <n v="0"/>
    <n v="0"/>
    <m/>
    <m/>
    <m/>
    <m/>
    <m/>
    <m/>
    <m/>
    <m/>
    <m/>
    <m/>
    <m/>
    <m/>
    <m/>
    <m/>
    <m/>
    <m/>
    <m/>
    <m/>
    <m/>
    <m/>
    <m/>
    <m/>
    <m/>
    <m/>
    <m/>
    <m/>
    <m/>
    <m/>
    <n v="3"/>
    <x v="1"/>
  </r>
  <r>
    <x v="0"/>
    <x v="148"/>
    <x v="8"/>
    <x v="110"/>
    <n v="66"/>
    <n v="13"/>
    <n v="5"/>
    <n v="3"/>
    <n v="0"/>
    <n v="0"/>
    <n v="33"/>
    <s v="Anais Orozco"/>
    <s v="Collections Group"/>
    <d v="2025-06-30T00:00:00"/>
    <d v="1899-12-30T13:06:13"/>
    <d v="1899-12-30T22:00:05"/>
    <n v="8.9"/>
    <n v="7.71"/>
    <n v="1.57"/>
    <n v="0.87"/>
    <n v="0"/>
    <n v="0.26"/>
    <n v="4.2"/>
    <n v="0.28999999999999998"/>
    <n v="0.24"/>
    <n v="0"/>
    <n v="0"/>
    <n v="0.27"/>
    <n v="7.71"/>
    <n v="20.41"/>
    <n v="11.3"/>
    <n v="0"/>
    <n v="3.41"/>
    <n v="54.45"/>
    <n v="3.76"/>
    <n v="3.11"/>
    <n v="0"/>
    <n v="0"/>
    <n v="3.56"/>
    <n v="2"/>
    <x v="2"/>
  </r>
  <r>
    <x v="15"/>
    <x v="148"/>
    <x v="8"/>
    <x v="104"/>
    <n v="48"/>
    <n v="4"/>
    <n v="4"/>
    <n v="0"/>
    <n v="0"/>
    <n v="0"/>
    <n v="29"/>
    <s v="Candace Smith"/>
    <s v="Collections Group"/>
    <d v="2025-06-30T00:00:00"/>
    <d v="1899-12-30T13:01:49"/>
    <d v="1899-12-30T21:57:02"/>
    <n v="8.93"/>
    <n v="8.11"/>
    <n v="1.46"/>
    <n v="0.28999999999999998"/>
    <n v="0"/>
    <n v="0.87"/>
    <n v="4.26"/>
    <n v="0.67"/>
    <n v="0.53"/>
    <n v="0"/>
    <n v="0"/>
    <n v="0.03"/>
    <n v="8.11"/>
    <n v="17.96"/>
    <n v="3.58"/>
    <n v="0"/>
    <n v="10.72"/>
    <n v="52.52"/>
    <n v="8.2899999999999991"/>
    <n v="6.52"/>
    <n v="0"/>
    <n v="0"/>
    <n v="0.41"/>
    <n v="2"/>
    <x v="2"/>
  </r>
  <r>
    <x v="3"/>
    <x v="148"/>
    <x v="8"/>
    <x v="109"/>
    <n v="49"/>
    <n v="1"/>
    <n v="6"/>
    <n v="2"/>
    <n v="3"/>
    <n v="0"/>
    <n v="33"/>
    <s v="Jerrod Coleman"/>
    <s v="Collections Group"/>
    <d v="2025-06-30T00:00:00"/>
    <d v="1899-12-30T13:01:26"/>
    <d v="1899-12-30T21:59:05"/>
    <n v="8.9700000000000006"/>
    <n v="8.93"/>
    <n v="1.71"/>
    <n v="0.35"/>
    <n v="0"/>
    <n v="0.19"/>
    <n v="5.2"/>
    <n v="1.46"/>
    <n v="0"/>
    <n v="0"/>
    <n v="0.01"/>
    <n v="0.02"/>
    <n v="8.93"/>
    <n v="19.100000000000001"/>
    <n v="3.89"/>
    <n v="0"/>
    <n v="2.08"/>
    <n v="58.24"/>
    <n v="16.36"/>
    <n v="0"/>
    <n v="0.01"/>
    <n v="0.06"/>
    <n v="0.26"/>
    <n v="2"/>
    <x v="2"/>
  </r>
  <r>
    <x v="5"/>
    <x v="148"/>
    <x v="8"/>
    <x v="108"/>
    <n v="52"/>
    <n v="5"/>
    <n v="8"/>
    <n v="1"/>
    <n v="0"/>
    <n v="0"/>
    <n v="28"/>
    <s v="Sabigh Masood"/>
    <s v="Collections Group"/>
    <d v="2025-06-30T00:00:00"/>
    <d v="1899-12-30T12:59:41"/>
    <d v="1899-12-30T22:01:02"/>
    <n v="9.0299999999999994"/>
    <n v="9.02"/>
    <n v="2.1800000000000002"/>
    <n v="0.25"/>
    <n v="0"/>
    <n v="0.48"/>
    <n v="4.8099999999999996"/>
    <n v="1.3"/>
    <n v="0"/>
    <n v="0"/>
    <n v="0"/>
    <n v="0"/>
    <n v="9.02"/>
    <n v="24.15"/>
    <n v="2.82"/>
    <n v="0"/>
    <n v="5.32"/>
    <n v="53.27"/>
    <n v="14.39"/>
    <n v="0"/>
    <n v="0"/>
    <n v="0"/>
    <n v="0.04"/>
    <n v="2"/>
    <x v="2"/>
  </r>
  <r>
    <x v="6"/>
    <x v="148"/>
    <x v="8"/>
    <x v="233"/>
    <n v="0"/>
    <n v="0"/>
    <n v="0"/>
    <n v="0"/>
    <n v="0"/>
    <n v="0"/>
    <n v="0"/>
    <m/>
    <m/>
    <m/>
    <m/>
    <m/>
    <m/>
    <m/>
    <m/>
    <m/>
    <m/>
    <m/>
    <m/>
    <m/>
    <m/>
    <m/>
    <m/>
    <m/>
    <m/>
    <m/>
    <m/>
    <m/>
    <m/>
    <m/>
    <m/>
    <m/>
    <m/>
    <m/>
    <m/>
    <n v="2"/>
    <x v="2"/>
  </r>
  <r>
    <x v="0"/>
    <x v="149"/>
    <x v="8"/>
    <x v="110"/>
    <n v="59"/>
    <n v="4"/>
    <n v="0"/>
    <n v="4"/>
    <n v="0"/>
    <n v="2"/>
    <n v="40"/>
    <s v="Anais Orozco"/>
    <s v="Collections Group"/>
    <d v="2025-06-27T00:00:00"/>
    <d v="1899-12-30T13:00:45"/>
    <d v="1899-12-30T22:00:11"/>
    <n v="9"/>
    <n v="8.17"/>
    <n v="0.76"/>
    <n v="0.24"/>
    <n v="0"/>
    <n v="0.15"/>
    <n v="6.22"/>
    <n v="0.35"/>
    <n v="0.44"/>
    <n v="0"/>
    <n v="0"/>
    <n v="0.01"/>
    <n v="8.17"/>
    <n v="9.27"/>
    <n v="2.98"/>
    <n v="0"/>
    <n v="1.8"/>
    <n v="76.040000000000006"/>
    <n v="4.34"/>
    <n v="5.43"/>
    <n v="0"/>
    <n v="0"/>
    <n v="0.15"/>
    <n v="6"/>
    <x v="3"/>
  </r>
  <r>
    <x v="15"/>
    <x v="149"/>
    <x v="8"/>
    <x v="178"/>
    <n v="33"/>
    <n v="3"/>
    <n v="1"/>
    <n v="1"/>
    <n v="0"/>
    <n v="0"/>
    <n v="22"/>
    <s v="Candace Smith"/>
    <s v="Collections Group"/>
    <d v="2025-06-27T00:00:00"/>
    <d v="1899-12-30T13:01:36"/>
    <d v="1899-12-30T22:00:14"/>
    <n v="8.98"/>
    <n v="8.1199999999999992"/>
    <n v="0.45"/>
    <n v="0.72"/>
    <n v="0"/>
    <n v="0.56000000000000005"/>
    <n v="5.71"/>
    <n v="0.64"/>
    <n v="0"/>
    <n v="0"/>
    <n v="0.01"/>
    <n v="0.01"/>
    <n v="8.1199999999999992"/>
    <n v="5.56"/>
    <n v="8.93"/>
    <n v="0"/>
    <n v="6.88"/>
    <n v="70.39"/>
    <n v="7.93"/>
    <n v="0"/>
    <n v="0"/>
    <n v="0.16"/>
    <n v="0.16"/>
    <n v="6"/>
    <x v="3"/>
  </r>
  <r>
    <x v="3"/>
    <x v="149"/>
    <x v="8"/>
    <x v="109"/>
    <n v="48"/>
    <n v="5"/>
    <n v="1"/>
    <n v="3"/>
    <n v="0"/>
    <n v="1"/>
    <n v="27"/>
    <s v="Jerrod Coleman"/>
    <s v="Collections Group"/>
    <d v="2025-06-27T00:00:00"/>
    <d v="1899-12-30T13:00:58"/>
    <d v="1899-12-30T21:59:24"/>
    <n v="8.98"/>
    <n v="8.9499999999999993"/>
    <n v="1.35"/>
    <n v="0.06"/>
    <n v="0"/>
    <n v="0.32"/>
    <n v="5.76"/>
    <n v="1.45"/>
    <n v="0"/>
    <n v="0"/>
    <n v="0"/>
    <n v="0.01"/>
    <n v="8.9499999999999993"/>
    <n v="15.03"/>
    <n v="0.7"/>
    <n v="0"/>
    <n v="3.57"/>
    <n v="64.36"/>
    <n v="16.239999999999998"/>
    <n v="0"/>
    <n v="0"/>
    <n v="0"/>
    <n v="0.09"/>
    <n v="6"/>
    <x v="3"/>
  </r>
  <r>
    <x v="5"/>
    <x v="149"/>
    <x v="8"/>
    <x v="90"/>
    <n v="73"/>
    <n v="2"/>
    <n v="1"/>
    <n v="8"/>
    <n v="0"/>
    <n v="0"/>
    <n v="38"/>
    <s v="Sabigh Masood"/>
    <s v="Collections Group"/>
    <d v="2025-06-27T00:00:00"/>
    <d v="1899-12-30T13:00:09"/>
    <d v="1899-12-30T22:01:45"/>
    <n v="9.02"/>
    <n v="9"/>
    <n v="0.87"/>
    <n v="0.35"/>
    <n v="0"/>
    <n v="0.41"/>
    <n v="5.07"/>
    <n v="1.98"/>
    <n v="0.23"/>
    <n v="0"/>
    <n v="0.08"/>
    <n v="0.01"/>
    <n v="9"/>
    <n v="9.61"/>
    <n v="3.89"/>
    <n v="0"/>
    <n v="4.5599999999999996"/>
    <n v="56.33"/>
    <n v="22.03"/>
    <n v="2.6"/>
    <n v="0"/>
    <n v="0.84"/>
    <n v="0.15"/>
    <n v="6"/>
    <x v="3"/>
  </r>
  <r>
    <x v="6"/>
    <x v="149"/>
    <x v="8"/>
    <x v="234"/>
    <n v="0"/>
    <n v="0"/>
    <n v="0"/>
    <n v="0"/>
    <n v="0"/>
    <n v="0"/>
    <n v="0"/>
    <m/>
    <m/>
    <m/>
    <m/>
    <m/>
    <m/>
    <m/>
    <m/>
    <m/>
    <m/>
    <m/>
    <m/>
    <m/>
    <m/>
    <m/>
    <m/>
    <m/>
    <m/>
    <m/>
    <m/>
    <m/>
    <m/>
    <m/>
    <m/>
    <m/>
    <m/>
    <m/>
    <m/>
    <n v="6"/>
    <x v="3"/>
  </r>
  <r>
    <x v="0"/>
    <x v="150"/>
    <x v="8"/>
    <x v="110"/>
    <n v="57"/>
    <n v="0"/>
    <n v="8"/>
    <n v="6"/>
    <n v="0"/>
    <n v="0"/>
    <n v="28"/>
    <s v="Anais Orozco"/>
    <s v="Collections Group"/>
    <d v="2025-06-26T00:00:00"/>
    <d v="1899-12-30T13:00:35"/>
    <d v="1899-12-30T22:01:01"/>
    <n v="9.02"/>
    <n v="8.2100000000000009"/>
    <n v="1.21"/>
    <n v="0.19"/>
    <n v="0"/>
    <n v="0.17"/>
    <n v="4.76"/>
    <n v="0.63"/>
    <n v="1.22"/>
    <n v="0"/>
    <n v="0"/>
    <n v="0.03"/>
    <n v="8.2100000000000009"/>
    <n v="14.78"/>
    <n v="2.33"/>
    <n v="0"/>
    <n v="2.0099999999999998"/>
    <n v="57.96"/>
    <n v="7.68"/>
    <n v="14.93"/>
    <n v="0"/>
    <n v="0"/>
    <n v="0.31"/>
    <n v="5"/>
    <x v="4"/>
  </r>
  <r>
    <x v="15"/>
    <x v="150"/>
    <x v="8"/>
    <x v="73"/>
    <n v="47"/>
    <n v="5"/>
    <n v="6"/>
    <n v="2"/>
    <n v="0"/>
    <n v="4"/>
    <n v="24"/>
    <s v="Candace Smith"/>
    <s v="Collections Group"/>
    <d v="2025-06-26T00:00:00"/>
    <d v="1899-12-30T13:00:02"/>
    <d v="1899-12-30T22:00:33"/>
    <n v="9"/>
    <n v="8.1199999999999992"/>
    <n v="1.1499999999999999"/>
    <n v="0.18"/>
    <n v="0"/>
    <n v="0.61"/>
    <n v="4.28"/>
    <n v="0.6"/>
    <n v="1.29"/>
    <n v="0"/>
    <n v="0"/>
    <n v="0.01"/>
    <n v="8.1199999999999992"/>
    <n v="14.12"/>
    <n v="2.19"/>
    <n v="0"/>
    <n v="7.56"/>
    <n v="52.73"/>
    <n v="7.39"/>
    <n v="15.9"/>
    <n v="0"/>
    <n v="0"/>
    <n v="0.11"/>
    <n v="5"/>
    <x v="4"/>
  </r>
  <r>
    <x v="1"/>
    <x v="150"/>
    <x v="8"/>
    <x v="154"/>
    <n v="27"/>
    <n v="0"/>
    <n v="2"/>
    <n v="3"/>
    <n v="2"/>
    <n v="0"/>
    <n v="11"/>
    <s v="Derice Warnsley"/>
    <s v="Collections Group"/>
    <d v="2025-06-26T00:00:00"/>
    <d v="1899-12-30T13:00:19"/>
    <d v="1899-12-30T17:00:04"/>
    <n v="4"/>
    <n v="4"/>
    <n v="0.7"/>
    <n v="0.18"/>
    <n v="0"/>
    <n v="0.02"/>
    <n v="1.65"/>
    <n v="0.23"/>
    <n v="1.22"/>
    <n v="0"/>
    <n v="0"/>
    <n v="0"/>
    <n v="4"/>
    <n v="17.63"/>
    <n v="4.46"/>
    <n v="0"/>
    <n v="0.38"/>
    <n v="41.23"/>
    <n v="5.69"/>
    <n v="30.5"/>
    <n v="0"/>
    <n v="0"/>
    <n v="0.12"/>
    <n v="5"/>
    <x v="4"/>
  </r>
  <r>
    <x v="3"/>
    <x v="150"/>
    <x v="8"/>
    <x v="76"/>
    <n v="30"/>
    <n v="0"/>
    <n v="6"/>
    <n v="2"/>
    <n v="0"/>
    <n v="0"/>
    <n v="13"/>
    <s v="Jerrod Coleman"/>
    <s v="Collections Group"/>
    <d v="2025-06-26T00:00:00"/>
    <d v="1899-12-30T13:00:21"/>
    <d v="1899-12-30T21:59:31"/>
    <n v="8.98"/>
    <n v="8.99"/>
    <n v="0.68"/>
    <n v="0.13"/>
    <n v="0"/>
    <n v="0.31"/>
    <n v="4.8600000000000003"/>
    <n v="1.47"/>
    <n v="1.45"/>
    <n v="0"/>
    <n v="0.08"/>
    <n v="0.01"/>
    <n v="8.99"/>
    <n v="7.62"/>
    <n v="1.43"/>
    <n v="0"/>
    <n v="3.42"/>
    <n v="54.09"/>
    <n v="16.32"/>
    <n v="16.079999999999998"/>
    <n v="0"/>
    <n v="0.94"/>
    <n v="0.1"/>
    <n v="5"/>
    <x v="4"/>
  </r>
  <r>
    <x v="5"/>
    <x v="150"/>
    <x v="8"/>
    <x v="108"/>
    <n v="60"/>
    <n v="1"/>
    <n v="2"/>
    <n v="2"/>
    <n v="0"/>
    <n v="0"/>
    <n v="42"/>
    <s v="Sabigh Masood"/>
    <s v="Collections Group"/>
    <d v="2025-06-26T00:00:00"/>
    <d v="1899-12-30T12:59:54"/>
    <d v="1899-12-30T22:01:50"/>
    <n v="9.0299999999999994"/>
    <n v="9.0299999999999994"/>
    <n v="0.76"/>
    <n v="0.18"/>
    <n v="0"/>
    <n v="0.42"/>
    <n v="4.34"/>
    <n v="1.47"/>
    <n v="1.8"/>
    <n v="0"/>
    <n v="0.05"/>
    <n v="0.01"/>
    <n v="9.0299999999999994"/>
    <n v="8.41"/>
    <n v="1.97"/>
    <n v="0"/>
    <n v="4.62"/>
    <n v="48.06"/>
    <n v="16.29"/>
    <n v="19.920000000000002"/>
    <n v="0"/>
    <n v="0.59"/>
    <n v="0.14000000000000001"/>
    <n v="5"/>
    <x v="4"/>
  </r>
  <r>
    <x v="6"/>
    <x v="150"/>
    <x v="8"/>
    <x v="235"/>
    <n v="0"/>
    <n v="0"/>
    <n v="0"/>
    <n v="0"/>
    <n v="0"/>
    <n v="0"/>
    <n v="0"/>
    <m/>
    <m/>
    <m/>
    <m/>
    <m/>
    <m/>
    <m/>
    <m/>
    <m/>
    <m/>
    <m/>
    <m/>
    <m/>
    <m/>
    <m/>
    <m/>
    <m/>
    <m/>
    <m/>
    <m/>
    <m/>
    <m/>
    <m/>
    <m/>
    <m/>
    <m/>
    <m/>
    <m/>
    <n v="5"/>
    <x v="4"/>
  </r>
  <r>
    <x v="0"/>
    <x v="151"/>
    <x v="8"/>
    <x v="113"/>
    <n v="60"/>
    <n v="5"/>
    <n v="2"/>
    <n v="2"/>
    <n v="0"/>
    <n v="0"/>
    <n v="41"/>
    <s v="Anais Orozco"/>
    <s v="Collections Group"/>
    <d v="2025-06-25T00:00:00"/>
    <d v="1899-12-30T13:01:11"/>
    <d v="1899-12-30T22:00:21"/>
    <n v="8.98"/>
    <n v="8.09"/>
    <n v="1.45"/>
    <n v="0.24"/>
    <n v="0"/>
    <n v="0.41"/>
    <n v="5.38"/>
    <n v="0.6"/>
    <n v="0"/>
    <n v="0"/>
    <n v="0"/>
    <n v="0.01"/>
    <n v="8.09"/>
    <n v="17.87"/>
    <n v="2.98"/>
    <n v="0"/>
    <n v="5.0999999999999996"/>
    <n v="66.510000000000005"/>
    <n v="7.39"/>
    <n v="0"/>
    <n v="0"/>
    <n v="0"/>
    <n v="0.15"/>
    <n v="4"/>
    <x v="0"/>
  </r>
  <r>
    <x v="15"/>
    <x v="151"/>
    <x v="8"/>
    <x v="116"/>
    <n v="57"/>
    <n v="6"/>
    <n v="4"/>
    <n v="1"/>
    <n v="0"/>
    <n v="6"/>
    <n v="32"/>
    <s v="Candace Smith"/>
    <s v="Collections Group"/>
    <d v="2025-06-25T00:00:00"/>
    <d v="1899-12-30T13:01:05"/>
    <d v="1899-12-30T22:00:59"/>
    <n v="8.98"/>
    <n v="8.07"/>
    <n v="0.94"/>
    <n v="0.39"/>
    <n v="0"/>
    <n v="0.68"/>
    <n v="5.33"/>
    <n v="0.71"/>
    <n v="0"/>
    <n v="0"/>
    <n v="0"/>
    <n v="0.02"/>
    <n v="8.07"/>
    <n v="11.68"/>
    <n v="4.8"/>
    <n v="0"/>
    <n v="8.42"/>
    <n v="66.09"/>
    <n v="8.81"/>
    <n v="0"/>
    <n v="0"/>
    <n v="0"/>
    <n v="0.2"/>
    <n v="4"/>
    <x v="0"/>
  </r>
  <r>
    <x v="1"/>
    <x v="151"/>
    <x v="8"/>
    <x v="18"/>
    <n v="79"/>
    <n v="4"/>
    <n v="3"/>
    <n v="5"/>
    <n v="0"/>
    <n v="1"/>
    <n v="36"/>
    <s v="Derice Warnsley"/>
    <s v="Collections Group"/>
    <d v="2025-06-25T00:00:00"/>
    <d v="1899-12-30T13:00:48"/>
    <d v="1899-12-30T22:00:05"/>
    <n v="9"/>
    <n v="8.99"/>
    <n v="1.49"/>
    <n v="0.18"/>
    <n v="0"/>
    <n v="0.03"/>
    <n v="5.23"/>
    <n v="1.5"/>
    <n v="0.56000000000000005"/>
    <n v="0"/>
    <n v="0"/>
    <n v="0"/>
    <n v="8.99"/>
    <n v="16.54"/>
    <n v="1.98"/>
    <n v="0"/>
    <n v="0.36"/>
    <n v="58.17"/>
    <n v="16.64"/>
    <n v="6.28"/>
    <n v="0"/>
    <n v="0"/>
    <n v="0.04"/>
    <n v="4"/>
    <x v="0"/>
  </r>
  <r>
    <x v="3"/>
    <x v="151"/>
    <x v="8"/>
    <x v="52"/>
    <n v="90"/>
    <n v="6"/>
    <n v="15"/>
    <n v="20"/>
    <n v="4"/>
    <n v="0"/>
    <n v="38"/>
    <s v="Jerrod Coleman"/>
    <s v="Collections Group"/>
    <d v="2025-06-25T00:00:00"/>
    <d v="1899-12-30T13:00:26"/>
    <d v="1899-12-30T21:59:35"/>
    <n v="8.98"/>
    <n v="8.99"/>
    <n v="1.85"/>
    <n v="0.19"/>
    <n v="0"/>
    <n v="0.34"/>
    <n v="5.19"/>
    <n v="1.42"/>
    <n v="0"/>
    <n v="0"/>
    <n v="0"/>
    <n v="0"/>
    <n v="8.99"/>
    <n v="20.56"/>
    <n v="2.06"/>
    <n v="0"/>
    <n v="3.82"/>
    <n v="57.72"/>
    <n v="15.78"/>
    <n v="0"/>
    <n v="0"/>
    <n v="0"/>
    <n v="0.05"/>
    <n v="4"/>
    <x v="0"/>
  </r>
  <r>
    <x v="5"/>
    <x v="151"/>
    <x v="8"/>
    <x v="118"/>
    <n v="70"/>
    <n v="3"/>
    <n v="2"/>
    <n v="9"/>
    <n v="0"/>
    <n v="1"/>
    <n v="35"/>
    <s v="Sabigh Masood"/>
    <s v="Collections Group"/>
    <d v="2025-06-25T00:00:00"/>
    <d v="1899-12-30T12:59:17"/>
    <d v="1899-12-30T22:00:13"/>
    <n v="9.02"/>
    <n v="9.02"/>
    <n v="2.14"/>
    <n v="0.3"/>
    <n v="0"/>
    <n v="0.65"/>
    <n v="3.81"/>
    <n v="1.45"/>
    <n v="0.66"/>
    <n v="0"/>
    <n v="0"/>
    <n v="0"/>
    <n v="9.02"/>
    <n v="23.79"/>
    <n v="3.36"/>
    <n v="0"/>
    <n v="7.19"/>
    <n v="42.22"/>
    <n v="16.09"/>
    <n v="7.29"/>
    <n v="0"/>
    <n v="0"/>
    <n v="0.05"/>
    <n v="4"/>
    <x v="0"/>
  </r>
  <r>
    <x v="6"/>
    <x v="151"/>
    <x v="8"/>
    <x v="236"/>
    <n v="0"/>
    <n v="0"/>
    <n v="0"/>
    <n v="0"/>
    <n v="0"/>
    <n v="0"/>
    <n v="0"/>
    <m/>
    <m/>
    <m/>
    <m/>
    <m/>
    <m/>
    <m/>
    <m/>
    <m/>
    <m/>
    <m/>
    <m/>
    <m/>
    <m/>
    <m/>
    <m/>
    <m/>
    <m/>
    <m/>
    <m/>
    <m/>
    <m/>
    <m/>
    <m/>
    <m/>
    <m/>
    <m/>
    <m/>
    <n v="4"/>
    <x v="0"/>
  </r>
  <r>
    <x v="0"/>
    <x v="152"/>
    <x v="8"/>
    <x v="118"/>
    <n v="88"/>
    <n v="3"/>
    <n v="10"/>
    <n v="8"/>
    <n v="0"/>
    <n v="5"/>
    <n v="54"/>
    <s v="Anais Orozco"/>
    <s v="Collections Group"/>
    <d v="2025-06-24T00:00:00"/>
    <d v="1899-12-30T12:59:07"/>
    <d v="1899-12-30T22:00:09"/>
    <n v="9.02"/>
    <n v="8.14"/>
    <n v="1.45"/>
    <n v="0.18"/>
    <n v="0"/>
    <n v="0.34"/>
    <n v="5.54"/>
    <n v="0.53"/>
    <n v="0"/>
    <n v="0"/>
    <n v="0"/>
    <n v="0.1"/>
    <n v="8.14"/>
    <n v="17.84"/>
    <n v="2.23"/>
    <n v="0"/>
    <n v="4.12"/>
    <n v="68.08"/>
    <n v="6.5"/>
    <n v="0"/>
    <n v="0"/>
    <n v="0"/>
    <n v="1.24"/>
    <n v="3"/>
    <x v="1"/>
  </r>
  <r>
    <x v="15"/>
    <x v="152"/>
    <x v="8"/>
    <x v="24"/>
    <n v="35"/>
    <n v="3"/>
    <n v="2"/>
    <n v="4"/>
    <n v="0"/>
    <n v="1"/>
    <n v="20"/>
    <s v="Candace Smith"/>
    <s v="Collections Group"/>
    <d v="2025-06-24T00:00:00"/>
    <d v="1899-12-30T13:01:58"/>
    <d v="1899-12-30T21:59:07"/>
    <n v="8.9700000000000006"/>
    <n v="8.9499999999999993"/>
    <n v="0.86"/>
    <n v="0.45"/>
    <n v="0"/>
    <n v="0.61"/>
    <n v="5.13"/>
    <n v="1.5"/>
    <n v="0.35"/>
    <n v="0"/>
    <n v="0.03"/>
    <n v="0.02"/>
    <n v="8.9499999999999993"/>
    <n v="9.61"/>
    <n v="5.04"/>
    <n v="0"/>
    <n v="6.81"/>
    <n v="57.26"/>
    <n v="16.8"/>
    <n v="3.91"/>
    <n v="0"/>
    <n v="0.31"/>
    <n v="0.27"/>
    <n v="3"/>
    <x v="1"/>
  </r>
  <r>
    <x v="1"/>
    <x v="152"/>
    <x v="8"/>
    <x v="120"/>
    <n v="45"/>
    <n v="6"/>
    <n v="2"/>
    <n v="0"/>
    <n v="1"/>
    <n v="4"/>
    <n v="28"/>
    <s v="Derice Warnsley"/>
    <s v="Collections Group"/>
    <d v="2025-06-24T00:00:00"/>
    <d v="1899-12-30T13:00:28"/>
    <d v="1899-12-30T22:00:11"/>
    <n v="9"/>
    <n v="8.93"/>
    <n v="1.4"/>
    <n v="0.12"/>
    <n v="0"/>
    <n v="0.01"/>
    <n v="5.92"/>
    <n v="1.47"/>
    <n v="0"/>
    <n v="0"/>
    <n v="0"/>
    <n v="0.01"/>
    <n v="8.93"/>
    <n v="15.64"/>
    <n v="1.34"/>
    <n v="0"/>
    <n v="0.16"/>
    <n v="66.260000000000005"/>
    <n v="16.510000000000002"/>
    <n v="0"/>
    <n v="0"/>
    <n v="0"/>
    <n v="0.08"/>
    <n v="3"/>
    <x v="1"/>
  </r>
  <r>
    <x v="3"/>
    <x v="152"/>
    <x v="8"/>
    <x v="90"/>
    <n v="66"/>
    <n v="3"/>
    <n v="8"/>
    <n v="9"/>
    <n v="0"/>
    <n v="1"/>
    <n v="35"/>
    <s v="Jerrod Coleman"/>
    <s v="Collections Group"/>
    <d v="2025-06-24T00:00:00"/>
    <d v="1899-12-30T13:00:00"/>
    <d v="1899-12-30T22:00:22"/>
    <n v="9"/>
    <n v="9.01"/>
    <n v="1.42"/>
    <n v="0.3"/>
    <n v="0"/>
    <n v="0.31"/>
    <n v="5.5"/>
    <n v="1.47"/>
    <n v="0"/>
    <n v="0"/>
    <n v="0"/>
    <n v="0.01"/>
    <n v="9.01"/>
    <n v="15.77"/>
    <n v="3.34"/>
    <n v="0"/>
    <n v="3.46"/>
    <n v="61.07"/>
    <n v="16.28"/>
    <n v="0"/>
    <n v="0"/>
    <n v="0"/>
    <n v="0.08"/>
    <n v="3"/>
    <x v="1"/>
  </r>
  <r>
    <x v="14"/>
    <x v="152"/>
    <x v="8"/>
    <x v="13"/>
    <n v="1"/>
    <n v="0"/>
    <n v="0"/>
    <n v="0"/>
    <n v="0"/>
    <n v="0"/>
    <n v="0"/>
    <m/>
    <m/>
    <m/>
    <m/>
    <m/>
    <m/>
    <m/>
    <m/>
    <m/>
    <m/>
    <m/>
    <m/>
    <m/>
    <m/>
    <m/>
    <m/>
    <m/>
    <m/>
    <m/>
    <m/>
    <m/>
    <m/>
    <m/>
    <m/>
    <m/>
    <m/>
    <m/>
    <m/>
    <n v="3"/>
    <x v="1"/>
  </r>
  <r>
    <x v="5"/>
    <x v="152"/>
    <x v="8"/>
    <x v="52"/>
    <n v="89"/>
    <n v="3"/>
    <n v="7"/>
    <n v="11"/>
    <n v="3"/>
    <n v="1"/>
    <n v="49"/>
    <s v="Sabigh Masood"/>
    <s v="Collections Group"/>
    <d v="2025-06-24T00:00:00"/>
    <d v="1899-12-30T12:59:48"/>
    <d v="1899-12-30T22:03:26"/>
    <n v="9.07"/>
    <n v="9.06"/>
    <n v="1.52"/>
    <n v="0.26"/>
    <n v="0"/>
    <n v="0.59"/>
    <n v="5.2"/>
    <n v="1.49"/>
    <n v="0"/>
    <n v="0"/>
    <n v="0"/>
    <n v="0"/>
    <n v="9.06"/>
    <n v="16.8"/>
    <n v="2.85"/>
    <n v="0"/>
    <n v="6.53"/>
    <n v="57.36"/>
    <n v="16.43"/>
    <n v="0"/>
    <n v="0"/>
    <n v="0"/>
    <n v="0.04"/>
    <n v="3"/>
    <x v="1"/>
  </r>
  <r>
    <x v="6"/>
    <x v="152"/>
    <x v="8"/>
    <x v="219"/>
    <n v="0"/>
    <n v="0"/>
    <n v="0"/>
    <n v="0"/>
    <n v="0"/>
    <n v="0"/>
    <n v="0"/>
    <m/>
    <m/>
    <m/>
    <m/>
    <m/>
    <m/>
    <m/>
    <m/>
    <m/>
    <m/>
    <m/>
    <m/>
    <m/>
    <m/>
    <m/>
    <m/>
    <m/>
    <m/>
    <m/>
    <m/>
    <m/>
    <m/>
    <m/>
    <m/>
    <m/>
    <m/>
    <m/>
    <m/>
    <n v="3"/>
    <x v="1"/>
  </r>
  <r>
    <x v="0"/>
    <x v="153"/>
    <x v="8"/>
    <x v="24"/>
    <n v="43"/>
    <n v="2"/>
    <n v="3"/>
    <n v="3"/>
    <n v="0"/>
    <n v="0"/>
    <n v="32"/>
    <s v="Anais Orozco"/>
    <s v="Collections Group"/>
    <d v="2025-06-23T00:00:00"/>
    <d v="1899-12-30T13:00:46"/>
    <d v="1899-12-30T22:00:12"/>
    <n v="9"/>
    <n v="8.1"/>
    <n v="0.66"/>
    <n v="0.2"/>
    <n v="0"/>
    <n v="0.19"/>
    <n v="6.45"/>
    <n v="0.59"/>
    <n v="0"/>
    <n v="0"/>
    <n v="0"/>
    <n v="0.02"/>
    <n v="8.1"/>
    <n v="8.14"/>
    <n v="2.44"/>
    <n v="0"/>
    <n v="2.29"/>
    <n v="79.61"/>
    <n v="7.24"/>
    <n v="0"/>
    <n v="0"/>
    <n v="0"/>
    <n v="0.28000000000000003"/>
    <n v="2"/>
    <x v="2"/>
  </r>
  <r>
    <x v="15"/>
    <x v="153"/>
    <x v="8"/>
    <x v="178"/>
    <n v="39"/>
    <n v="1"/>
    <n v="0"/>
    <n v="3"/>
    <n v="1"/>
    <n v="1"/>
    <n v="30"/>
    <s v="Candace Smith"/>
    <s v="Collections Group"/>
    <d v="2025-06-23T00:00:00"/>
    <d v="1899-12-30T13:08:33"/>
    <d v="1899-12-30T21:58:50"/>
    <n v="8.83"/>
    <n v="7.93"/>
    <n v="0.43"/>
    <n v="0.49"/>
    <n v="0"/>
    <n v="0.49"/>
    <n v="5.44"/>
    <n v="0.6"/>
    <n v="0.46"/>
    <n v="0"/>
    <n v="0"/>
    <n v="0.02"/>
    <n v="7.93"/>
    <n v="5.48"/>
    <n v="6.13"/>
    <n v="0"/>
    <n v="6.15"/>
    <n v="68.67"/>
    <n v="7.55"/>
    <n v="5.75"/>
    <n v="0"/>
    <n v="0"/>
    <n v="0.26"/>
    <n v="2"/>
    <x v="2"/>
  </r>
  <r>
    <x v="1"/>
    <x v="153"/>
    <x v="8"/>
    <x v="113"/>
    <n v="58"/>
    <n v="1"/>
    <n v="1"/>
    <n v="7"/>
    <n v="0"/>
    <n v="0"/>
    <n v="43"/>
    <s v="Derice Warnsley"/>
    <s v="Collections Group"/>
    <d v="2025-06-23T00:00:00"/>
    <d v="1899-12-30T13:00:09"/>
    <d v="1899-12-30T22:00:05"/>
    <n v="9"/>
    <n v="9"/>
    <n v="1.42"/>
    <n v="0.13"/>
    <n v="0"/>
    <n v="0.01"/>
    <n v="5.94"/>
    <n v="1.49"/>
    <n v="0"/>
    <n v="0"/>
    <n v="0"/>
    <n v="0"/>
    <n v="9"/>
    <n v="15.83"/>
    <n v="1.48"/>
    <n v="0"/>
    <n v="0.13"/>
    <n v="65.98"/>
    <n v="16.53"/>
    <n v="0"/>
    <n v="0"/>
    <n v="0"/>
    <n v="0.05"/>
    <n v="2"/>
    <x v="2"/>
  </r>
  <r>
    <x v="3"/>
    <x v="153"/>
    <x v="8"/>
    <x v="52"/>
    <n v="76"/>
    <n v="0"/>
    <n v="4"/>
    <n v="9"/>
    <n v="0"/>
    <n v="0"/>
    <n v="54"/>
    <s v="Jerrod Coleman"/>
    <s v="Collections Group"/>
    <d v="2025-06-23T00:00:00"/>
    <d v="1899-12-30T13:00:37"/>
    <d v="1899-12-30T21:59:10"/>
    <n v="8.98"/>
    <n v="8.98"/>
    <n v="0.81"/>
    <n v="0.1"/>
    <n v="0"/>
    <n v="0.22"/>
    <n v="6.41"/>
    <n v="1.43"/>
    <n v="0"/>
    <n v="0"/>
    <n v="0"/>
    <n v="0"/>
    <n v="8.98"/>
    <n v="9.0299999999999994"/>
    <n v="1.1100000000000001"/>
    <n v="0"/>
    <n v="2.4300000000000002"/>
    <n v="71.45"/>
    <n v="15.94"/>
    <n v="0"/>
    <n v="0"/>
    <n v="0"/>
    <n v="0.04"/>
    <n v="2"/>
    <x v="2"/>
  </r>
  <r>
    <x v="5"/>
    <x v="153"/>
    <x v="8"/>
    <x v="110"/>
    <n v="61"/>
    <n v="1"/>
    <n v="4"/>
    <n v="5"/>
    <n v="0"/>
    <n v="0"/>
    <n v="47"/>
    <s v="Sabigh Masood"/>
    <s v="Collections Group"/>
    <d v="2025-06-23T00:00:00"/>
    <d v="1899-12-30T13:00:30"/>
    <d v="1899-12-30T22:03:52"/>
    <n v="9.0500000000000007"/>
    <n v="9.06"/>
    <n v="0.91"/>
    <n v="0.14000000000000001"/>
    <n v="0"/>
    <n v="0.3"/>
    <n v="6.19"/>
    <n v="1.51"/>
    <n v="0"/>
    <n v="0"/>
    <n v="0"/>
    <n v="0.01"/>
    <n v="9.06"/>
    <n v="10.050000000000001"/>
    <n v="1.51"/>
    <n v="0"/>
    <n v="3.31"/>
    <n v="68.33"/>
    <n v="16.66"/>
    <n v="0"/>
    <n v="0"/>
    <n v="0"/>
    <n v="0.14000000000000001"/>
    <n v="2"/>
    <x v="2"/>
  </r>
  <r>
    <x v="6"/>
    <x v="153"/>
    <x v="8"/>
    <x v="228"/>
    <n v="0"/>
    <n v="0"/>
    <n v="0"/>
    <n v="0"/>
    <n v="0"/>
    <n v="0"/>
    <n v="0"/>
    <m/>
    <m/>
    <m/>
    <m/>
    <m/>
    <m/>
    <m/>
    <m/>
    <m/>
    <m/>
    <m/>
    <m/>
    <m/>
    <m/>
    <m/>
    <m/>
    <m/>
    <m/>
    <m/>
    <m/>
    <m/>
    <m/>
    <m/>
    <m/>
    <m/>
    <m/>
    <m/>
    <m/>
    <n v="2"/>
    <x v="2"/>
  </r>
  <r>
    <x v="0"/>
    <x v="154"/>
    <x v="8"/>
    <x v="75"/>
    <n v="51"/>
    <n v="7"/>
    <n v="6"/>
    <n v="4"/>
    <n v="0"/>
    <n v="0"/>
    <n v="23"/>
    <s v="Anais Orozco"/>
    <s v="Collections Group"/>
    <d v="2025-06-20T00:00:00"/>
    <d v="1899-12-30T13:00:35"/>
    <d v="1899-12-30T22:00:08"/>
    <n v="9"/>
    <n v="8.08"/>
    <n v="1.32"/>
    <n v="0.22"/>
    <n v="0"/>
    <n v="0.39"/>
    <n v="5.12"/>
    <n v="0.56000000000000005"/>
    <n v="0.48"/>
    <n v="0"/>
    <n v="0"/>
    <n v="0.01"/>
    <n v="8.08"/>
    <n v="16.32"/>
    <n v="2.66"/>
    <n v="0"/>
    <n v="4.8099999999999996"/>
    <n v="63.29"/>
    <n v="6.9"/>
    <n v="5.88"/>
    <n v="0"/>
    <n v="0"/>
    <n v="0.13"/>
    <n v="6"/>
    <x v="3"/>
  </r>
  <r>
    <x v="15"/>
    <x v="154"/>
    <x v="8"/>
    <x v="75"/>
    <n v="67"/>
    <n v="2"/>
    <n v="0"/>
    <n v="13"/>
    <n v="0"/>
    <n v="1"/>
    <n v="36"/>
    <s v="Candace Smith"/>
    <s v="Collections Group"/>
    <d v="2025-06-20T00:00:00"/>
    <d v="1899-12-30T13:01:26"/>
    <d v="1899-12-30T22:00:46"/>
    <n v="8.98"/>
    <n v="8.99"/>
    <n v="1.1100000000000001"/>
    <n v="0.32"/>
    <n v="0"/>
    <n v="0.64"/>
    <n v="5.39"/>
    <n v="1.52"/>
    <n v="0"/>
    <n v="0"/>
    <n v="0"/>
    <n v="0.01"/>
    <n v="8.99"/>
    <n v="12.36"/>
    <n v="3.55"/>
    <n v="0"/>
    <n v="7.17"/>
    <n v="59.93"/>
    <n v="16.88"/>
    <n v="0"/>
    <n v="0"/>
    <n v="0"/>
    <n v="0.11"/>
    <n v="6"/>
    <x v="3"/>
  </r>
  <r>
    <x v="1"/>
    <x v="154"/>
    <x v="8"/>
    <x v="51"/>
    <n v="100"/>
    <n v="7"/>
    <n v="3"/>
    <n v="7"/>
    <n v="2"/>
    <n v="3"/>
    <n v="62"/>
    <s v="Derice Warnsley"/>
    <s v="Collections Group"/>
    <d v="2025-06-20T00:00:00"/>
    <d v="1899-12-30T13:00:30"/>
    <d v="1899-12-30T22:00:03"/>
    <n v="9"/>
    <n v="8.99"/>
    <n v="1.54"/>
    <n v="0.02"/>
    <n v="0"/>
    <n v="0.04"/>
    <n v="5.68"/>
    <n v="1.49"/>
    <n v="0.22"/>
    <n v="0"/>
    <n v="0"/>
    <n v="0"/>
    <n v="8.99"/>
    <n v="17.09"/>
    <n v="0.25"/>
    <n v="0"/>
    <n v="0.45"/>
    <n v="63.17"/>
    <n v="16.54"/>
    <n v="2.44"/>
    <n v="0"/>
    <n v="0"/>
    <n v="0.05"/>
    <n v="6"/>
    <x v="3"/>
  </r>
  <r>
    <x v="6"/>
    <x v="154"/>
    <x v="8"/>
    <x v="237"/>
    <n v="0"/>
    <n v="0"/>
    <n v="0"/>
    <n v="0"/>
    <n v="0"/>
    <n v="0"/>
    <n v="0"/>
    <m/>
    <m/>
    <m/>
    <m/>
    <m/>
    <m/>
    <m/>
    <m/>
    <m/>
    <m/>
    <m/>
    <m/>
    <m/>
    <m/>
    <m/>
    <m/>
    <m/>
    <m/>
    <m/>
    <m/>
    <m/>
    <m/>
    <m/>
    <m/>
    <m/>
    <m/>
    <m/>
    <m/>
    <n v="6"/>
    <x v="3"/>
  </r>
  <r>
    <x v="0"/>
    <x v="155"/>
    <x v="8"/>
    <x v="75"/>
    <n v="75"/>
    <n v="2"/>
    <n v="5"/>
    <n v="3"/>
    <n v="0"/>
    <n v="0"/>
    <n v="48"/>
    <s v="Anais Orozco"/>
    <s v="Collections Group"/>
    <d v="2025-06-18T00:00:00"/>
    <d v="1899-12-30T12:58:14"/>
    <d v="1899-12-30T22:00:16"/>
    <n v="9.0299999999999994"/>
    <n v="8.1"/>
    <n v="1.26"/>
    <n v="0.5"/>
    <n v="0"/>
    <n v="0.31"/>
    <n v="5.43"/>
    <n v="0.55000000000000004"/>
    <n v="0"/>
    <n v="0"/>
    <n v="0"/>
    <n v="0.05"/>
    <n v="8.1"/>
    <n v="15.58"/>
    <n v="6.18"/>
    <n v="0"/>
    <n v="3.85"/>
    <n v="66.959999999999994"/>
    <n v="6.78"/>
    <n v="0"/>
    <n v="0"/>
    <n v="0"/>
    <n v="0.65"/>
    <n v="4"/>
    <x v="0"/>
  </r>
  <r>
    <x v="15"/>
    <x v="155"/>
    <x v="8"/>
    <x v="104"/>
    <n v="60"/>
    <n v="5"/>
    <n v="0"/>
    <n v="3"/>
    <n v="0"/>
    <n v="1"/>
    <n v="40"/>
    <s v="Candace Smith"/>
    <s v="Collections Group"/>
    <d v="2025-06-18T00:00:00"/>
    <d v="1899-12-30T13:01:27"/>
    <d v="1899-12-30T22:00:11"/>
    <n v="8.98"/>
    <n v="8.98"/>
    <n v="1.06"/>
    <n v="0.45"/>
    <n v="0"/>
    <n v="0.38"/>
    <n v="5.5"/>
    <n v="1.53"/>
    <n v="0"/>
    <n v="0"/>
    <n v="0"/>
    <n v="0.05"/>
    <n v="8.98"/>
    <n v="11.85"/>
    <n v="5.05"/>
    <n v="0"/>
    <n v="4.21"/>
    <n v="61.28"/>
    <n v="17.02"/>
    <n v="0"/>
    <n v="0"/>
    <n v="0"/>
    <n v="0.59"/>
    <n v="4"/>
    <x v="0"/>
  </r>
  <r>
    <x v="1"/>
    <x v="155"/>
    <x v="8"/>
    <x v="51"/>
    <n v="95"/>
    <n v="8"/>
    <n v="6"/>
    <n v="6"/>
    <n v="0"/>
    <n v="1"/>
    <n v="56"/>
    <s v="Derice Warnsley"/>
    <s v="Collections Group"/>
    <d v="2025-06-18T00:00:00"/>
    <d v="1899-12-30T13:00:11"/>
    <d v="1899-12-30T22:00:18"/>
    <n v="9"/>
    <n v="9"/>
    <n v="1.98"/>
    <n v="0"/>
    <n v="0"/>
    <n v="0.04"/>
    <n v="5.49"/>
    <n v="1.48"/>
    <n v="0"/>
    <n v="0"/>
    <n v="0"/>
    <n v="0.01"/>
    <n v="9"/>
    <n v="22"/>
    <n v="0"/>
    <n v="0"/>
    <n v="0.42"/>
    <n v="61.02"/>
    <n v="16.489999999999998"/>
    <n v="0"/>
    <n v="0"/>
    <n v="0"/>
    <n v="0.06"/>
    <n v="4"/>
    <x v="0"/>
  </r>
  <r>
    <x v="3"/>
    <x v="155"/>
    <x v="8"/>
    <x v="108"/>
    <n v="49"/>
    <n v="2"/>
    <n v="4"/>
    <n v="8"/>
    <n v="1"/>
    <n v="0"/>
    <n v="24"/>
    <s v="Jerrod Coleman"/>
    <s v="Collections Group"/>
    <d v="2025-06-18T00:00:00"/>
    <d v="1899-12-30T13:00:07"/>
    <d v="1899-12-30T18:59:08"/>
    <n v="5.98"/>
    <n v="5.99"/>
    <n v="1.08"/>
    <n v="0.1"/>
    <n v="0"/>
    <n v="0.19"/>
    <n v="3.31"/>
    <n v="1.29"/>
    <n v="0"/>
    <n v="0"/>
    <n v="0"/>
    <n v="0"/>
    <n v="5.99"/>
    <n v="18.11"/>
    <n v="1.73"/>
    <n v="0"/>
    <n v="3.22"/>
    <n v="55.36"/>
    <n v="21.52"/>
    <n v="0"/>
    <n v="0"/>
    <n v="0"/>
    <n v="0.06"/>
    <n v="4"/>
    <x v="0"/>
  </r>
  <r>
    <x v="5"/>
    <x v="155"/>
    <x v="8"/>
    <x v="69"/>
    <n v="85"/>
    <n v="3"/>
    <n v="6"/>
    <n v="9"/>
    <n v="0"/>
    <n v="0"/>
    <n v="47"/>
    <s v="Sabigh Masood"/>
    <s v="Collections Group"/>
    <d v="2025-06-18T00:00:00"/>
    <d v="1899-12-30T12:59:36"/>
    <d v="1899-12-30T22:01:56"/>
    <n v="9.0299999999999994"/>
    <n v="9.01"/>
    <n v="1.68"/>
    <n v="0.25"/>
    <n v="0"/>
    <n v="0.44"/>
    <n v="4.96"/>
    <n v="1.45"/>
    <n v="0.16"/>
    <n v="0"/>
    <n v="7.0000000000000007E-2"/>
    <n v="0.01"/>
    <n v="9.01"/>
    <n v="18.61"/>
    <n v="2.75"/>
    <n v="0"/>
    <n v="4.8600000000000003"/>
    <n v="54.99"/>
    <n v="16.13"/>
    <n v="1.74"/>
    <n v="0"/>
    <n v="0.78"/>
    <n v="0.14000000000000001"/>
    <n v="4"/>
    <x v="0"/>
  </r>
  <r>
    <x v="6"/>
    <x v="155"/>
    <x v="8"/>
    <x v="134"/>
    <n v="0"/>
    <n v="0"/>
    <n v="0"/>
    <n v="0"/>
    <n v="0"/>
    <n v="0"/>
    <n v="0"/>
    <m/>
    <m/>
    <m/>
    <m/>
    <m/>
    <m/>
    <m/>
    <m/>
    <m/>
    <m/>
    <m/>
    <m/>
    <m/>
    <m/>
    <m/>
    <m/>
    <m/>
    <m/>
    <m/>
    <m/>
    <m/>
    <m/>
    <m/>
    <m/>
    <m/>
    <m/>
    <m/>
    <m/>
    <n v="4"/>
    <x v="0"/>
  </r>
  <r>
    <x v="0"/>
    <x v="156"/>
    <x v="8"/>
    <x v="18"/>
    <n v="102"/>
    <n v="2"/>
    <n v="1"/>
    <n v="4"/>
    <n v="0"/>
    <n v="0"/>
    <n v="74"/>
    <s v="Anais Orozco"/>
    <s v="Collections Group"/>
    <d v="2025-06-17T00:00:00"/>
    <d v="1899-12-30T12:58:36"/>
    <d v="1899-12-30T22:00:09"/>
    <n v="9.0299999999999994"/>
    <n v="8.14"/>
    <n v="0.72"/>
    <n v="0.25"/>
    <n v="0"/>
    <n v="0.38"/>
    <n v="6.1"/>
    <n v="0.65"/>
    <n v="0"/>
    <n v="0"/>
    <n v="0"/>
    <n v="0.05"/>
    <n v="8.14"/>
    <n v="8.86"/>
    <n v="3.02"/>
    <n v="0"/>
    <n v="4.6399999999999997"/>
    <n v="74.89"/>
    <n v="8"/>
    <n v="0"/>
    <n v="0"/>
    <n v="0"/>
    <n v="0.59"/>
    <n v="3"/>
    <x v="1"/>
  </r>
  <r>
    <x v="15"/>
    <x v="156"/>
    <x v="8"/>
    <x v="73"/>
    <n v="52"/>
    <n v="6"/>
    <n v="4"/>
    <n v="7"/>
    <n v="0"/>
    <n v="0"/>
    <n v="30"/>
    <s v="Candace Smith"/>
    <s v="Collections Group"/>
    <d v="2025-06-17T00:00:00"/>
    <d v="1899-12-30T13:03:10"/>
    <d v="1899-12-30T21:55:13"/>
    <n v="8.8699999999999992"/>
    <n v="8.59"/>
    <n v="1.19"/>
    <n v="0.93"/>
    <n v="0"/>
    <n v="0.71"/>
    <n v="4.76"/>
    <n v="0.94"/>
    <n v="0"/>
    <n v="0"/>
    <n v="0"/>
    <n v="0.06"/>
    <n v="8.59"/>
    <n v="13.87"/>
    <n v="10.8"/>
    <n v="0"/>
    <n v="8.31"/>
    <n v="55.35"/>
    <n v="10.89"/>
    <n v="0"/>
    <n v="0"/>
    <n v="0.05"/>
    <n v="0.73"/>
    <n v="3"/>
    <x v="1"/>
  </r>
  <r>
    <x v="1"/>
    <x v="156"/>
    <x v="8"/>
    <x v="56"/>
    <n v="72"/>
    <n v="5"/>
    <n v="1"/>
    <n v="9"/>
    <n v="0"/>
    <n v="0"/>
    <n v="36"/>
    <s v="Derice Warnsley"/>
    <s v="Collections Group"/>
    <d v="2025-06-17T00:00:00"/>
    <d v="1899-12-30T13:00:10"/>
    <d v="1899-12-30T22:00:06"/>
    <n v="9"/>
    <n v="9"/>
    <n v="1.76"/>
    <n v="0"/>
    <n v="0"/>
    <n v="0.03"/>
    <n v="5.71"/>
    <n v="1.5"/>
    <n v="0"/>
    <n v="0"/>
    <n v="0"/>
    <n v="0"/>
    <n v="9"/>
    <n v="19.54"/>
    <n v="0"/>
    <n v="0"/>
    <n v="0.3"/>
    <n v="63.45"/>
    <n v="16.670000000000002"/>
    <n v="0"/>
    <n v="0"/>
    <n v="0"/>
    <n v="0.04"/>
    <n v="3"/>
    <x v="1"/>
  </r>
  <r>
    <x v="3"/>
    <x v="156"/>
    <x v="8"/>
    <x v="39"/>
    <n v="101"/>
    <n v="13"/>
    <n v="11"/>
    <n v="6"/>
    <n v="0"/>
    <n v="1"/>
    <n v="41"/>
    <s v="Jerrod Coleman"/>
    <s v="Collections Group"/>
    <d v="2025-06-17T00:00:00"/>
    <d v="1899-12-30T13:00:09"/>
    <d v="1899-12-30T22:00:07"/>
    <n v="9"/>
    <n v="9"/>
    <n v="1.53"/>
    <n v="0.15"/>
    <n v="0"/>
    <n v="0.46"/>
    <n v="5.37"/>
    <n v="1.44"/>
    <n v="0"/>
    <n v="0"/>
    <n v="0.05"/>
    <n v="0"/>
    <n v="9"/>
    <n v="16.95"/>
    <n v="1.7"/>
    <n v="0"/>
    <n v="5.08"/>
    <n v="59.63"/>
    <n v="16.05"/>
    <n v="0"/>
    <n v="0"/>
    <n v="0.55000000000000004"/>
    <n v="0.05"/>
    <n v="3"/>
    <x v="1"/>
  </r>
  <r>
    <x v="5"/>
    <x v="156"/>
    <x v="8"/>
    <x v="51"/>
    <n v="85"/>
    <n v="5"/>
    <n v="0"/>
    <n v="8"/>
    <n v="3"/>
    <n v="2"/>
    <n v="35"/>
    <s v="Sabigh Masood"/>
    <s v="Collections Group"/>
    <d v="2025-06-17T00:00:00"/>
    <d v="1899-12-30T13:02:15"/>
    <d v="1899-12-30T22:01:36"/>
    <n v="8.98"/>
    <n v="8.99"/>
    <n v="1.93"/>
    <n v="0.12"/>
    <n v="0"/>
    <n v="0.49"/>
    <n v="4.96"/>
    <n v="1.47"/>
    <n v="0"/>
    <n v="0"/>
    <n v="0"/>
    <n v="0.01"/>
    <n v="8.99"/>
    <n v="21.47"/>
    <n v="1.37"/>
    <n v="0"/>
    <n v="5.44"/>
    <n v="55.19"/>
    <n v="16.399999999999999"/>
    <n v="0"/>
    <n v="0"/>
    <n v="0"/>
    <n v="0.14000000000000001"/>
    <n v="3"/>
    <x v="1"/>
  </r>
  <r>
    <x v="6"/>
    <x v="156"/>
    <x v="8"/>
    <x v="238"/>
    <n v="0"/>
    <n v="0"/>
    <n v="0"/>
    <n v="0"/>
    <n v="0"/>
    <n v="0"/>
    <n v="0"/>
    <m/>
    <m/>
    <m/>
    <m/>
    <m/>
    <m/>
    <m/>
    <m/>
    <m/>
    <m/>
    <m/>
    <m/>
    <m/>
    <m/>
    <m/>
    <m/>
    <m/>
    <m/>
    <m/>
    <m/>
    <m/>
    <m/>
    <m/>
    <m/>
    <m/>
    <m/>
    <m/>
    <m/>
    <n v="3"/>
    <x v="1"/>
  </r>
  <r>
    <x v="0"/>
    <x v="157"/>
    <x v="8"/>
    <x v="104"/>
    <n v="22"/>
    <n v="4"/>
    <n v="2"/>
    <n v="1"/>
    <n v="0"/>
    <n v="0"/>
    <n v="4"/>
    <s v="Anais Orozco"/>
    <s v="Collections Group"/>
    <d v="2025-06-16T00:00:00"/>
    <d v="1899-12-30T13:00:44"/>
    <d v="1899-12-30T22:00:22"/>
    <n v="9"/>
    <n v="8.25"/>
    <n v="1.27"/>
    <n v="0.09"/>
    <n v="0"/>
    <n v="0.4"/>
    <n v="5.55"/>
    <n v="0.74"/>
    <n v="0.16"/>
    <n v="0"/>
    <n v="0"/>
    <n v="0.03"/>
    <n v="8.25"/>
    <n v="15.43"/>
    <n v="1.1000000000000001"/>
    <n v="0"/>
    <n v="4.8600000000000003"/>
    <n v="67.27"/>
    <n v="8.98"/>
    <n v="1.96"/>
    <n v="0"/>
    <n v="0"/>
    <n v="0.4"/>
    <n v="2"/>
    <x v="2"/>
  </r>
  <r>
    <x v="15"/>
    <x v="157"/>
    <x v="8"/>
    <x v="76"/>
    <n v="22"/>
    <n v="3"/>
    <n v="0"/>
    <n v="5"/>
    <n v="0"/>
    <n v="0"/>
    <n v="5"/>
    <s v="Candace Smith"/>
    <s v="Collections Group"/>
    <d v="2025-06-16T00:00:00"/>
    <d v="1899-12-30T13:05:44"/>
    <d v="1899-12-30T22:28:23"/>
    <n v="9.3800000000000008"/>
    <n v="9.3800000000000008"/>
    <n v="0.73"/>
    <n v="0.67"/>
    <n v="0"/>
    <n v="0.48"/>
    <n v="5.38"/>
    <n v="1.5"/>
    <n v="0.62"/>
    <n v="0"/>
    <n v="0"/>
    <n v="0.01"/>
    <n v="9.3800000000000008"/>
    <n v="7.74"/>
    <n v="7.1"/>
    <n v="0"/>
    <n v="5.08"/>
    <n v="57.34"/>
    <n v="15.95"/>
    <n v="6.65"/>
    <n v="0"/>
    <n v="0"/>
    <n v="0.14000000000000001"/>
    <n v="2"/>
    <x v="2"/>
  </r>
  <r>
    <x v="1"/>
    <x v="157"/>
    <x v="8"/>
    <x v="89"/>
    <n v="33"/>
    <n v="5"/>
    <n v="3"/>
    <n v="1"/>
    <n v="0"/>
    <n v="0"/>
    <n v="4"/>
    <s v="Derice Warnsley"/>
    <s v="Collections Group"/>
    <d v="2025-06-16T00:00:00"/>
    <d v="1899-12-30T13:00:32"/>
    <d v="1899-12-30T22:00:04"/>
    <n v="9"/>
    <n v="8.99"/>
    <n v="1.08"/>
    <n v="0"/>
    <n v="0"/>
    <n v="0.02"/>
    <n v="5.69"/>
    <n v="1.45"/>
    <n v="0.74"/>
    <n v="0"/>
    <n v="0"/>
    <n v="0"/>
    <n v="8.99"/>
    <n v="12.06"/>
    <n v="0"/>
    <n v="0"/>
    <n v="0.24"/>
    <n v="63.34"/>
    <n v="16.11"/>
    <n v="8.2100000000000009"/>
    <n v="0"/>
    <n v="0"/>
    <n v="0.04"/>
    <n v="2"/>
    <x v="2"/>
  </r>
  <r>
    <x v="3"/>
    <x v="157"/>
    <x v="8"/>
    <x v="38"/>
    <n v="50"/>
    <n v="7"/>
    <n v="5"/>
    <n v="1"/>
    <n v="1"/>
    <n v="0"/>
    <n v="8"/>
    <s v="Jerrod Coleman"/>
    <s v="Collections Group"/>
    <d v="2025-06-16T00:00:00"/>
    <d v="1899-12-30T13:00:08"/>
    <d v="1899-12-30T22:00:17"/>
    <n v="9"/>
    <n v="9"/>
    <n v="1.6"/>
    <n v="0"/>
    <n v="0"/>
    <n v="0.38"/>
    <n v="5.42"/>
    <n v="1.45"/>
    <n v="0.15"/>
    <n v="0"/>
    <n v="0"/>
    <n v="0.01"/>
    <n v="9"/>
    <n v="17.75"/>
    <n v="0.02"/>
    <n v="0"/>
    <n v="4.18"/>
    <n v="60.17"/>
    <n v="16.14"/>
    <n v="1.68"/>
    <n v="0"/>
    <n v="0"/>
    <n v="0.06"/>
    <n v="2"/>
    <x v="2"/>
  </r>
  <r>
    <x v="5"/>
    <x v="157"/>
    <x v="8"/>
    <x v="39"/>
    <n v="42"/>
    <n v="8"/>
    <n v="4"/>
    <n v="3"/>
    <n v="0"/>
    <n v="0"/>
    <n v="5"/>
    <s v="Sabigh Masood"/>
    <s v="Collections Group"/>
    <d v="2025-06-16T00:00:00"/>
    <d v="1899-12-30T13:00:20"/>
    <d v="1899-12-30T22:05:40"/>
    <n v="9.08"/>
    <n v="9.09"/>
    <n v="1.86"/>
    <n v="0"/>
    <n v="0"/>
    <n v="0.23"/>
    <n v="5.51"/>
    <n v="1.47"/>
    <n v="0"/>
    <n v="0"/>
    <n v="0"/>
    <n v="0"/>
    <n v="9.09"/>
    <n v="20.47"/>
    <n v="0"/>
    <n v="0"/>
    <n v="2.5499999999999998"/>
    <n v="60.69"/>
    <n v="16.23"/>
    <n v="0"/>
    <n v="0"/>
    <n v="0.03"/>
    <n v="0.04"/>
    <n v="2"/>
    <x v="2"/>
  </r>
  <r>
    <x v="0"/>
    <x v="158"/>
    <x v="8"/>
    <x v="75"/>
    <n v="70"/>
    <n v="6"/>
    <n v="1"/>
    <n v="3"/>
    <n v="0"/>
    <n v="0"/>
    <n v="45"/>
    <s v="Anais Orozco"/>
    <s v="Collections Group"/>
    <d v="2025-06-13T00:00:00"/>
    <d v="1899-12-30T13:00:18"/>
    <d v="1899-12-30T22:00:14"/>
    <n v="9"/>
    <n v="8.01"/>
    <n v="1.0900000000000001"/>
    <n v="0.96"/>
    <n v="0"/>
    <n v="0.43"/>
    <n v="5.18"/>
    <n v="0.3"/>
    <n v="0"/>
    <n v="0"/>
    <n v="0"/>
    <n v="0.04"/>
    <n v="8.01"/>
    <n v="13.67"/>
    <n v="11.93"/>
    <n v="0"/>
    <n v="5.43"/>
    <n v="64.69"/>
    <n v="3.79"/>
    <n v="0"/>
    <n v="0"/>
    <n v="0"/>
    <n v="0.49"/>
    <n v="6"/>
    <x v="3"/>
  </r>
  <r>
    <x v="1"/>
    <x v="158"/>
    <x v="8"/>
    <x v="24"/>
    <n v="36"/>
    <n v="0"/>
    <n v="1"/>
    <n v="5"/>
    <n v="0"/>
    <n v="1"/>
    <n v="19"/>
    <s v="Derice Warnsley"/>
    <s v="Collections Group"/>
    <d v="2025-06-13T00:00:00"/>
    <d v="1899-12-30T12:56:54"/>
    <d v="1899-12-30T17:00:04"/>
    <n v="4.07"/>
    <n v="4"/>
    <n v="0.73"/>
    <n v="0.09"/>
    <n v="0"/>
    <n v="0.02"/>
    <n v="2.91"/>
    <n v="0.25"/>
    <n v="0"/>
    <n v="0"/>
    <n v="0"/>
    <n v="0"/>
    <n v="4"/>
    <n v="18.149999999999999"/>
    <n v="2.27"/>
    <n v="0"/>
    <n v="0.44"/>
    <n v="72.739999999999995"/>
    <n v="6.3"/>
    <n v="0"/>
    <n v="0"/>
    <n v="0"/>
    <n v="0.09"/>
    <n v="6"/>
    <x v="3"/>
  </r>
  <r>
    <x v="3"/>
    <x v="158"/>
    <x v="8"/>
    <x v="75"/>
    <n v="86"/>
    <n v="5"/>
    <n v="3"/>
    <n v="2"/>
    <n v="0"/>
    <n v="0"/>
    <n v="63"/>
    <s v="Jerrod Coleman"/>
    <s v="Collections Group"/>
    <d v="2025-06-13T00:00:00"/>
    <d v="1899-12-30T13:00:49"/>
    <d v="1899-12-30T21:59:51"/>
    <n v="8.98"/>
    <n v="8.92"/>
    <n v="0.74"/>
    <n v="0.37"/>
    <n v="0"/>
    <n v="0.13"/>
    <n v="5.51"/>
    <n v="1.4"/>
    <n v="0.75"/>
    <n v="0"/>
    <n v="0"/>
    <n v="0.01"/>
    <n v="8.92"/>
    <n v="8.35"/>
    <n v="4.1100000000000003"/>
    <n v="0"/>
    <n v="1.43"/>
    <n v="61.78"/>
    <n v="15.75"/>
    <n v="8.4600000000000009"/>
    <n v="0"/>
    <n v="0"/>
    <n v="0.12"/>
    <n v="6"/>
    <x v="3"/>
  </r>
  <r>
    <x v="4"/>
    <x v="158"/>
    <x v="8"/>
    <x v="13"/>
    <n v="1"/>
    <n v="0"/>
    <n v="0"/>
    <n v="1"/>
    <n v="0"/>
    <n v="0"/>
    <n v="0"/>
    <s v="Rosette Rwabugahya"/>
    <s v="Collections Group"/>
    <d v="2025-06-13T00:00:00"/>
    <d v="1899-12-30T21:28:54"/>
    <m/>
    <m/>
    <n v="2.52"/>
    <n v="2.5099999999999998"/>
    <n v="0"/>
    <n v="0"/>
    <n v="0"/>
    <n v="0"/>
    <n v="0"/>
    <n v="0"/>
    <n v="0"/>
    <n v="0"/>
    <n v="0"/>
    <n v="2.52"/>
    <n v="99.68"/>
    <n v="0"/>
    <n v="0"/>
    <n v="0.19"/>
    <n v="0"/>
    <n v="0"/>
    <n v="0"/>
    <n v="0"/>
    <n v="0"/>
    <n v="0.13"/>
    <n v="6"/>
    <x v="3"/>
  </r>
  <r>
    <x v="5"/>
    <x v="158"/>
    <x v="8"/>
    <x v="89"/>
    <n v="75"/>
    <n v="9"/>
    <n v="2"/>
    <n v="6"/>
    <n v="1"/>
    <n v="0"/>
    <n v="42"/>
    <s v="Sabigh Masood"/>
    <s v="Collections Group"/>
    <d v="2025-06-13T00:00:00"/>
    <d v="1899-12-30T13:00:16"/>
    <d v="1899-12-30T22:07:49"/>
    <n v="9.1199999999999992"/>
    <n v="9.1199999999999992"/>
    <n v="1.35"/>
    <n v="0.16"/>
    <n v="0"/>
    <n v="0.43"/>
    <n v="5.35"/>
    <n v="1.79"/>
    <n v="0"/>
    <n v="0"/>
    <n v="0.03"/>
    <n v="0"/>
    <n v="9.1199999999999992"/>
    <n v="14.83"/>
    <n v="1.79"/>
    <n v="0"/>
    <n v="4.7300000000000004"/>
    <n v="58.66"/>
    <n v="19.59"/>
    <n v="0"/>
    <n v="0"/>
    <n v="0.36"/>
    <n v="0.03"/>
    <n v="6"/>
    <x v="3"/>
  </r>
  <r>
    <x v="6"/>
    <x v="158"/>
    <x v="8"/>
    <x v="239"/>
    <n v="0"/>
    <n v="0"/>
    <n v="0"/>
    <n v="0"/>
    <n v="0"/>
    <n v="0"/>
    <n v="0"/>
    <m/>
    <m/>
    <m/>
    <m/>
    <m/>
    <m/>
    <m/>
    <m/>
    <m/>
    <m/>
    <m/>
    <m/>
    <m/>
    <m/>
    <m/>
    <m/>
    <m/>
    <m/>
    <m/>
    <m/>
    <m/>
    <m/>
    <m/>
    <m/>
    <m/>
    <m/>
    <m/>
    <m/>
    <n v="6"/>
    <x v="3"/>
  </r>
  <r>
    <x v="0"/>
    <x v="159"/>
    <x v="8"/>
    <x v="89"/>
    <n v="90"/>
    <n v="0"/>
    <n v="3"/>
    <n v="3"/>
    <n v="0"/>
    <n v="2"/>
    <n v="64"/>
    <s v="Anais Orozco"/>
    <s v="Collections Group"/>
    <d v="2025-06-12T00:00:00"/>
    <d v="1899-12-30T13:02:00"/>
    <d v="1899-12-30T22:00:21"/>
    <n v="8.9700000000000006"/>
    <n v="7.97"/>
    <n v="1.27"/>
    <n v="0"/>
    <n v="0"/>
    <n v="0.61"/>
    <n v="5.61"/>
    <n v="0.41"/>
    <n v="0"/>
    <n v="0"/>
    <n v="0"/>
    <n v="0.06"/>
    <n v="7.97"/>
    <n v="15.97"/>
    <n v="0"/>
    <n v="0"/>
    <n v="7.68"/>
    <n v="70.400000000000006"/>
    <n v="5.21"/>
    <n v="0"/>
    <n v="0"/>
    <n v="0"/>
    <n v="0.74"/>
    <n v="5"/>
    <x v="4"/>
  </r>
  <r>
    <x v="1"/>
    <x v="159"/>
    <x v="8"/>
    <x v="89"/>
    <n v="68"/>
    <n v="4"/>
    <n v="1"/>
    <n v="4"/>
    <n v="0"/>
    <n v="4"/>
    <n v="36"/>
    <s v="Derice Warnsley"/>
    <s v="Collections Group"/>
    <d v="2025-06-12T00:00:00"/>
    <d v="1899-12-30T13:00:14"/>
    <d v="1899-12-30T22:00:07"/>
    <n v="9"/>
    <n v="9"/>
    <n v="1.39"/>
    <n v="0.23"/>
    <n v="0"/>
    <n v="0.04"/>
    <n v="5.98"/>
    <n v="1.37"/>
    <n v="0"/>
    <n v="0"/>
    <n v="0"/>
    <n v="0"/>
    <n v="9"/>
    <n v="15.42"/>
    <n v="2.52"/>
    <n v="0"/>
    <n v="0.42"/>
    <n v="66.42"/>
    <n v="15.19"/>
    <n v="0"/>
    <n v="0"/>
    <n v="0"/>
    <n v="0.03"/>
    <n v="5"/>
    <x v="4"/>
  </r>
  <r>
    <x v="3"/>
    <x v="159"/>
    <x v="8"/>
    <x v="52"/>
    <n v="84"/>
    <n v="5"/>
    <n v="1"/>
    <n v="3"/>
    <n v="1"/>
    <n v="3"/>
    <n v="58"/>
    <s v="Jerrod Coleman"/>
    <s v="Collections Group"/>
    <d v="2025-06-12T00:00:00"/>
    <d v="1899-12-30T13:00:13"/>
    <d v="1899-12-30T21:51:29"/>
    <n v="8.85"/>
    <n v="7.95"/>
    <n v="0.99"/>
    <n v="0.25"/>
    <n v="0"/>
    <n v="0.33"/>
    <n v="5.53"/>
    <n v="0.56999999999999995"/>
    <n v="0.26"/>
    <n v="0"/>
    <n v="0"/>
    <n v="0.01"/>
    <n v="7.95"/>
    <n v="12.5"/>
    <n v="3.15"/>
    <n v="0"/>
    <n v="4.2"/>
    <n v="69.53"/>
    <n v="7.21"/>
    <n v="3.23"/>
    <n v="0"/>
    <n v="0"/>
    <n v="0.17"/>
    <n v="5"/>
    <x v="4"/>
  </r>
  <r>
    <x v="5"/>
    <x v="159"/>
    <x v="8"/>
    <x v="73"/>
    <n v="58"/>
    <n v="9"/>
    <n v="2"/>
    <n v="17"/>
    <n v="0"/>
    <n v="0"/>
    <n v="24"/>
    <s v="Sabigh Masood"/>
    <s v="Collections Group"/>
    <d v="2025-06-12T00:00:00"/>
    <d v="1899-12-30T13:08:18"/>
    <d v="1899-12-30T22:08:29"/>
    <n v="9"/>
    <n v="8.77"/>
    <n v="1.41"/>
    <n v="0.11"/>
    <n v="0"/>
    <n v="0.48"/>
    <n v="4.37"/>
    <n v="1.46"/>
    <n v="0.83"/>
    <n v="0"/>
    <n v="0.1"/>
    <n v="0.01"/>
    <n v="8.77"/>
    <n v="16.02"/>
    <n v="1.3"/>
    <n v="0"/>
    <n v="5.5"/>
    <n v="49.78"/>
    <n v="16.68"/>
    <n v="9.51"/>
    <n v="0"/>
    <n v="1.1000000000000001"/>
    <n v="0.11"/>
    <n v="5"/>
    <x v="4"/>
  </r>
  <r>
    <x v="6"/>
    <x v="159"/>
    <x v="8"/>
    <x v="240"/>
    <n v="0"/>
    <n v="0"/>
    <n v="0"/>
    <n v="0"/>
    <n v="0"/>
    <n v="0"/>
    <n v="0"/>
    <m/>
    <m/>
    <m/>
    <m/>
    <m/>
    <m/>
    <m/>
    <m/>
    <m/>
    <m/>
    <m/>
    <m/>
    <m/>
    <m/>
    <m/>
    <m/>
    <m/>
    <m/>
    <m/>
    <m/>
    <m/>
    <m/>
    <m/>
    <m/>
    <m/>
    <m/>
    <m/>
    <m/>
    <n v="5"/>
    <x v="4"/>
  </r>
  <r>
    <x v="0"/>
    <x v="160"/>
    <x v="8"/>
    <x v="118"/>
    <n v="79"/>
    <n v="2"/>
    <n v="7"/>
    <n v="4"/>
    <n v="1"/>
    <n v="0"/>
    <n v="51"/>
    <s v="Anais Orozco"/>
    <s v="Collections Group"/>
    <d v="2025-06-11T00:00:00"/>
    <d v="1899-12-30T13:00:27"/>
    <d v="1899-12-30T22:00:22"/>
    <n v="9"/>
    <n v="8.1300000000000008"/>
    <n v="1.48"/>
    <n v="0.36"/>
    <n v="0"/>
    <n v="0.53"/>
    <n v="5.15"/>
    <n v="0.6"/>
    <n v="0"/>
    <n v="0"/>
    <n v="0"/>
    <n v="0.01"/>
    <n v="8.1300000000000008"/>
    <n v="18.170000000000002"/>
    <n v="4.4000000000000004"/>
    <n v="0"/>
    <n v="6.57"/>
    <n v="63.41"/>
    <n v="7.33"/>
    <n v="0"/>
    <n v="0"/>
    <n v="0"/>
    <n v="0.12"/>
    <n v="4"/>
    <x v="0"/>
  </r>
  <r>
    <x v="1"/>
    <x v="160"/>
    <x v="8"/>
    <x v="75"/>
    <n v="92"/>
    <n v="6"/>
    <n v="7"/>
    <n v="10"/>
    <n v="0"/>
    <n v="0"/>
    <n v="59"/>
    <s v="Derice Warnsley"/>
    <s v="Collections Group"/>
    <d v="2025-06-11T00:00:00"/>
    <d v="1899-12-30T13:00:14"/>
    <d v="1899-12-30T22:00:16"/>
    <n v="9"/>
    <n v="8.99"/>
    <n v="1.31"/>
    <n v="0.12"/>
    <n v="0"/>
    <n v="0.04"/>
    <n v="6.1"/>
    <n v="1.41"/>
    <n v="0"/>
    <n v="0"/>
    <n v="0"/>
    <n v="0.01"/>
    <n v="8.99"/>
    <n v="14.62"/>
    <n v="1.29"/>
    <n v="0"/>
    <n v="0.47"/>
    <n v="67.819999999999993"/>
    <n v="15.69"/>
    <n v="0"/>
    <n v="0"/>
    <n v="0"/>
    <n v="0.11"/>
    <n v="4"/>
    <x v="0"/>
  </r>
  <r>
    <x v="3"/>
    <x v="160"/>
    <x v="8"/>
    <x v="18"/>
    <n v="103"/>
    <n v="4"/>
    <n v="9"/>
    <n v="13"/>
    <n v="1"/>
    <n v="0"/>
    <n v="63"/>
    <s v="Jerrod Coleman"/>
    <s v="Collections Group"/>
    <d v="2025-06-11T00:00:00"/>
    <d v="1899-12-30T13:00:06"/>
    <d v="1899-12-30T22:01:12"/>
    <n v="9.02"/>
    <n v="9.02"/>
    <n v="0.9"/>
    <n v="7.0000000000000007E-2"/>
    <n v="0"/>
    <n v="0.26"/>
    <n v="6.37"/>
    <n v="1.42"/>
    <n v="0"/>
    <n v="0"/>
    <n v="0"/>
    <n v="0"/>
    <n v="9.02"/>
    <n v="9.9499999999999993"/>
    <n v="0.77"/>
    <n v="0"/>
    <n v="2.93"/>
    <n v="70.59"/>
    <n v="15.72"/>
    <n v="0"/>
    <n v="0"/>
    <n v="0"/>
    <n v="0.05"/>
    <n v="4"/>
    <x v="0"/>
  </r>
  <r>
    <x v="5"/>
    <x v="160"/>
    <x v="8"/>
    <x v="56"/>
    <n v="114"/>
    <n v="2"/>
    <n v="1"/>
    <n v="15"/>
    <n v="0"/>
    <n v="0"/>
    <n v="64"/>
    <s v="Sabigh Masood"/>
    <s v="Collections Group"/>
    <d v="2025-06-11T00:00:00"/>
    <d v="1899-12-30T13:00:45"/>
    <d v="1899-12-30T22:03:36"/>
    <n v="9.0500000000000007"/>
    <n v="9.0500000000000007"/>
    <n v="1.1599999999999999"/>
    <n v="0.28000000000000003"/>
    <n v="0"/>
    <n v="0.3"/>
    <n v="5.07"/>
    <n v="1.46"/>
    <n v="0.77"/>
    <n v="0"/>
    <n v="0"/>
    <n v="0"/>
    <n v="9.0500000000000007"/>
    <n v="12.79"/>
    <n v="3.14"/>
    <n v="0"/>
    <n v="3.3"/>
    <n v="56.05"/>
    <n v="16.170000000000002"/>
    <n v="8.51"/>
    <n v="0"/>
    <n v="0"/>
    <n v="0.04"/>
    <n v="4"/>
    <x v="0"/>
  </r>
  <r>
    <x v="6"/>
    <x v="160"/>
    <x v="8"/>
    <x v="232"/>
    <n v="0"/>
    <n v="0"/>
    <n v="0"/>
    <n v="0"/>
    <n v="0"/>
    <n v="0"/>
    <n v="0"/>
    <m/>
    <m/>
    <m/>
    <m/>
    <m/>
    <m/>
    <m/>
    <m/>
    <m/>
    <m/>
    <m/>
    <m/>
    <m/>
    <m/>
    <m/>
    <m/>
    <m/>
    <m/>
    <m/>
    <m/>
    <m/>
    <m/>
    <m/>
    <m/>
    <m/>
    <m/>
    <m/>
    <m/>
    <n v="4"/>
    <x v="0"/>
  </r>
  <r>
    <x v="0"/>
    <x v="161"/>
    <x v="8"/>
    <x v="90"/>
    <n v="59"/>
    <n v="4"/>
    <n v="3"/>
    <n v="5"/>
    <n v="0"/>
    <n v="2"/>
    <n v="34"/>
    <s v="Anais Orozco"/>
    <s v="Collections Group"/>
    <d v="2025-06-10T00:00:00"/>
    <d v="1899-12-30T13:00:20"/>
    <d v="1899-12-30T22:00:20"/>
    <n v="9"/>
    <n v="8.1300000000000008"/>
    <n v="2.77"/>
    <n v="0.39"/>
    <n v="0"/>
    <n v="0.38"/>
    <n v="4.18"/>
    <n v="0.38"/>
    <n v="0"/>
    <n v="0"/>
    <n v="0"/>
    <n v="0.04"/>
    <n v="8.1300000000000008"/>
    <n v="34.01"/>
    <n v="4.82"/>
    <n v="0"/>
    <n v="4.62"/>
    <n v="51.42"/>
    <n v="4.6100000000000003"/>
    <n v="0"/>
    <n v="0"/>
    <n v="0"/>
    <n v="0.52"/>
    <n v="3"/>
    <x v="1"/>
  </r>
  <r>
    <x v="15"/>
    <x v="161"/>
    <x v="8"/>
    <x v="120"/>
    <n v="45"/>
    <n v="3"/>
    <n v="0"/>
    <n v="2"/>
    <n v="0"/>
    <n v="0"/>
    <n v="32"/>
    <s v="Candace Smith"/>
    <s v="Collections Group"/>
    <d v="2025-06-10T00:00:00"/>
    <d v="1899-12-30T13:06:13"/>
    <d v="1899-12-30T17:00:52"/>
    <n v="3.9"/>
    <n v="3.65"/>
    <n v="0.36"/>
    <n v="0.3"/>
    <n v="0"/>
    <n v="0.42"/>
    <n v="2.4300000000000002"/>
    <n v="0.12"/>
    <n v="0"/>
    <n v="0"/>
    <n v="0"/>
    <n v="0.03"/>
    <n v="3.65"/>
    <n v="9.77"/>
    <n v="8.31"/>
    <n v="0"/>
    <n v="11.38"/>
    <n v="66.47"/>
    <n v="3.38"/>
    <n v="0"/>
    <n v="0"/>
    <n v="0"/>
    <n v="0.69"/>
    <n v="3"/>
    <x v="1"/>
  </r>
  <r>
    <x v="1"/>
    <x v="161"/>
    <x v="8"/>
    <x v="99"/>
    <n v="89"/>
    <n v="6"/>
    <n v="4"/>
    <n v="8"/>
    <n v="0"/>
    <n v="0"/>
    <n v="53"/>
    <s v="Derice Warnsley"/>
    <s v="Collections Group"/>
    <d v="2025-06-10T00:00:00"/>
    <d v="1899-12-30T12:59:43"/>
    <d v="1899-12-30T22:00:12"/>
    <n v="9.02"/>
    <n v="9.01"/>
    <n v="1.89"/>
    <n v="0"/>
    <n v="0"/>
    <n v="0.03"/>
    <n v="5.23"/>
    <n v="1.48"/>
    <n v="0.37"/>
    <n v="0"/>
    <n v="0"/>
    <n v="0.01"/>
    <n v="9.01"/>
    <n v="20.97"/>
    <n v="0"/>
    <n v="0"/>
    <n v="0.36"/>
    <n v="58"/>
    <n v="16.45"/>
    <n v="4.1500000000000004"/>
    <n v="0"/>
    <n v="0"/>
    <n v="0.06"/>
    <n v="3"/>
    <x v="1"/>
  </r>
  <r>
    <x v="3"/>
    <x v="161"/>
    <x v="8"/>
    <x v="90"/>
    <n v="74"/>
    <n v="7"/>
    <n v="10"/>
    <n v="7"/>
    <n v="0"/>
    <n v="1"/>
    <n v="39"/>
    <s v="Jerrod Coleman"/>
    <s v="Collections Group"/>
    <d v="2025-06-10T00:00:00"/>
    <d v="1899-12-30T13:02:33"/>
    <d v="1899-12-30T22:00:06"/>
    <n v="8.9700000000000006"/>
    <n v="8.9600000000000009"/>
    <n v="0.85"/>
    <n v="0.23"/>
    <n v="0"/>
    <n v="0.15"/>
    <n v="5.32"/>
    <n v="1.45"/>
    <n v="0.94"/>
    <n v="0"/>
    <n v="0"/>
    <n v="0.02"/>
    <n v="8.9600000000000009"/>
    <n v="9.5"/>
    <n v="2.54"/>
    <n v="0"/>
    <n v="1.71"/>
    <n v="59.36"/>
    <n v="16.23"/>
    <n v="10.46"/>
    <n v="0"/>
    <n v="0"/>
    <n v="0.2"/>
    <n v="3"/>
    <x v="1"/>
  </r>
  <r>
    <x v="5"/>
    <x v="161"/>
    <x v="8"/>
    <x v="51"/>
    <n v="112"/>
    <n v="2"/>
    <n v="3"/>
    <n v="3"/>
    <n v="0"/>
    <n v="0"/>
    <n v="84"/>
    <s v="Sabigh Masood"/>
    <s v="Collections Group"/>
    <d v="2025-06-10T00:00:00"/>
    <d v="1899-12-30T12:59:06"/>
    <d v="1899-12-30T22:00:09"/>
    <n v="9.02"/>
    <n v="9.02"/>
    <n v="0.42"/>
    <n v="0.26"/>
    <n v="0"/>
    <n v="0.23"/>
    <n v="6.36"/>
    <n v="1.32"/>
    <n v="0.41"/>
    <n v="0"/>
    <n v="0"/>
    <n v="0.02"/>
    <n v="9.02"/>
    <n v="4.6900000000000004"/>
    <n v="2.92"/>
    <n v="0"/>
    <n v="2.5"/>
    <n v="70.5"/>
    <n v="14.63"/>
    <n v="4.5599999999999996"/>
    <n v="0"/>
    <n v="0.03"/>
    <n v="0.18"/>
    <n v="3"/>
    <x v="1"/>
  </r>
  <r>
    <x v="6"/>
    <x v="161"/>
    <x v="8"/>
    <x v="241"/>
    <n v="0"/>
    <n v="0"/>
    <n v="0"/>
    <n v="0"/>
    <n v="0"/>
    <n v="0"/>
    <n v="0"/>
    <m/>
    <m/>
    <m/>
    <m/>
    <m/>
    <m/>
    <m/>
    <m/>
    <m/>
    <m/>
    <m/>
    <m/>
    <m/>
    <m/>
    <m/>
    <m/>
    <m/>
    <m/>
    <m/>
    <m/>
    <m/>
    <m/>
    <m/>
    <m/>
    <m/>
    <m/>
    <m/>
    <m/>
    <n v="3"/>
    <x v="1"/>
  </r>
  <r>
    <x v="0"/>
    <x v="162"/>
    <x v="8"/>
    <x v="52"/>
    <n v="113"/>
    <n v="4"/>
    <n v="3"/>
    <n v="1"/>
    <n v="0"/>
    <n v="1"/>
    <n v="91"/>
    <s v="Anais Orozco"/>
    <s v="Collections Group"/>
    <d v="2025-06-09T00:00:00"/>
    <d v="1899-12-30T13:01:37"/>
    <d v="1899-12-30T22:00:21"/>
    <n v="8.98"/>
    <n v="7.98"/>
    <n v="0.75"/>
    <n v="0.5"/>
    <n v="0"/>
    <n v="0.24"/>
    <n v="5.65"/>
    <n v="0.56999999999999995"/>
    <n v="0.24"/>
    <n v="0"/>
    <n v="0"/>
    <n v="0.03"/>
    <n v="7.98"/>
    <n v="9.34"/>
    <n v="6.29"/>
    <n v="0"/>
    <n v="2.95"/>
    <n v="70.72"/>
    <n v="7.2"/>
    <n v="3.07"/>
    <n v="0"/>
    <n v="0"/>
    <n v="0.43"/>
    <n v="2"/>
    <x v="2"/>
  </r>
  <r>
    <x v="15"/>
    <x v="162"/>
    <x v="8"/>
    <x v="120"/>
    <n v="48"/>
    <n v="1"/>
    <n v="4"/>
    <n v="6"/>
    <n v="0"/>
    <n v="0"/>
    <n v="33"/>
    <s v="Candace Smith"/>
    <s v="Collections Group"/>
    <d v="2025-06-09T00:00:00"/>
    <d v="1899-12-30T12:58:29"/>
    <d v="1899-12-30T21:59:11"/>
    <n v="9.02"/>
    <n v="8"/>
    <n v="1.21"/>
    <n v="0.45"/>
    <n v="0"/>
    <n v="0.46"/>
    <n v="4.75"/>
    <n v="0.64"/>
    <n v="0.45"/>
    <n v="0"/>
    <n v="0.03"/>
    <n v="0.02"/>
    <n v="8"/>
    <n v="15.15"/>
    <n v="5.59"/>
    <n v="0"/>
    <n v="5.69"/>
    <n v="59.43"/>
    <n v="7.94"/>
    <n v="5.58"/>
    <n v="0"/>
    <n v="0.42"/>
    <n v="0.2"/>
    <n v="2"/>
    <x v="2"/>
  </r>
  <r>
    <x v="1"/>
    <x v="162"/>
    <x v="8"/>
    <x v="113"/>
    <n v="59"/>
    <n v="5"/>
    <n v="3"/>
    <n v="4"/>
    <n v="2"/>
    <n v="2"/>
    <n v="35"/>
    <s v="Derice Warnsley"/>
    <s v="Collections Group"/>
    <d v="2025-06-09T00:00:00"/>
    <d v="1899-12-30T13:00:19"/>
    <d v="1899-12-30T22:00:16"/>
    <n v="9"/>
    <n v="8.9600000000000009"/>
    <n v="0.98"/>
    <n v="0.13"/>
    <n v="0"/>
    <n v="0.03"/>
    <n v="5.93"/>
    <n v="1.49"/>
    <n v="0.4"/>
    <n v="0"/>
    <n v="0"/>
    <n v="0.01"/>
    <n v="8.9600000000000009"/>
    <n v="10.93"/>
    <n v="1.4"/>
    <n v="0"/>
    <n v="0.35"/>
    <n v="66.12"/>
    <n v="16.59"/>
    <n v="4.47"/>
    <n v="0"/>
    <n v="0"/>
    <n v="0.15"/>
    <n v="2"/>
    <x v="2"/>
  </r>
  <r>
    <x v="3"/>
    <x v="162"/>
    <x v="8"/>
    <x v="69"/>
    <n v="89"/>
    <n v="8"/>
    <n v="1"/>
    <n v="0"/>
    <n v="0"/>
    <n v="1"/>
    <n v="67"/>
    <s v="Jerrod Coleman"/>
    <s v="Collections Group"/>
    <d v="2025-06-09T00:00:00"/>
    <d v="1899-12-30T13:02:43"/>
    <d v="1899-12-30T17:59:31"/>
    <n v="4.95"/>
    <n v="4.88"/>
    <n v="0.61"/>
    <n v="0"/>
    <n v="0"/>
    <n v="0.21"/>
    <n v="3.65"/>
    <n v="0.39"/>
    <n v="0"/>
    <n v="0"/>
    <n v="0"/>
    <n v="0.01"/>
    <n v="4.88"/>
    <n v="12.52"/>
    <n v="0"/>
    <n v="0"/>
    <n v="4.3099999999999996"/>
    <n v="74.84"/>
    <n v="8.0299999999999994"/>
    <n v="0"/>
    <n v="0"/>
    <n v="0"/>
    <n v="0.3"/>
    <n v="2"/>
    <x v="2"/>
  </r>
  <r>
    <x v="5"/>
    <x v="162"/>
    <x v="8"/>
    <x v="120"/>
    <n v="38"/>
    <n v="4"/>
    <n v="3"/>
    <n v="6"/>
    <n v="2"/>
    <n v="0"/>
    <n v="17"/>
    <s v="Sabigh Masood"/>
    <s v="Collections Group"/>
    <d v="2025-06-09T00:00:00"/>
    <d v="1899-12-30T13:00:07"/>
    <d v="1899-12-30T22:01:16"/>
    <n v="9.02"/>
    <n v="8.94"/>
    <n v="2.86"/>
    <n v="0.28000000000000003"/>
    <n v="0"/>
    <n v="0.3"/>
    <n v="3.71"/>
    <n v="1.44"/>
    <n v="0"/>
    <n v="0"/>
    <n v="0.34"/>
    <n v="0.01"/>
    <n v="8.94"/>
    <n v="32.01"/>
    <n v="3.1"/>
    <n v="0"/>
    <n v="3.3"/>
    <n v="41.55"/>
    <n v="16.16"/>
    <n v="0"/>
    <n v="0"/>
    <n v="3.78"/>
    <n v="0.1"/>
    <n v="2"/>
    <x v="2"/>
  </r>
  <r>
    <x v="6"/>
    <x v="162"/>
    <x v="8"/>
    <x v="214"/>
    <n v="0"/>
    <n v="0"/>
    <n v="0"/>
    <n v="0"/>
    <n v="0"/>
    <n v="0"/>
    <n v="0"/>
    <m/>
    <m/>
    <m/>
    <m/>
    <m/>
    <m/>
    <m/>
    <m/>
    <m/>
    <m/>
    <m/>
    <m/>
    <m/>
    <m/>
    <m/>
    <m/>
    <m/>
    <m/>
    <m/>
    <m/>
    <m/>
    <m/>
    <m/>
    <m/>
    <m/>
    <m/>
    <m/>
    <m/>
    <n v="2"/>
    <x v="2"/>
  </r>
  <r>
    <x v="0"/>
    <x v="163"/>
    <x v="8"/>
    <x v="75"/>
    <n v="98"/>
    <n v="0"/>
    <n v="2"/>
    <n v="3"/>
    <n v="0"/>
    <n v="0"/>
    <n v="72"/>
    <s v="Anais Orozco"/>
    <s v="Collections Group"/>
    <d v="2025-06-06T00:00:00"/>
    <d v="1899-12-30T13:00:38"/>
    <d v="1899-12-30T22:00:08"/>
    <n v="9"/>
    <n v="8.08"/>
    <n v="0.84"/>
    <n v="0.4"/>
    <n v="0"/>
    <n v="0.28000000000000003"/>
    <n v="5.97"/>
    <n v="0.57999999999999996"/>
    <n v="0"/>
    <n v="0"/>
    <n v="0"/>
    <n v="0.01"/>
    <n v="8.08"/>
    <n v="10.4"/>
    <n v="4.95"/>
    <n v="0"/>
    <n v="3.45"/>
    <n v="73.94"/>
    <n v="7.16"/>
    <n v="0"/>
    <n v="0"/>
    <n v="0"/>
    <n v="0.1"/>
    <n v="6"/>
    <x v="3"/>
  </r>
  <r>
    <x v="15"/>
    <x v="163"/>
    <x v="8"/>
    <x v="109"/>
    <n v="54"/>
    <n v="4"/>
    <n v="1"/>
    <n v="10"/>
    <n v="0"/>
    <n v="0"/>
    <n v="32"/>
    <s v="Candace Smith"/>
    <s v="Collections Group"/>
    <d v="2025-06-06T00:00:00"/>
    <d v="1899-12-30T13:01:05"/>
    <d v="1899-12-30T22:06:30"/>
    <n v="9.08"/>
    <n v="8.2899999999999991"/>
    <n v="1.04"/>
    <n v="0.74"/>
    <n v="0"/>
    <n v="0.72"/>
    <n v="4.71"/>
    <n v="1.05"/>
    <n v="0"/>
    <n v="0"/>
    <n v="0"/>
    <n v="0.04"/>
    <n v="8.2899999999999991"/>
    <n v="12.5"/>
    <n v="8.94"/>
    <n v="0"/>
    <n v="8.67"/>
    <n v="56.84"/>
    <n v="12.61"/>
    <n v="0"/>
    <n v="0"/>
    <n v="0"/>
    <n v="0.44"/>
    <n v="6"/>
    <x v="3"/>
  </r>
  <r>
    <x v="1"/>
    <x v="163"/>
    <x v="8"/>
    <x v="69"/>
    <n v="64"/>
    <n v="4"/>
    <n v="2"/>
    <n v="13"/>
    <n v="1"/>
    <n v="0"/>
    <n v="35"/>
    <s v="Derice Warnsley"/>
    <s v="Collections Group"/>
    <d v="2025-06-06T00:00:00"/>
    <d v="1899-12-30T13:00:29"/>
    <d v="1899-12-30T22:00:06"/>
    <n v="9"/>
    <n v="8.99"/>
    <n v="1.75"/>
    <n v="0"/>
    <n v="0"/>
    <n v="0.03"/>
    <n v="5.74"/>
    <n v="1.47"/>
    <n v="0"/>
    <n v="0"/>
    <n v="0"/>
    <n v="0"/>
    <n v="8.99"/>
    <n v="19.43"/>
    <n v="0"/>
    <n v="0"/>
    <n v="0.34"/>
    <n v="63.85"/>
    <n v="16.329999999999998"/>
    <n v="0"/>
    <n v="0"/>
    <n v="0"/>
    <n v="0.05"/>
    <n v="6"/>
    <x v="3"/>
  </r>
  <r>
    <x v="3"/>
    <x v="163"/>
    <x v="8"/>
    <x v="110"/>
    <n v="56"/>
    <n v="4"/>
    <n v="3"/>
    <n v="6"/>
    <n v="0"/>
    <n v="2"/>
    <n v="35"/>
    <s v="Jerrod Coleman"/>
    <s v="Collections Group"/>
    <d v="2025-06-06T00:00:00"/>
    <d v="1899-12-30T15:00:11"/>
    <d v="1899-12-30T21:58:16"/>
    <n v="6.97"/>
    <n v="6.97"/>
    <n v="0.93"/>
    <n v="0.15"/>
    <n v="0"/>
    <n v="0.23"/>
    <n v="4.41"/>
    <n v="1.25"/>
    <n v="0"/>
    <n v="0"/>
    <n v="0"/>
    <n v="0"/>
    <n v="6.97"/>
    <n v="13.35"/>
    <n v="2.21"/>
    <n v="0"/>
    <n v="3.25"/>
    <n v="63.22"/>
    <n v="17.91"/>
    <n v="0"/>
    <n v="0"/>
    <n v="0"/>
    <n v="0.06"/>
    <n v="6"/>
    <x v="3"/>
  </r>
  <r>
    <x v="6"/>
    <x v="163"/>
    <x v="8"/>
    <x v="242"/>
    <n v="0"/>
    <n v="0"/>
    <n v="0"/>
    <n v="0"/>
    <n v="0"/>
    <n v="0"/>
    <n v="0"/>
    <m/>
    <m/>
    <m/>
    <m/>
    <m/>
    <m/>
    <m/>
    <m/>
    <m/>
    <m/>
    <m/>
    <m/>
    <m/>
    <m/>
    <m/>
    <m/>
    <m/>
    <m/>
    <m/>
    <m/>
    <m/>
    <m/>
    <m/>
    <m/>
    <m/>
    <m/>
    <m/>
    <m/>
    <n v="6"/>
    <x v="3"/>
  </r>
  <r>
    <x v="0"/>
    <x v="164"/>
    <x v="8"/>
    <x v="108"/>
    <n v="58"/>
    <n v="3"/>
    <n v="3"/>
    <n v="3"/>
    <n v="0"/>
    <n v="0"/>
    <n v="39"/>
    <s v="Anais Orozco"/>
    <s v="Collections Group"/>
    <d v="2025-06-05T00:00:00"/>
    <d v="1899-12-30T13:00:50"/>
    <d v="1899-12-30T22:00:08"/>
    <n v="9"/>
    <n v="8.14"/>
    <n v="1.1399999999999999"/>
    <n v="0.22"/>
    <n v="0"/>
    <n v="0.28000000000000003"/>
    <n v="4.82"/>
    <n v="0.4"/>
    <n v="1.27"/>
    <n v="0"/>
    <n v="0"/>
    <n v="0.02"/>
    <n v="8.14"/>
    <n v="13.97"/>
    <n v="2.67"/>
    <n v="0"/>
    <n v="3.43"/>
    <n v="59.23"/>
    <n v="4.8600000000000003"/>
    <n v="15.61"/>
    <n v="0"/>
    <n v="0"/>
    <n v="0.22"/>
    <n v="5"/>
    <x v="4"/>
  </r>
  <r>
    <x v="15"/>
    <x v="164"/>
    <x v="8"/>
    <x v="121"/>
    <n v="37"/>
    <n v="7"/>
    <n v="0"/>
    <n v="4"/>
    <n v="0"/>
    <n v="0"/>
    <n v="22"/>
    <s v="Candace Smith"/>
    <s v="Collections Group"/>
    <d v="2025-06-05T00:00:00"/>
    <d v="1899-12-30T13:03:09"/>
    <d v="1899-12-30T22:00:02"/>
    <n v="8.9499999999999993"/>
    <n v="7.94"/>
    <n v="0.54"/>
    <n v="0.96"/>
    <n v="0"/>
    <n v="0.45"/>
    <n v="3.8"/>
    <n v="0.56000000000000005"/>
    <n v="1.56"/>
    <n v="0"/>
    <n v="0"/>
    <n v="0.06"/>
    <n v="7.94"/>
    <n v="6.85"/>
    <n v="12.14"/>
    <n v="0"/>
    <n v="5.7"/>
    <n v="47.84"/>
    <n v="6.99"/>
    <n v="19.670000000000002"/>
    <n v="0"/>
    <n v="0"/>
    <n v="0.8"/>
    <n v="5"/>
    <x v="4"/>
  </r>
  <r>
    <x v="1"/>
    <x v="164"/>
    <x v="8"/>
    <x v="99"/>
    <n v="70"/>
    <n v="1"/>
    <n v="4"/>
    <n v="6"/>
    <n v="0"/>
    <n v="0"/>
    <n v="34"/>
    <s v="Derice Warnsley"/>
    <s v="Collections Group"/>
    <d v="2025-06-05T00:00:00"/>
    <d v="1899-12-30T13:00:55"/>
    <d v="1899-12-30T22:00:16"/>
    <n v="9"/>
    <n v="8.99"/>
    <n v="1.72"/>
    <n v="0.06"/>
    <n v="0"/>
    <n v="0.03"/>
    <n v="4.43"/>
    <n v="1.48"/>
    <n v="1.26"/>
    <n v="0"/>
    <n v="0"/>
    <n v="0"/>
    <n v="8.99"/>
    <n v="19.190000000000001"/>
    <n v="0.66"/>
    <n v="0"/>
    <n v="0.36"/>
    <n v="49.29"/>
    <n v="16.47"/>
    <n v="14"/>
    <n v="0"/>
    <n v="0"/>
    <n v="0.04"/>
    <n v="5"/>
    <x v="4"/>
  </r>
  <r>
    <x v="3"/>
    <x v="164"/>
    <x v="8"/>
    <x v="21"/>
    <n v="86"/>
    <n v="0"/>
    <n v="3"/>
    <n v="7"/>
    <n v="0"/>
    <n v="0"/>
    <n v="59"/>
    <s v="Jerrod Coleman"/>
    <s v="Collections Group"/>
    <d v="2025-06-05T00:00:00"/>
    <d v="1899-12-30T13:01:44"/>
    <d v="1899-12-30T21:58:47"/>
    <n v="8.9499999999999993"/>
    <n v="8.9499999999999993"/>
    <n v="1.1299999999999999"/>
    <n v="0"/>
    <n v="0"/>
    <n v="0.17"/>
    <n v="4.91"/>
    <n v="1.48"/>
    <n v="1.25"/>
    <n v="0"/>
    <n v="0"/>
    <n v="0.01"/>
    <n v="8.9499999999999993"/>
    <n v="12.59"/>
    <n v="0"/>
    <n v="0"/>
    <n v="1.88"/>
    <n v="54.84"/>
    <n v="16.52"/>
    <n v="14.01"/>
    <n v="0"/>
    <n v="0"/>
    <n v="0.16"/>
    <n v="5"/>
    <x v="4"/>
  </r>
  <r>
    <x v="4"/>
    <x v="164"/>
    <x v="8"/>
    <x v="13"/>
    <n v="1"/>
    <n v="0"/>
    <n v="0"/>
    <n v="1"/>
    <n v="0"/>
    <n v="0"/>
    <n v="0"/>
    <s v="Rosette Rwabugahya"/>
    <s v="Collections Group"/>
    <d v="2025-06-05T00:00:00"/>
    <d v="1899-12-30T22:11:23"/>
    <d v="1899-12-30T22:29:27"/>
    <n v="0.3"/>
    <n v="0.3"/>
    <n v="0.18"/>
    <n v="0"/>
    <n v="0"/>
    <n v="0"/>
    <n v="0"/>
    <n v="0"/>
    <n v="0"/>
    <n v="0"/>
    <n v="0"/>
    <n v="0.12"/>
    <n v="0.3"/>
    <n v="60.7"/>
    <n v="0"/>
    <n v="0"/>
    <n v="1.1100000000000001"/>
    <n v="0"/>
    <n v="0"/>
    <n v="0"/>
    <n v="0"/>
    <n v="0"/>
    <n v="38.19"/>
    <n v="5"/>
    <x v="4"/>
  </r>
  <r>
    <x v="5"/>
    <x v="164"/>
    <x v="8"/>
    <x v="64"/>
    <n v="81"/>
    <n v="6"/>
    <n v="4"/>
    <n v="5"/>
    <n v="0"/>
    <n v="0"/>
    <n v="54"/>
    <s v="Sabigh Masood"/>
    <s v="Collections Group"/>
    <d v="2025-06-05T00:00:00"/>
    <d v="1899-12-30T12:59:34"/>
    <d v="1899-12-30T22:00:58"/>
    <n v="9.02"/>
    <n v="9.0299999999999994"/>
    <n v="1.45"/>
    <n v="0"/>
    <n v="0"/>
    <n v="0.31"/>
    <n v="4.8099999999999996"/>
    <n v="1.28"/>
    <n v="1.17"/>
    <n v="0"/>
    <n v="0"/>
    <n v="0"/>
    <n v="9.0299999999999994"/>
    <n v="16.07"/>
    <n v="0"/>
    <n v="0"/>
    <n v="3.48"/>
    <n v="53.28"/>
    <n v="14.16"/>
    <n v="12.97"/>
    <n v="0"/>
    <n v="0"/>
    <n v="0.04"/>
    <n v="5"/>
    <x v="4"/>
  </r>
  <r>
    <x v="6"/>
    <x v="164"/>
    <x v="8"/>
    <x v="229"/>
    <n v="0"/>
    <n v="0"/>
    <n v="0"/>
    <n v="0"/>
    <n v="0"/>
    <n v="0"/>
    <n v="0"/>
    <m/>
    <m/>
    <m/>
    <m/>
    <m/>
    <m/>
    <m/>
    <m/>
    <m/>
    <m/>
    <m/>
    <m/>
    <m/>
    <m/>
    <m/>
    <m/>
    <m/>
    <m/>
    <m/>
    <m/>
    <m/>
    <m/>
    <m/>
    <m/>
    <m/>
    <m/>
    <m/>
    <m/>
    <n v="5"/>
    <x v="4"/>
  </r>
  <r>
    <x v="0"/>
    <x v="165"/>
    <x v="8"/>
    <x v="75"/>
    <n v="81"/>
    <n v="3"/>
    <n v="4"/>
    <n v="4"/>
    <n v="0"/>
    <n v="0"/>
    <n v="48"/>
    <s v="Anais Orozco"/>
    <s v="Collections Group"/>
    <d v="2025-06-04T00:00:00"/>
    <d v="1899-12-30T13:00:44"/>
    <d v="1899-12-30T22:05:10"/>
    <n v="9.08"/>
    <n v="8.1199999999999992"/>
    <n v="1.17"/>
    <n v="0.24"/>
    <n v="0"/>
    <n v="0.45"/>
    <n v="5.65"/>
    <n v="0.57999999999999996"/>
    <n v="0"/>
    <n v="0"/>
    <n v="0"/>
    <n v="0.02"/>
    <n v="8.1199999999999992"/>
    <n v="14.42"/>
    <n v="3.01"/>
    <n v="0"/>
    <n v="5.52"/>
    <n v="69.63"/>
    <n v="7.11"/>
    <n v="0"/>
    <n v="0"/>
    <n v="0"/>
    <n v="0.3"/>
    <n v="4"/>
    <x v="0"/>
  </r>
  <r>
    <x v="15"/>
    <x v="165"/>
    <x v="8"/>
    <x v="110"/>
    <n v="67"/>
    <n v="1"/>
    <n v="1"/>
    <n v="6"/>
    <n v="1"/>
    <n v="0"/>
    <n v="46"/>
    <s v="Candace Smith"/>
    <s v="Collections Group"/>
    <d v="2025-06-04T00:00:00"/>
    <d v="1899-12-30T13:00:39"/>
    <d v="1899-12-30T22:00:06"/>
    <n v="9"/>
    <n v="7.79"/>
    <n v="1.31"/>
    <n v="0.49"/>
    <n v="0"/>
    <n v="0.34"/>
    <n v="5.12"/>
    <n v="0.5"/>
    <n v="0"/>
    <n v="0"/>
    <n v="0"/>
    <n v="0.04"/>
    <n v="7.79"/>
    <n v="16.8"/>
    <n v="6.23"/>
    <n v="0"/>
    <n v="4.3099999999999996"/>
    <n v="65.64"/>
    <n v="6.46"/>
    <n v="0"/>
    <n v="0"/>
    <n v="0"/>
    <n v="0.56000000000000005"/>
    <n v="4"/>
    <x v="0"/>
  </r>
  <r>
    <x v="1"/>
    <x v="165"/>
    <x v="8"/>
    <x v="110"/>
    <n v="44"/>
    <n v="2"/>
    <n v="0"/>
    <n v="3"/>
    <n v="3"/>
    <n v="0"/>
    <n v="22"/>
    <s v="Derice Warnsley"/>
    <s v="Collections Group"/>
    <d v="2025-06-04T00:00:00"/>
    <d v="1899-12-30T13:00:15"/>
    <d v="1899-12-30T22:00:03"/>
    <n v="9"/>
    <n v="8.5299999999999994"/>
    <n v="2.78"/>
    <n v="0.06"/>
    <n v="0"/>
    <n v="0.02"/>
    <n v="4.68"/>
    <n v="0.99"/>
    <n v="0"/>
    <n v="0"/>
    <n v="0"/>
    <n v="0.01"/>
    <n v="8.5299999999999994"/>
    <n v="32.58"/>
    <n v="0.67"/>
    <n v="0"/>
    <n v="0.25"/>
    <n v="54.83"/>
    <n v="11.57"/>
    <n v="0"/>
    <n v="0"/>
    <n v="0"/>
    <n v="0.09"/>
    <n v="4"/>
    <x v="0"/>
  </r>
  <r>
    <x v="3"/>
    <x v="165"/>
    <x v="8"/>
    <x v="18"/>
    <n v="88"/>
    <n v="6"/>
    <n v="10"/>
    <n v="7"/>
    <n v="1"/>
    <n v="1"/>
    <n v="51"/>
    <s v="Jerrod Coleman"/>
    <s v="Collections Group"/>
    <d v="2025-06-04T00:00:00"/>
    <d v="1899-12-30T13:03:30"/>
    <d v="1899-12-30T21:59:22"/>
    <n v="8.93"/>
    <n v="8.93"/>
    <n v="1.0900000000000001"/>
    <n v="0.13"/>
    <n v="0"/>
    <n v="0.36"/>
    <n v="5.92"/>
    <n v="1.43"/>
    <n v="0"/>
    <n v="0"/>
    <n v="0"/>
    <n v="0"/>
    <n v="8.93"/>
    <n v="12.25"/>
    <n v="1.4"/>
    <n v="0"/>
    <n v="3.98"/>
    <n v="66.319999999999993"/>
    <n v="15.99"/>
    <n v="0"/>
    <n v="0"/>
    <n v="0"/>
    <n v="0.04"/>
    <n v="4"/>
    <x v="0"/>
  </r>
  <r>
    <x v="5"/>
    <x v="165"/>
    <x v="8"/>
    <x v="116"/>
    <n v="106"/>
    <n v="2"/>
    <n v="1"/>
    <n v="13"/>
    <n v="0"/>
    <n v="0"/>
    <n v="73"/>
    <s v="Sabigh Masood"/>
    <s v="Collections Group"/>
    <d v="2025-06-04T00:00:00"/>
    <d v="1899-12-30T12:59:36"/>
    <d v="1899-12-30T22:01:04"/>
    <n v="9.0299999999999994"/>
    <n v="9.02"/>
    <n v="1.03"/>
    <n v="0.12"/>
    <n v="0"/>
    <n v="0.5"/>
    <n v="5.87"/>
    <n v="1.5"/>
    <n v="0"/>
    <n v="0"/>
    <n v="0"/>
    <n v="0"/>
    <n v="9.02"/>
    <n v="11.43"/>
    <n v="1.31"/>
    <n v="0"/>
    <n v="5.57"/>
    <n v="65.05"/>
    <n v="16.61"/>
    <n v="0"/>
    <n v="0"/>
    <n v="0"/>
    <n v="0.04"/>
    <n v="4"/>
    <x v="0"/>
  </r>
  <r>
    <x v="6"/>
    <x v="165"/>
    <x v="8"/>
    <x v="232"/>
    <n v="0"/>
    <n v="0"/>
    <n v="0"/>
    <n v="0"/>
    <n v="0"/>
    <n v="0"/>
    <n v="0"/>
    <m/>
    <m/>
    <m/>
    <m/>
    <m/>
    <m/>
    <m/>
    <m/>
    <m/>
    <m/>
    <m/>
    <m/>
    <m/>
    <m/>
    <m/>
    <m/>
    <m/>
    <m/>
    <m/>
    <m/>
    <m/>
    <m/>
    <m/>
    <m/>
    <m/>
    <m/>
    <m/>
    <m/>
    <n v="4"/>
    <x v="0"/>
  </r>
  <r>
    <x v="0"/>
    <x v="166"/>
    <x v="8"/>
    <x v="21"/>
    <n v="85"/>
    <n v="5"/>
    <n v="9"/>
    <n v="5"/>
    <n v="0"/>
    <n v="2"/>
    <n v="45"/>
    <s v="Anais Orozco"/>
    <s v="Collections Group"/>
    <d v="2025-06-03T00:00:00"/>
    <d v="1899-12-30T13:02:14"/>
    <d v="1899-12-30T22:00:03"/>
    <n v="8.9700000000000006"/>
    <n v="8.0299999999999994"/>
    <n v="1.76"/>
    <n v="0.5"/>
    <n v="0"/>
    <n v="0.49"/>
    <n v="5.0199999999999996"/>
    <n v="0.26"/>
    <n v="0"/>
    <n v="0"/>
    <n v="0"/>
    <n v="0.02"/>
    <n v="8.0299999999999994"/>
    <n v="21.85"/>
    <n v="6.25"/>
    <n v="0"/>
    <n v="6.04"/>
    <n v="62.46"/>
    <n v="3.18"/>
    <n v="0"/>
    <n v="0"/>
    <n v="0"/>
    <n v="0.21"/>
    <n v="3"/>
    <x v="1"/>
  </r>
  <r>
    <x v="15"/>
    <x v="166"/>
    <x v="8"/>
    <x v="24"/>
    <n v="41"/>
    <n v="8"/>
    <n v="0"/>
    <n v="4"/>
    <n v="0"/>
    <n v="0"/>
    <n v="23"/>
    <s v="Candace Smith"/>
    <s v="Collections Group"/>
    <d v="2025-06-03T00:00:00"/>
    <d v="1899-12-30T12:57:24"/>
    <d v="1899-12-30T22:00:14"/>
    <n v="9.0500000000000007"/>
    <n v="7.84"/>
    <n v="1.06"/>
    <n v="0.72"/>
    <n v="0"/>
    <n v="0.46"/>
    <n v="4.9000000000000004"/>
    <n v="0.48"/>
    <n v="0"/>
    <n v="0"/>
    <n v="0.01"/>
    <n v="0.2"/>
    <n v="7.84"/>
    <n v="13.55"/>
    <n v="9.2100000000000009"/>
    <n v="0"/>
    <n v="5.83"/>
    <n v="62.5"/>
    <n v="6.18"/>
    <n v="0"/>
    <n v="0"/>
    <n v="0.19"/>
    <n v="2.5499999999999998"/>
    <n v="3"/>
    <x v="1"/>
  </r>
  <r>
    <x v="1"/>
    <x v="166"/>
    <x v="8"/>
    <x v="78"/>
    <n v="98"/>
    <n v="9"/>
    <n v="9"/>
    <n v="9"/>
    <n v="0"/>
    <n v="2"/>
    <n v="53"/>
    <s v="Derice Warnsley"/>
    <s v="Collections Group"/>
    <d v="2025-06-03T00:00:00"/>
    <d v="1899-12-30T13:00:20"/>
    <d v="1899-12-30T22:00:06"/>
    <n v="9"/>
    <n v="9"/>
    <n v="2.13"/>
    <n v="0"/>
    <n v="0"/>
    <n v="0.04"/>
    <n v="5.32"/>
    <n v="1.49"/>
    <n v="0"/>
    <n v="0"/>
    <n v="0"/>
    <n v="0.01"/>
    <n v="9"/>
    <n v="23.72"/>
    <n v="0"/>
    <n v="0"/>
    <n v="0.48"/>
    <n v="59.15"/>
    <n v="16.600000000000001"/>
    <n v="0"/>
    <n v="0"/>
    <n v="0"/>
    <n v="0.06"/>
    <n v="3"/>
    <x v="1"/>
  </r>
  <r>
    <x v="3"/>
    <x v="166"/>
    <x v="8"/>
    <x v="39"/>
    <n v="83"/>
    <n v="1"/>
    <n v="8"/>
    <n v="6"/>
    <n v="0"/>
    <n v="2"/>
    <n v="42"/>
    <s v="Jerrod Coleman"/>
    <s v="Collections Group"/>
    <d v="2025-06-03T00:00:00"/>
    <d v="1899-12-30T13:03:13"/>
    <d v="1899-12-30T21:59:17"/>
    <n v="8.93"/>
    <n v="8.93"/>
    <n v="1.47"/>
    <n v="0.09"/>
    <n v="0"/>
    <n v="0.32"/>
    <n v="5.63"/>
    <n v="1.42"/>
    <n v="0"/>
    <n v="0"/>
    <n v="0"/>
    <n v="0"/>
    <n v="8.93"/>
    <n v="16.47"/>
    <n v="1.01"/>
    <n v="0"/>
    <n v="3.55"/>
    <n v="63.01"/>
    <n v="15.91"/>
    <n v="0"/>
    <n v="0"/>
    <n v="0"/>
    <n v="0.05"/>
    <n v="3"/>
    <x v="1"/>
  </r>
  <r>
    <x v="4"/>
    <x v="166"/>
    <x v="8"/>
    <x v="13"/>
    <n v="2"/>
    <n v="0"/>
    <n v="0"/>
    <n v="1"/>
    <n v="0"/>
    <n v="0"/>
    <n v="0"/>
    <s v="Rosette Rwabugahya"/>
    <s v="Collections Group"/>
    <d v="2025-06-03T00:00:00"/>
    <d v="1899-12-30T14:14:35"/>
    <d v="1899-12-30T20:13:09"/>
    <n v="5.98"/>
    <n v="0.31"/>
    <n v="0.17"/>
    <n v="0.01"/>
    <n v="0"/>
    <n v="0.01"/>
    <n v="0.11"/>
    <n v="0"/>
    <n v="0"/>
    <n v="0"/>
    <n v="0"/>
    <n v="0.01"/>
    <n v="0.31"/>
    <n v="53.96"/>
    <n v="4.41"/>
    <n v="0"/>
    <n v="3.78"/>
    <n v="35.86"/>
    <n v="0"/>
    <n v="0"/>
    <n v="0"/>
    <n v="0"/>
    <n v="1.98"/>
    <n v="3"/>
    <x v="1"/>
  </r>
  <r>
    <x v="5"/>
    <x v="166"/>
    <x v="8"/>
    <x v="99"/>
    <n v="84"/>
    <n v="3"/>
    <n v="0"/>
    <n v="6"/>
    <n v="2"/>
    <n v="0"/>
    <n v="45"/>
    <s v="Sabigh Masood"/>
    <s v="Collections Group"/>
    <d v="2025-06-03T00:00:00"/>
    <d v="1899-12-30T12:59:59"/>
    <d v="1899-12-30T22:00:17"/>
    <n v="9.02"/>
    <n v="9.01"/>
    <n v="1.33"/>
    <n v="0.25"/>
    <n v="0"/>
    <n v="0.36"/>
    <n v="5.6"/>
    <n v="1.45"/>
    <n v="0"/>
    <n v="0"/>
    <n v="0"/>
    <n v="0.01"/>
    <n v="9.01"/>
    <n v="14.76"/>
    <n v="2.8"/>
    <n v="0"/>
    <n v="4.03"/>
    <n v="62.18"/>
    <n v="16.09"/>
    <n v="0"/>
    <n v="0"/>
    <n v="0"/>
    <n v="0.14000000000000001"/>
    <n v="3"/>
    <x v="1"/>
  </r>
  <r>
    <x v="6"/>
    <x v="166"/>
    <x v="8"/>
    <x v="243"/>
    <n v="0"/>
    <n v="0"/>
    <n v="0"/>
    <n v="0"/>
    <n v="0"/>
    <n v="0"/>
    <n v="0"/>
    <m/>
    <m/>
    <m/>
    <m/>
    <m/>
    <m/>
    <m/>
    <m/>
    <m/>
    <m/>
    <m/>
    <m/>
    <m/>
    <m/>
    <m/>
    <m/>
    <m/>
    <m/>
    <m/>
    <m/>
    <m/>
    <m/>
    <m/>
    <m/>
    <m/>
    <m/>
    <m/>
    <m/>
    <n v="3"/>
    <x v="1"/>
  </r>
  <r>
    <x v="0"/>
    <x v="167"/>
    <x v="8"/>
    <x v="78"/>
    <n v="100"/>
    <n v="6"/>
    <n v="0"/>
    <n v="7"/>
    <n v="0"/>
    <n v="1"/>
    <n v="69"/>
    <s v="Anais Orozco"/>
    <s v="Collections Group"/>
    <d v="2025-06-02T00:00:00"/>
    <d v="1899-12-30T13:01:15"/>
    <d v="1899-12-30T22:00:03"/>
    <n v="8.98"/>
    <n v="8.11"/>
    <n v="1.7"/>
    <n v="0.14000000000000001"/>
    <n v="0"/>
    <n v="0.45"/>
    <n v="5.16"/>
    <n v="0.6"/>
    <n v="0"/>
    <n v="0"/>
    <n v="0"/>
    <n v="0.06"/>
    <n v="8.11"/>
    <n v="20.9"/>
    <n v="1.71"/>
    <n v="0"/>
    <n v="5.61"/>
    <n v="63.66"/>
    <n v="7.42"/>
    <n v="0"/>
    <n v="0"/>
    <n v="0"/>
    <n v="0.71"/>
    <n v="2"/>
    <x v="2"/>
  </r>
  <r>
    <x v="15"/>
    <x v="167"/>
    <x v="8"/>
    <x v="190"/>
    <n v="10"/>
    <n v="2"/>
    <n v="0"/>
    <n v="3"/>
    <n v="0"/>
    <n v="0"/>
    <n v="3"/>
    <s v="Candace Smith"/>
    <s v="Collections Group"/>
    <d v="2025-06-02T00:00:00"/>
    <d v="1899-12-30T13:00:24"/>
    <d v="1899-12-30T16:00:40"/>
    <n v="3"/>
    <n v="3"/>
    <n v="0.6"/>
    <n v="0.09"/>
    <n v="0"/>
    <n v="0.21"/>
    <n v="1.79"/>
    <n v="0"/>
    <n v="0.31"/>
    <n v="0"/>
    <n v="0"/>
    <n v="0.01"/>
    <n v="3"/>
    <n v="19.940000000000001"/>
    <n v="2.95"/>
    <n v="0"/>
    <n v="7.02"/>
    <n v="59.62"/>
    <n v="0"/>
    <n v="10.18"/>
    <n v="0"/>
    <n v="0.06"/>
    <n v="0.22"/>
    <n v="2"/>
    <x v="2"/>
  </r>
  <r>
    <x v="1"/>
    <x v="167"/>
    <x v="8"/>
    <x v="64"/>
    <n v="77"/>
    <n v="13"/>
    <n v="1"/>
    <n v="6"/>
    <n v="1"/>
    <n v="0"/>
    <n v="45"/>
    <s v="Derice Warnsley"/>
    <s v="Collections Group"/>
    <d v="2025-06-02T00:00:00"/>
    <d v="1899-12-30T13:00:25"/>
    <d v="1899-12-30T22:00:08"/>
    <n v="9"/>
    <n v="8.99"/>
    <n v="1.92"/>
    <n v="0"/>
    <n v="0"/>
    <n v="0.02"/>
    <n v="5.38"/>
    <n v="1.47"/>
    <n v="0.19"/>
    <n v="0"/>
    <n v="0"/>
    <n v="0.01"/>
    <n v="8.99"/>
    <n v="21.36"/>
    <n v="0"/>
    <n v="0"/>
    <n v="0.27"/>
    <n v="59.79"/>
    <n v="16.37"/>
    <n v="2.15"/>
    <n v="0"/>
    <n v="0"/>
    <n v="0.06"/>
    <n v="2"/>
    <x v="2"/>
  </r>
  <r>
    <x v="3"/>
    <x v="167"/>
    <x v="8"/>
    <x v="31"/>
    <n v="124"/>
    <n v="7"/>
    <n v="1"/>
    <n v="3"/>
    <n v="0"/>
    <n v="2"/>
    <n v="84"/>
    <s v="Jerrod Coleman"/>
    <s v="Collections Group"/>
    <d v="2025-06-02T00:00:00"/>
    <d v="1899-12-30T13:07:21"/>
    <d v="1899-12-30T21:59:52"/>
    <n v="8.8699999999999992"/>
    <n v="8.8800000000000008"/>
    <n v="1.1100000000000001"/>
    <n v="0.28000000000000003"/>
    <n v="0"/>
    <n v="0.21"/>
    <n v="5.88"/>
    <n v="1.39"/>
    <n v="0"/>
    <n v="0"/>
    <n v="0"/>
    <n v="0"/>
    <n v="8.8800000000000008"/>
    <n v="12.54"/>
    <n v="3.14"/>
    <n v="0"/>
    <n v="2.35"/>
    <n v="66.260000000000005"/>
    <n v="15.67"/>
    <n v="0"/>
    <n v="0"/>
    <n v="0"/>
    <n v="0.04"/>
    <n v="2"/>
    <x v="2"/>
  </r>
  <r>
    <x v="4"/>
    <x v="167"/>
    <x v="8"/>
    <x v="13"/>
    <n v="1"/>
    <n v="0"/>
    <n v="0"/>
    <n v="1"/>
    <n v="0"/>
    <n v="0"/>
    <n v="0"/>
    <s v="Rosette Rwabugahya"/>
    <s v="Collections Group"/>
    <d v="2025-06-02T00:00:00"/>
    <d v="1899-12-30T18:06:07"/>
    <d v="1899-12-30T22:14:38"/>
    <n v="4.13"/>
    <n v="4.1399999999999997"/>
    <n v="4.13"/>
    <n v="0"/>
    <n v="0"/>
    <n v="0.01"/>
    <n v="0"/>
    <n v="0"/>
    <n v="0"/>
    <n v="0"/>
    <n v="0"/>
    <n v="0"/>
    <n v="4.1399999999999997"/>
    <n v="99.79"/>
    <n v="0"/>
    <n v="0"/>
    <n v="0.13"/>
    <n v="0"/>
    <n v="0"/>
    <n v="0"/>
    <n v="0"/>
    <n v="0"/>
    <n v="7.0000000000000007E-2"/>
    <n v="2"/>
    <x v="2"/>
  </r>
  <r>
    <x v="5"/>
    <x v="167"/>
    <x v="8"/>
    <x v="19"/>
    <n v="128"/>
    <n v="11"/>
    <n v="2"/>
    <n v="9"/>
    <n v="0"/>
    <n v="1"/>
    <n v="79"/>
    <s v="Sabigh Masood"/>
    <s v="Collections Group"/>
    <d v="2025-06-02T00:00:00"/>
    <d v="1899-12-30T12:59:47"/>
    <d v="1899-12-30T22:00:48"/>
    <n v="9.02"/>
    <n v="9.02"/>
    <n v="2.0699999999999998"/>
    <n v="0.13"/>
    <n v="0"/>
    <n v="0.48"/>
    <n v="4.88"/>
    <n v="1.45"/>
    <n v="0"/>
    <n v="0"/>
    <n v="0"/>
    <n v="0"/>
    <n v="9.02"/>
    <n v="22.98"/>
    <n v="1.43"/>
    <n v="0"/>
    <n v="5.35"/>
    <n v="54.14"/>
    <n v="16.059999999999999"/>
    <n v="0"/>
    <n v="0"/>
    <n v="0"/>
    <n v="0.04"/>
    <n v="2"/>
    <x v="2"/>
  </r>
  <r>
    <x v="6"/>
    <x v="167"/>
    <x v="8"/>
    <x v="244"/>
    <n v="0"/>
    <n v="0"/>
    <n v="0"/>
    <n v="0"/>
    <n v="0"/>
    <n v="0"/>
    <n v="0"/>
    <m/>
    <m/>
    <m/>
    <m/>
    <m/>
    <m/>
    <m/>
    <m/>
    <m/>
    <m/>
    <m/>
    <m/>
    <m/>
    <m/>
    <m/>
    <m/>
    <m/>
    <m/>
    <m/>
    <m/>
    <m/>
    <m/>
    <m/>
    <m/>
    <m/>
    <m/>
    <m/>
    <m/>
    <n v="2"/>
    <x v="2"/>
  </r>
  <r>
    <x v="0"/>
    <x v="168"/>
    <x v="9"/>
    <x v="69"/>
    <n v="87"/>
    <n v="2"/>
    <n v="0"/>
    <n v="4"/>
    <n v="3"/>
    <n v="0"/>
    <n v="64"/>
    <s v="Anais Orozco"/>
    <s v="Collections Group"/>
    <d v="2025-05-30T00:00:00"/>
    <d v="1899-12-30T12:58:18"/>
    <d v="1899-12-30T22:00:08"/>
    <n v="9.0299999999999994"/>
    <n v="8.17"/>
    <n v="0.85"/>
    <n v="0"/>
    <n v="0"/>
    <n v="0.32"/>
    <n v="6.46"/>
    <n v="0.51"/>
    <n v="0"/>
    <n v="0"/>
    <n v="0"/>
    <n v="0.04"/>
    <n v="8.17"/>
    <n v="10.34"/>
    <n v="0"/>
    <n v="0"/>
    <n v="3.9"/>
    <n v="79.069999999999993"/>
    <n v="6.24"/>
    <n v="0"/>
    <n v="0"/>
    <n v="0"/>
    <n v="0.45"/>
    <n v="6"/>
    <x v="3"/>
  </r>
  <r>
    <x v="15"/>
    <x v="168"/>
    <x v="9"/>
    <x v="108"/>
    <n v="44"/>
    <n v="2"/>
    <n v="0"/>
    <n v="3"/>
    <n v="0"/>
    <n v="0"/>
    <n v="23"/>
    <s v="Candace Smith"/>
    <s v="Collections Group"/>
    <d v="2025-05-30T00:00:00"/>
    <d v="1899-12-30T01:00:05"/>
    <d v="1899-12-30T21:59:47"/>
    <n v="20.98"/>
    <n v="7.68"/>
    <n v="1.1299999999999999"/>
    <n v="0.8"/>
    <n v="0"/>
    <n v="0.35"/>
    <n v="4.97"/>
    <n v="0.38"/>
    <n v="0"/>
    <n v="0"/>
    <n v="0"/>
    <n v="0.05"/>
    <n v="7.68"/>
    <n v="14.78"/>
    <n v="10.39"/>
    <n v="0"/>
    <n v="4.53"/>
    <n v="64.73"/>
    <n v="4.95"/>
    <n v="0"/>
    <n v="0"/>
    <n v="0"/>
    <n v="0.62"/>
    <n v="6"/>
    <x v="3"/>
  </r>
  <r>
    <x v="1"/>
    <x v="168"/>
    <x v="9"/>
    <x v="116"/>
    <n v="79"/>
    <n v="7"/>
    <n v="2"/>
    <n v="8"/>
    <n v="0"/>
    <n v="0"/>
    <n v="56"/>
    <s v="Derice Warnsley"/>
    <s v="Collections Group"/>
    <d v="2025-05-30T00:00:00"/>
    <d v="1899-12-30T13:00:08"/>
    <d v="1899-12-30T22:00:06"/>
    <n v="9"/>
    <n v="9"/>
    <n v="0.8"/>
    <n v="0.09"/>
    <n v="0"/>
    <n v="0.02"/>
    <n v="6.62"/>
    <n v="1.47"/>
    <n v="0"/>
    <n v="0"/>
    <n v="0"/>
    <n v="0"/>
    <n v="9"/>
    <n v="8.85"/>
    <n v="1.02"/>
    <n v="0"/>
    <n v="0.22"/>
    <n v="73.55"/>
    <n v="16.309999999999999"/>
    <n v="0"/>
    <n v="0"/>
    <n v="0"/>
    <n v="0.04"/>
    <n v="6"/>
    <x v="3"/>
  </r>
  <r>
    <x v="3"/>
    <x v="168"/>
    <x v="9"/>
    <x v="116"/>
    <n v="70"/>
    <n v="4"/>
    <n v="3"/>
    <n v="4"/>
    <n v="0"/>
    <n v="0"/>
    <n v="48"/>
    <s v="Jerrod Coleman"/>
    <s v="Collections Group"/>
    <d v="2025-05-30T00:00:00"/>
    <d v="1899-12-30T13:00:53"/>
    <d v="1899-12-30T22:00:12"/>
    <n v="9"/>
    <n v="8.99"/>
    <n v="0.88"/>
    <n v="0.13"/>
    <n v="0"/>
    <n v="0.22"/>
    <n v="6.27"/>
    <n v="1.48"/>
    <n v="0"/>
    <n v="0"/>
    <n v="0"/>
    <n v="0.02"/>
    <n v="8.99"/>
    <n v="9.7799999999999994"/>
    <n v="1.41"/>
    <n v="0"/>
    <n v="2.4"/>
    <n v="69.8"/>
    <n v="16.45"/>
    <n v="0"/>
    <n v="0"/>
    <n v="0"/>
    <n v="0.17"/>
    <n v="6"/>
    <x v="3"/>
  </r>
  <r>
    <x v="5"/>
    <x v="168"/>
    <x v="9"/>
    <x v="108"/>
    <n v="71"/>
    <n v="1"/>
    <n v="1"/>
    <n v="0"/>
    <n v="0"/>
    <n v="0"/>
    <n v="59"/>
    <s v="Sabigh Masood"/>
    <s v="Collections Group"/>
    <d v="2025-05-30T00:00:00"/>
    <d v="1899-12-30T13:01:09"/>
    <d v="1899-12-30T22:01:05"/>
    <n v="9"/>
    <n v="8.9700000000000006"/>
    <n v="0.25"/>
    <n v="0.2"/>
    <n v="0"/>
    <n v="0.55000000000000004"/>
    <n v="6.18"/>
    <n v="1.78"/>
    <n v="0"/>
    <n v="0"/>
    <n v="0"/>
    <n v="0.02"/>
    <n v="8.9700000000000006"/>
    <n v="2.79"/>
    <n v="2.2000000000000002"/>
    <n v="0"/>
    <n v="6.18"/>
    <n v="68.83"/>
    <n v="19.809999999999999"/>
    <n v="0"/>
    <n v="0"/>
    <n v="0"/>
    <n v="0.18"/>
    <n v="6"/>
    <x v="3"/>
  </r>
  <r>
    <x v="6"/>
    <x v="168"/>
    <x v="9"/>
    <x v="245"/>
    <n v="0"/>
    <n v="0"/>
    <n v="0"/>
    <n v="0"/>
    <n v="0"/>
    <n v="0"/>
    <n v="0"/>
    <m/>
    <m/>
    <m/>
    <m/>
    <m/>
    <m/>
    <m/>
    <m/>
    <m/>
    <m/>
    <m/>
    <m/>
    <m/>
    <m/>
    <m/>
    <m/>
    <m/>
    <m/>
    <m/>
    <m/>
    <m/>
    <m/>
    <m/>
    <m/>
    <m/>
    <m/>
    <m/>
    <m/>
    <n v="6"/>
    <x v="3"/>
  </r>
  <r>
    <x v="0"/>
    <x v="169"/>
    <x v="9"/>
    <x v="76"/>
    <n v="46"/>
    <n v="3"/>
    <n v="1"/>
    <n v="0"/>
    <n v="0"/>
    <n v="0"/>
    <n v="38"/>
    <s v="Anais Orozco"/>
    <s v="Collections Group"/>
    <d v="2025-05-29T00:00:00"/>
    <d v="1899-12-30T13:00:29"/>
    <d v="1899-12-30T17:00:05"/>
    <n v="4"/>
    <n v="3.99"/>
    <n v="0.75"/>
    <n v="0.59"/>
    <n v="0"/>
    <n v="0.16"/>
    <n v="2.29"/>
    <n v="0.2"/>
    <n v="0"/>
    <n v="0"/>
    <n v="0"/>
    <n v="0"/>
    <n v="3.99"/>
    <n v="18.87"/>
    <n v="14.66"/>
    <n v="0"/>
    <n v="3.97"/>
    <n v="57.25"/>
    <n v="5.13"/>
    <n v="0"/>
    <n v="0"/>
    <n v="0"/>
    <n v="0.12"/>
    <n v="5"/>
    <x v="4"/>
  </r>
  <r>
    <x v="15"/>
    <x v="169"/>
    <x v="9"/>
    <x v="73"/>
    <n v="38"/>
    <n v="0"/>
    <n v="3"/>
    <n v="5"/>
    <n v="0"/>
    <n v="0"/>
    <n v="20"/>
    <s v="Candace Smith"/>
    <s v="Collections Group"/>
    <d v="2025-05-29T00:00:00"/>
    <d v="1899-12-30T13:03:00"/>
    <d v="1899-12-30T22:00:25"/>
    <n v="8.9499999999999993"/>
    <n v="7.91"/>
    <n v="1.25"/>
    <n v="1.3"/>
    <n v="0"/>
    <n v="0.52"/>
    <n v="3.99"/>
    <n v="0.79"/>
    <n v="0"/>
    <n v="0"/>
    <n v="0.03"/>
    <n v="0.04"/>
    <n v="7.91"/>
    <n v="15.85"/>
    <n v="16.47"/>
    <n v="0"/>
    <n v="6.51"/>
    <n v="50.4"/>
    <n v="9.9700000000000006"/>
    <n v="0"/>
    <n v="0"/>
    <n v="0.34"/>
    <n v="0.47"/>
    <n v="5"/>
    <x v="4"/>
  </r>
  <r>
    <x v="1"/>
    <x v="169"/>
    <x v="9"/>
    <x v="52"/>
    <n v="95"/>
    <n v="2"/>
    <n v="2"/>
    <n v="13"/>
    <n v="0"/>
    <n v="1"/>
    <n v="66"/>
    <s v="Derice Warnsley"/>
    <s v="Collections Group"/>
    <d v="2025-05-29T00:00:00"/>
    <d v="1899-12-30T13:04:56"/>
    <d v="1899-12-30T22:00:14"/>
    <n v="8.93"/>
    <n v="8.9"/>
    <n v="1.27"/>
    <n v="0.06"/>
    <n v="0"/>
    <n v="0.03"/>
    <n v="6.04"/>
    <n v="1.42"/>
    <n v="0"/>
    <n v="0"/>
    <n v="0"/>
    <n v="0.08"/>
    <n v="8.9"/>
    <n v="14.23"/>
    <n v="0.64"/>
    <n v="0"/>
    <n v="0.32"/>
    <n v="67.88"/>
    <n v="16.010000000000002"/>
    <n v="0"/>
    <n v="0"/>
    <n v="0"/>
    <n v="0.93"/>
    <n v="5"/>
    <x v="4"/>
  </r>
  <r>
    <x v="3"/>
    <x v="169"/>
    <x v="9"/>
    <x v="69"/>
    <n v="87"/>
    <n v="2"/>
    <n v="6"/>
    <n v="13"/>
    <n v="0"/>
    <n v="0"/>
    <n v="58"/>
    <s v="Jerrod Coleman"/>
    <s v="Collections Group"/>
    <d v="2025-05-29T00:00:00"/>
    <d v="1899-12-30T13:02:36"/>
    <d v="1899-12-30T21:58:09"/>
    <n v="8.93"/>
    <n v="8.93"/>
    <n v="0.77"/>
    <n v="0"/>
    <n v="0"/>
    <n v="0.24"/>
    <n v="6.52"/>
    <n v="1.39"/>
    <n v="0"/>
    <n v="0"/>
    <n v="0"/>
    <n v="0.01"/>
    <n v="8.93"/>
    <n v="8.6"/>
    <n v="0"/>
    <n v="0"/>
    <n v="2.66"/>
    <n v="73.040000000000006"/>
    <n v="15.63"/>
    <n v="0"/>
    <n v="0"/>
    <n v="0"/>
    <n v="0.08"/>
    <n v="5"/>
    <x v="4"/>
  </r>
  <r>
    <x v="5"/>
    <x v="169"/>
    <x v="9"/>
    <x v="89"/>
    <n v="86"/>
    <n v="4"/>
    <n v="3"/>
    <n v="11"/>
    <n v="2"/>
    <n v="0"/>
    <n v="52"/>
    <s v="Sabigh Masood"/>
    <s v="Collections Group"/>
    <d v="2025-05-29T00:00:00"/>
    <d v="1899-12-30T13:00:45"/>
    <d v="1899-12-30T22:03:49"/>
    <n v="9.0500000000000007"/>
    <n v="9.0500000000000007"/>
    <n v="2.2799999999999998"/>
    <n v="0.08"/>
    <n v="0"/>
    <n v="0.69"/>
    <n v="4.6900000000000004"/>
    <n v="1.31"/>
    <n v="0"/>
    <n v="0"/>
    <n v="0"/>
    <n v="0"/>
    <n v="9.0500000000000007"/>
    <n v="25.14"/>
    <n v="0.89"/>
    <n v="0"/>
    <n v="7.59"/>
    <n v="51.84"/>
    <n v="14.51"/>
    <n v="0"/>
    <n v="0"/>
    <n v="0"/>
    <n v="0.03"/>
    <n v="5"/>
    <x v="4"/>
  </r>
  <r>
    <x v="6"/>
    <x v="169"/>
    <x v="9"/>
    <x v="246"/>
    <n v="0"/>
    <n v="0"/>
    <n v="0"/>
    <n v="0"/>
    <n v="0"/>
    <n v="0"/>
    <n v="0"/>
    <m/>
    <m/>
    <m/>
    <m/>
    <m/>
    <m/>
    <m/>
    <m/>
    <m/>
    <m/>
    <m/>
    <m/>
    <m/>
    <m/>
    <m/>
    <m/>
    <m/>
    <m/>
    <m/>
    <m/>
    <m/>
    <m/>
    <m/>
    <m/>
    <m/>
    <m/>
    <m/>
    <m/>
    <n v="5"/>
    <x v="4"/>
  </r>
  <r>
    <x v="16"/>
    <x v="170"/>
    <x v="9"/>
    <x v="13"/>
    <n v="3"/>
    <n v="0"/>
    <n v="0"/>
    <n v="0"/>
    <n v="0"/>
    <n v="0"/>
    <n v="2"/>
    <s v="Alisha McGee"/>
    <s v="Collections Group"/>
    <d v="2025-05-28T00:00:00"/>
    <d v="1899-12-30T13:00:38"/>
    <d v="1899-12-30T14:29:57"/>
    <n v="1.48"/>
    <n v="1.49"/>
    <n v="0"/>
    <n v="0"/>
    <n v="0"/>
    <n v="0.01"/>
    <n v="0.86"/>
    <n v="0.03"/>
    <n v="0.57999999999999996"/>
    <n v="0"/>
    <n v="0"/>
    <n v="0.01"/>
    <n v="1.49"/>
    <n v="0.13"/>
    <n v="0"/>
    <n v="0"/>
    <n v="0.49"/>
    <n v="57.81"/>
    <n v="1.83"/>
    <n v="39.07"/>
    <n v="0"/>
    <n v="0"/>
    <n v="0.67"/>
    <n v="4"/>
    <x v="0"/>
  </r>
  <r>
    <x v="0"/>
    <x v="170"/>
    <x v="9"/>
    <x v="108"/>
    <n v="69"/>
    <n v="5"/>
    <n v="7"/>
    <n v="12"/>
    <n v="0"/>
    <n v="0"/>
    <n v="42"/>
    <s v="Anais Orozco"/>
    <s v="Collections Group"/>
    <d v="2025-05-28T00:00:00"/>
    <d v="1899-12-30T12:56:53"/>
    <d v="1899-12-30T22:00:36"/>
    <n v="9.07"/>
    <n v="8.98"/>
    <n v="2.08"/>
    <n v="0.13"/>
    <n v="0"/>
    <n v="0.38"/>
    <n v="3.74"/>
    <n v="1.38"/>
    <n v="1.21"/>
    <n v="0"/>
    <n v="0"/>
    <n v="7.0000000000000007E-2"/>
    <n v="8.98"/>
    <n v="23.15"/>
    <n v="1.4"/>
    <n v="0"/>
    <n v="4.25"/>
    <n v="41.58"/>
    <n v="15.37"/>
    <n v="13.44"/>
    <n v="0"/>
    <n v="0"/>
    <n v="0.8"/>
    <n v="4"/>
    <x v="0"/>
  </r>
  <r>
    <x v="15"/>
    <x v="170"/>
    <x v="9"/>
    <x v="108"/>
    <n v="67"/>
    <n v="1"/>
    <n v="3"/>
    <n v="5"/>
    <n v="0"/>
    <n v="0"/>
    <n v="40"/>
    <s v="Candace Smith"/>
    <s v="Collections Group"/>
    <d v="2025-05-28T00:00:00"/>
    <d v="1899-12-30T12:53:12"/>
    <d v="1899-12-30T22:00:05"/>
    <n v="9.1199999999999992"/>
    <n v="8.25"/>
    <n v="2.0299999999999998"/>
    <n v="0.96"/>
    <n v="0"/>
    <n v="0.41"/>
    <n v="2.58"/>
    <n v="0.65"/>
    <n v="1.4"/>
    <n v="0.01"/>
    <n v="0.19"/>
    <n v="0.02"/>
    <n v="8.25"/>
    <n v="24.58"/>
    <n v="11.62"/>
    <n v="0"/>
    <n v="4.91"/>
    <n v="31.31"/>
    <n v="7.86"/>
    <n v="17.010000000000002"/>
    <n v="0.1"/>
    <n v="2.34"/>
    <n v="0.28000000000000003"/>
    <n v="4"/>
    <x v="0"/>
  </r>
  <r>
    <x v="1"/>
    <x v="170"/>
    <x v="9"/>
    <x v="21"/>
    <n v="96"/>
    <n v="6"/>
    <n v="3"/>
    <n v="7"/>
    <n v="0"/>
    <n v="0"/>
    <n v="68"/>
    <s v="Derice Warnsley"/>
    <s v="Collections Group"/>
    <d v="2025-05-28T00:00:00"/>
    <d v="1899-12-30T13:00:12"/>
    <d v="1899-12-30T22:00:01"/>
    <n v="9"/>
    <n v="9"/>
    <n v="1.43"/>
    <n v="0.04"/>
    <n v="0"/>
    <n v="0.05"/>
    <n v="4.79"/>
    <n v="1.46"/>
    <n v="1.21"/>
    <n v="0"/>
    <n v="0"/>
    <n v="0"/>
    <n v="9"/>
    <n v="15.95"/>
    <n v="0.5"/>
    <n v="0"/>
    <n v="0.51"/>
    <n v="53.24"/>
    <n v="16.28"/>
    <n v="13.48"/>
    <n v="0"/>
    <n v="0"/>
    <n v="0.04"/>
    <n v="4"/>
    <x v="0"/>
  </r>
  <r>
    <x v="3"/>
    <x v="170"/>
    <x v="9"/>
    <x v="39"/>
    <n v="135"/>
    <n v="11"/>
    <n v="12"/>
    <n v="2"/>
    <n v="3"/>
    <n v="2"/>
    <n v="81"/>
    <s v="Jerrod Coleman"/>
    <s v="Collections Group"/>
    <d v="2025-05-28T00:00:00"/>
    <d v="1899-12-30T13:03:43"/>
    <d v="1899-12-30T21:58:38"/>
    <n v="8.92"/>
    <n v="8.92"/>
    <n v="1.07"/>
    <n v="0.1"/>
    <n v="0"/>
    <n v="0.35"/>
    <n v="4.71"/>
    <n v="1.44"/>
    <n v="1.23"/>
    <n v="0"/>
    <n v="0"/>
    <n v="0"/>
    <n v="8.92"/>
    <n v="12"/>
    <n v="1.1299999999999999"/>
    <n v="0"/>
    <n v="3.94"/>
    <n v="52.89"/>
    <n v="16.21"/>
    <n v="13.79"/>
    <n v="0"/>
    <n v="0"/>
    <n v="0.04"/>
    <n v="4"/>
    <x v="0"/>
  </r>
  <r>
    <x v="5"/>
    <x v="170"/>
    <x v="9"/>
    <x v="75"/>
    <n v="89"/>
    <n v="9"/>
    <n v="0"/>
    <n v="22"/>
    <n v="0"/>
    <n v="0"/>
    <n v="53"/>
    <s v="Sabigh Masood"/>
    <s v="Collections Group"/>
    <d v="2025-05-28T00:00:00"/>
    <d v="1899-12-30T13:00:58"/>
    <d v="1899-12-30T22:00:42"/>
    <n v="9"/>
    <n v="8.99"/>
    <n v="1.42"/>
    <n v="0.13"/>
    <n v="0"/>
    <n v="0.36"/>
    <n v="3.91"/>
    <n v="1.46"/>
    <n v="1.71"/>
    <n v="0"/>
    <n v="0"/>
    <n v="0"/>
    <n v="8.99"/>
    <n v="15.8"/>
    <n v="1.44"/>
    <n v="0"/>
    <n v="4.01"/>
    <n v="43.47"/>
    <n v="16.22"/>
    <n v="19.03"/>
    <n v="0"/>
    <n v="0"/>
    <n v="0.04"/>
    <n v="4"/>
    <x v="0"/>
  </r>
  <r>
    <x v="6"/>
    <x v="170"/>
    <x v="9"/>
    <x v="247"/>
    <n v="0"/>
    <n v="0"/>
    <n v="0"/>
    <n v="0"/>
    <n v="0"/>
    <n v="0"/>
    <n v="0"/>
    <m/>
    <m/>
    <m/>
    <m/>
    <m/>
    <m/>
    <m/>
    <m/>
    <m/>
    <m/>
    <m/>
    <m/>
    <m/>
    <m/>
    <m/>
    <m/>
    <m/>
    <m/>
    <m/>
    <m/>
    <m/>
    <m/>
    <m/>
    <m/>
    <m/>
    <m/>
    <m/>
    <m/>
    <n v="4"/>
    <x v="0"/>
  </r>
  <r>
    <x v="16"/>
    <x v="171"/>
    <x v="9"/>
    <x v="113"/>
    <n v="68"/>
    <n v="1"/>
    <n v="1"/>
    <n v="6"/>
    <n v="0"/>
    <n v="2"/>
    <n v="48"/>
    <s v="Alisha McGee"/>
    <s v="Collections Group"/>
    <d v="2025-05-27T00:00:00"/>
    <d v="1899-12-30T13:00:00"/>
    <d v="1899-12-30T22:00:05"/>
    <n v="9"/>
    <n v="9"/>
    <n v="0.71"/>
    <n v="0"/>
    <n v="0"/>
    <n v="0.15"/>
    <n v="7.01"/>
    <n v="1.1200000000000001"/>
    <n v="0"/>
    <n v="0"/>
    <n v="0"/>
    <n v="0"/>
    <n v="9"/>
    <n v="7.89"/>
    <n v="0"/>
    <n v="0"/>
    <n v="1.68"/>
    <n v="77.91"/>
    <n v="12.49"/>
    <n v="0"/>
    <n v="0"/>
    <n v="0"/>
    <n v="0.04"/>
    <n v="3"/>
    <x v="1"/>
  </r>
  <r>
    <x v="0"/>
    <x v="171"/>
    <x v="9"/>
    <x v="110"/>
    <n v="77"/>
    <n v="1"/>
    <n v="0"/>
    <n v="1"/>
    <n v="0"/>
    <n v="1"/>
    <n v="63"/>
    <s v="Anais Orozco"/>
    <s v="Collections Group"/>
    <d v="2025-05-27T00:00:00"/>
    <d v="1899-12-30T13:01:07"/>
    <d v="1899-12-30T22:00:08"/>
    <n v="8.98"/>
    <n v="8.07"/>
    <n v="0.16"/>
    <n v="0.22"/>
    <n v="0"/>
    <n v="0.1"/>
    <n v="7.06"/>
    <n v="0.51"/>
    <n v="0"/>
    <n v="0"/>
    <n v="0"/>
    <n v="0.03"/>
    <n v="8.07"/>
    <n v="2.04"/>
    <n v="2.69"/>
    <n v="0"/>
    <n v="1.19"/>
    <n v="87.41"/>
    <n v="6.36"/>
    <n v="0"/>
    <n v="0"/>
    <n v="0"/>
    <n v="0.31"/>
    <n v="3"/>
    <x v="1"/>
  </r>
  <r>
    <x v="15"/>
    <x v="171"/>
    <x v="9"/>
    <x v="178"/>
    <n v="41"/>
    <n v="1"/>
    <n v="3"/>
    <n v="2"/>
    <n v="0"/>
    <n v="0"/>
    <n v="26"/>
    <s v="Candace Smith"/>
    <s v="Collections Group"/>
    <d v="2025-05-27T00:00:00"/>
    <d v="1899-12-30T13:00:28"/>
    <d v="1899-12-30T22:00:13"/>
    <n v="9"/>
    <n v="8.44"/>
    <n v="0.56999999999999995"/>
    <n v="1.51"/>
    <n v="0"/>
    <n v="0.52"/>
    <n v="4.9000000000000004"/>
    <n v="0.92"/>
    <n v="0"/>
    <n v="0"/>
    <n v="0"/>
    <n v="0.02"/>
    <n v="8.44"/>
    <n v="6.76"/>
    <n v="17.899999999999999"/>
    <n v="0"/>
    <n v="6.15"/>
    <n v="58.05"/>
    <n v="10.92"/>
    <n v="0"/>
    <n v="0"/>
    <n v="0"/>
    <n v="0.22"/>
    <n v="3"/>
    <x v="1"/>
  </r>
  <r>
    <x v="1"/>
    <x v="171"/>
    <x v="9"/>
    <x v="104"/>
    <n v="47"/>
    <n v="3"/>
    <n v="5"/>
    <n v="8"/>
    <n v="0"/>
    <n v="0"/>
    <n v="26"/>
    <s v="Derice Warnsley"/>
    <s v="Collections Group"/>
    <d v="2025-05-27T00:00:00"/>
    <d v="1899-12-30T13:01:00"/>
    <d v="1899-12-30T22:00:17"/>
    <n v="8.98"/>
    <n v="8.99"/>
    <n v="0.87"/>
    <n v="0.08"/>
    <n v="0"/>
    <n v="0.02"/>
    <n v="6.54"/>
    <n v="1.47"/>
    <n v="0"/>
    <n v="0"/>
    <n v="0"/>
    <n v="0"/>
    <n v="8.99"/>
    <n v="9.6999999999999993"/>
    <n v="0.89"/>
    <n v="0"/>
    <n v="0.23"/>
    <n v="72.8"/>
    <n v="16.329999999999998"/>
    <n v="0"/>
    <n v="0"/>
    <n v="0"/>
    <n v="0.04"/>
    <n v="3"/>
    <x v="1"/>
  </r>
  <r>
    <x v="3"/>
    <x v="171"/>
    <x v="9"/>
    <x v="104"/>
    <n v="60"/>
    <n v="1"/>
    <n v="1"/>
    <n v="3"/>
    <n v="0"/>
    <n v="0"/>
    <n v="46"/>
    <s v="Jerrod Coleman"/>
    <s v="Collections Group"/>
    <d v="2025-05-27T00:00:00"/>
    <d v="1899-12-30T13:03:20"/>
    <d v="1899-12-30T22:00:03"/>
    <n v="8.9499999999999993"/>
    <n v="8.9499999999999993"/>
    <n v="0.43"/>
    <n v="0.15"/>
    <n v="0"/>
    <n v="7.0000000000000007E-2"/>
    <n v="6.84"/>
    <n v="1.46"/>
    <n v="0"/>
    <n v="0"/>
    <n v="0"/>
    <n v="0"/>
    <n v="8.9499999999999993"/>
    <n v="4.84"/>
    <n v="1.62"/>
    <n v="0"/>
    <n v="0.73"/>
    <n v="76.47"/>
    <n v="16.29"/>
    <n v="0"/>
    <n v="0"/>
    <n v="0"/>
    <n v="0.05"/>
    <n v="3"/>
    <x v="1"/>
  </r>
  <r>
    <x v="5"/>
    <x v="171"/>
    <x v="9"/>
    <x v="110"/>
    <n v="59"/>
    <n v="1"/>
    <n v="5"/>
    <n v="4"/>
    <n v="3"/>
    <n v="0"/>
    <n v="38"/>
    <s v="Sabigh Masood"/>
    <s v="Collections Group"/>
    <d v="2025-05-27T00:00:00"/>
    <d v="1899-12-30T13:00:48"/>
    <d v="1899-12-30T22:01:03"/>
    <n v="9.02"/>
    <n v="9"/>
    <n v="1.78"/>
    <n v="0.2"/>
    <n v="0"/>
    <n v="0.51"/>
    <n v="4.76"/>
    <n v="1.47"/>
    <n v="0.28000000000000003"/>
    <n v="0"/>
    <n v="0"/>
    <n v="0"/>
    <n v="9"/>
    <n v="19.77"/>
    <n v="2.19"/>
    <n v="0"/>
    <n v="5.72"/>
    <n v="52.84"/>
    <n v="16.36"/>
    <n v="3.09"/>
    <n v="0"/>
    <n v="0"/>
    <n v="0.03"/>
    <n v="3"/>
    <x v="1"/>
  </r>
  <r>
    <x v="6"/>
    <x v="171"/>
    <x v="9"/>
    <x v="248"/>
    <n v="0"/>
    <n v="0"/>
    <n v="0"/>
    <n v="0"/>
    <n v="0"/>
    <n v="0"/>
    <n v="0"/>
    <m/>
    <m/>
    <m/>
    <m/>
    <m/>
    <m/>
    <m/>
    <m/>
    <m/>
    <m/>
    <m/>
    <m/>
    <m/>
    <m/>
    <m/>
    <m/>
    <m/>
    <m/>
    <m/>
    <m/>
    <m/>
    <m/>
    <m/>
    <m/>
    <m/>
    <m/>
    <m/>
    <m/>
    <n v="3"/>
    <x v="1"/>
  </r>
  <r>
    <x v="16"/>
    <x v="172"/>
    <x v="9"/>
    <x v="249"/>
    <n v="10"/>
    <n v="0"/>
    <n v="0"/>
    <n v="0"/>
    <n v="0"/>
    <n v="0"/>
    <n v="10"/>
    <s v="Alisha McGee"/>
    <s v="Collections Group"/>
    <d v="2025-05-23T00:00:00"/>
    <d v="1899-12-30T15:05:43"/>
    <d v="1899-12-30T15:18:44"/>
    <n v="0.22"/>
    <n v="0.22"/>
    <n v="0"/>
    <n v="0"/>
    <n v="0"/>
    <n v="0.01"/>
    <n v="0.2"/>
    <n v="0"/>
    <n v="0"/>
    <n v="0"/>
    <n v="0"/>
    <n v="0"/>
    <n v="0.22"/>
    <n v="1.8"/>
    <n v="0"/>
    <n v="0"/>
    <n v="2.57"/>
    <n v="93.71"/>
    <n v="0"/>
    <n v="0"/>
    <n v="0"/>
    <n v="0"/>
    <n v="1.93"/>
    <n v="6"/>
    <x v="3"/>
  </r>
  <r>
    <x v="0"/>
    <x v="172"/>
    <x v="9"/>
    <x v="51"/>
    <n v="94"/>
    <n v="8"/>
    <n v="5"/>
    <n v="3"/>
    <n v="0"/>
    <n v="0"/>
    <n v="65"/>
    <s v="Anais Orozco"/>
    <s v="Collections Group"/>
    <d v="2025-05-23T00:00:00"/>
    <d v="1899-12-30T13:00:37"/>
    <d v="1899-12-30T22:00:04"/>
    <n v="9"/>
    <n v="8.17"/>
    <n v="1.5"/>
    <n v="0.05"/>
    <n v="0"/>
    <n v="0.31"/>
    <n v="5.59"/>
    <n v="0.68"/>
    <n v="0"/>
    <n v="0"/>
    <n v="0"/>
    <n v="0.04"/>
    <n v="8.17"/>
    <n v="18.39"/>
    <n v="0.64"/>
    <n v="0"/>
    <n v="3.79"/>
    <n v="68.41"/>
    <n v="8.34"/>
    <n v="0"/>
    <n v="0"/>
    <n v="0"/>
    <n v="0.43"/>
    <n v="6"/>
    <x v="3"/>
  </r>
  <r>
    <x v="15"/>
    <x v="172"/>
    <x v="9"/>
    <x v="113"/>
    <n v="75"/>
    <n v="0"/>
    <n v="0"/>
    <n v="3"/>
    <n v="0"/>
    <n v="0"/>
    <n v="58"/>
    <s v="Candace Smith"/>
    <s v="Collections Group"/>
    <d v="2025-05-23T00:00:00"/>
    <d v="1899-12-30T13:06:08"/>
    <d v="1899-12-30T22:04:33"/>
    <n v="8.9700000000000006"/>
    <n v="8.9600000000000009"/>
    <n v="0.77"/>
    <n v="1.31"/>
    <n v="0"/>
    <n v="0.42"/>
    <n v="4.95"/>
    <n v="1.51"/>
    <n v="0"/>
    <n v="0"/>
    <n v="0"/>
    <n v="0.01"/>
    <n v="8.9600000000000009"/>
    <n v="8.64"/>
    <n v="14.58"/>
    <n v="0"/>
    <n v="4.6500000000000004"/>
    <n v="55.2"/>
    <n v="16.84"/>
    <n v="0"/>
    <n v="0"/>
    <n v="0"/>
    <n v="0.09"/>
    <n v="6"/>
    <x v="3"/>
  </r>
  <r>
    <x v="1"/>
    <x v="172"/>
    <x v="9"/>
    <x v="42"/>
    <n v="104"/>
    <n v="5"/>
    <n v="5"/>
    <n v="10"/>
    <n v="0"/>
    <n v="0"/>
    <n v="67"/>
    <s v="Derice Warnsley"/>
    <s v="Collections Group"/>
    <d v="2025-05-23T00:00:00"/>
    <d v="1899-12-30T13:00:21"/>
    <d v="1899-12-30T22:00:02"/>
    <n v="9"/>
    <n v="8.99"/>
    <n v="2.17"/>
    <n v="0.12"/>
    <n v="0"/>
    <n v="0.04"/>
    <n v="4.9800000000000004"/>
    <n v="1.46"/>
    <n v="0.22"/>
    <n v="0"/>
    <n v="0"/>
    <n v="0"/>
    <n v="8.99"/>
    <n v="24.08"/>
    <n v="1.35"/>
    <n v="0"/>
    <n v="0.49"/>
    <n v="55.37"/>
    <n v="16.18"/>
    <n v="2.4900000000000002"/>
    <n v="0"/>
    <n v="0"/>
    <n v="0.04"/>
    <n v="6"/>
    <x v="3"/>
  </r>
  <r>
    <x v="17"/>
    <x v="172"/>
    <x v="9"/>
    <x v="13"/>
    <n v="1"/>
    <n v="0"/>
    <n v="0"/>
    <n v="0"/>
    <n v="0"/>
    <n v="0"/>
    <n v="0"/>
    <m/>
    <m/>
    <m/>
    <m/>
    <m/>
    <m/>
    <m/>
    <m/>
    <m/>
    <m/>
    <m/>
    <m/>
    <m/>
    <m/>
    <m/>
    <m/>
    <m/>
    <m/>
    <m/>
    <m/>
    <m/>
    <m/>
    <m/>
    <m/>
    <m/>
    <m/>
    <m/>
    <m/>
    <n v="6"/>
    <x v="3"/>
  </r>
  <r>
    <x v="4"/>
    <x v="172"/>
    <x v="9"/>
    <x v="13"/>
    <n v="5"/>
    <n v="1"/>
    <n v="0"/>
    <n v="5"/>
    <n v="0"/>
    <n v="0"/>
    <n v="0"/>
    <s v="Rosette Rwabugahya"/>
    <s v="Collections Group"/>
    <d v="2025-05-23T00:00:00"/>
    <d v="1899-12-30T20:25:51"/>
    <d v="1899-12-30T20:54:35"/>
    <n v="0.48"/>
    <n v="0.48"/>
    <n v="0.43"/>
    <n v="0.03"/>
    <n v="0"/>
    <n v="0"/>
    <n v="0.02"/>
    <n v="0"/>
    <n v="0"/>
    <n v="0"/>
    <n v="0"/>
    <n v="0"/>
    <n v="0.48"/>
    <n v="89.5"/>
    <n v="5.22"/>
    <n v="0"/>
    <n v="0.75"/>
    <n v="3.71"/>
    <n v="0"/>
    <n v="0"/>
    <n v="0"/>
    <n v="0"/>
    <n v="0.81"/>
    <n v="6"/>
    <x v="3"/>
  </r>
  <r>
    <x v="6"/>
    <x v="172"/>
    <x v="9"/>
    <x v="250"/>
    <n v="0"/>
    <n v="0"/>
    <n v="0"/>
    <n v="0"/>
    <n v="0"/>
    <n v="0"/>
    <n v="0"/>
    <m/>
    <m/>
    <m/>
    <m/>
    <m/>
    <m/>
    <m/>
    <m/>
    <m/>
    <m/>
    <m/>
    <m/>
    <m/>
    <m/>
    <m/>
    <m/>
    <m/>
    <m/>
    <m/>
    <m/>
    <m/>
    <m/>
    <m/>
    <m/>
    <m/>
    <m/>
    <m/>
    <m/>
    <n v="6"/>
    <x v="3"/>
  </r>
  <r>
    <x v="16"/>
    <x v="173"/>
    <x v="9"/>
    <x v="76"/>
    <n v="39"/>
    <n v="3"/>
    <n v="0"/>
    <n v="4"/>
    <n v="0"/>
    <n v="1"/>
    <n v="22"/>
    <s v="Alisha McGee"/>
    <s v="Collections Group"/>
    <d v="2025-05-22T00:00:00"/>
    <d v="1899-12-30T13:01:08"/>
    <d v="1899-12-30T22:00:08"/>
    <n v="8.98"/>
    <n v="8.84"/>
    <n v="1.58"/>
    <n v="0"/>
    <n v="0"/>
    <n v="0.08"/>
    <n v="5.33"/>
    <n v="1.25"/>
    <n v="0.56999999999999995"/>
    <n v="0"/>
    <n v="0"/>
    <n v="0.03"/>
    <n v="8.84"/>
    <n v="17.86"/>
    <n v="0"/>
    <n v="0"/>
    <n v="0.92"/>
    <n v="60.36"/>
    <n v="14.11"/>
    <n v="6.39"/>
    <n v="0"/>
    <n v="0"/>
    <n v="0.36"/>
    <n v="5"/>
    <x v="4"/>
  </r>
  <r>
    <x v="0"/>
    <x v="173"/>
    <x v="9"/>
    <x v="109"/>
    <n v="56"/>
    <n v="2"/>
    <n v="1"/>
    <n v="5"/>
    <n v="4"/>
    <n v="2"/>
    <n v="33"/>
    <s v="Anais Orozco"/>
    <s v="Collections Group"/>
    <d v="2025-05-22T00:00:00"/>
    <d v="1899-12-30T12:59:59"/>
    <d v="1899-12-30T22:00:25"/>
    <n v="9.02"/>
    <n v="8.2799999999999994"/>
    <n v="1.41"/>
    <n v="0.48"/>
    <n v="0"/>
    <n v="0.28000000000000003"/>
    <n v="4.8600000000000003"/>
    <n v="0.68"/>
    <n v="0.54"/>
    <n v="0"/>
    <n v="0"/>
    <n v="0.03"/>
    <n v="8.2799999999999994"/>
    <n v="16.989999999999998"/>
    <n v="5.78"/>
    <n v="0"/>
    <n v="3.4"/>
    <n v="58.76"/>
    <n v="8.23"/>
    <n v="6.48"/>
    <n v="0"/>
    <n v="0"/>
    <n v="0.37"/>
    <n v="5"/>
    <x v="4"/>
  </r>
  <r>
    <x v="15"/>
    <x v="173"/>
    <x v="9"/>
    <x v="113"/>
    <n v="66"/>
    <n v="0"/>
    <n v="1"/>
    <n v="4"/>
    <n v="0"/>
    <n v="0"/>
    <n v="47"/>
    <s v="Candace Smith"/>
    <s v="Collections Group"/>
    <d v="2025-05-22T00:00:00"/>
    <d v="1899-12-30T12:59:04"/>
    <d v="1899-12-30T21:59:16"/>
    <n v="9"/>
    <n v="8.99"/>
    <n v="1.04"/>
    <n v="0.45"/>
    <n v="0"/>
    <n v="0.27"/>
    <n v="5.07"/>
    <n v="1.5"/>
    <n v="0.56000000000000005"/>
    <n v="0"/>
    <n v="0.08"/>
    <n v="0.03"/>
    <n v="8.99"/>
    <n v="11.52"/>
    <n v="5.01"/>
    <n v="0"/>
    <n v="3"/>
    <n v="56.35"/>
    <n v="16.7"/>
    <n v="6.26"/>
    <n v="0"/>
    <n v="0.87"/>
    <n v="0.3"/>
    <n v="5"/>
    <x v="4"/>
  </r>
  <r>
    <x v="1"/>
    <x v="173"/>
    <x v="9"/>
    <x v="120"/>
    <n v="40"/>
    <n v="5"/>
    <n v="1"/>
    <n v="4"/>
    <n v="0"/>
    <n v="0"/>
    <n v="24"/>
    <s v="Derice Warnsley"/>
    <s v="Collections Group"/>
    <d v="2025-05-22T00:00:00"/>
    <d v="1899-12-30T13:00:18"/>
    <d v="1899-12-30T22:00:02"/>
    <n v="9"/>
    <n v="9"/>
    <n v="1.1299999999999999"/>
    <n v="0.12"/>
    <n v="0"/>
    <n v="0.02"/>
    <n v="5.71"/>
    <n v="1.46"/>
    <n v="0.54"/>
    <n v="0"/>
    <n v="0"/>
    <n v="0"/>
    <n v="9"/>
    <n v="12.59"/>
    <n v="1.32"/>
    <n v="0"/>
    <n v="0.23"/>
    <n v="63.52"/>
    <n v="16.27"/>
    <n v="6.01"/>
    <n v="0"/>
    <n v="0"/>
    <n v="0.05"/>
    <n v="5"/>
    <x v="4"/>
  </r>
  <r>
    <x v="3"/>
    <x v="173"/>
    <x v="9"/>
    <x v="118"/>
    <n v="61"/>
    <n v="5"/>
    <n v="1"/>
    <n v="5"/>
    <n v="0"/>
    <n v="1"/>
    <n v="33"/>
    <s v="Jerrod Coleman"/>
    <s v="Collections Group"/>
    <d v="2025-05-22T00:00:00"/>
    <d v="1899-12-30T13:01:57"/>
    <d v="1899-12-30T21:59:16"/>
    <n v="8.9700000000000006"/>
    <n v="8.9600000000000009"/>
    <n v="0.52"/>
    <n v="0.13"/>
    <n v="0"/>
    <n v="0.21"/>
    <n v="6.06"/>
    <n v="1.48"/>
    <n v="0.54"/>
    <n v="0"/>
    <n v="0"/>
    <n v="0.01"/>
    <n v="8.9600000000000009"/>
    <n v="5.79"/>
    <n v="1.49"/>
    <n v="0"/>
    <n v="2.39"/>
    <n v="67.66"/>
    <n v="16.54"/>
    <n v="6.03"/>
    <n v="0"/>
    <n v="0"/>
    <n v="0.1"/>
    <n v="5"/>
    <x v="4"/>
  </r>
  <r>
    <x v="4"/>
    <x v="173"/>
    <x v="9"/>
    <x v="13"/>
    <n v="1"/>
    <n v="0"/>
    <n v="0"/>
    <n v="0"/>
    <n v="0"/>
    <n v="0"/>
    <n v="1"/>
    <s v="Rosette Rwabugahya"/>
    <s v="Collections Group"/>
    <d v="2025-05-22T00:00:00"/>
    <d v="1899-12-30T17:38:14"/>
    <d v="1899-12-30T18:11:15"/>
    <n v="0.55000000000000004"/>
    <n v="0.09"/>
    <n v="7.0000000000000007E-2"/>
    <n v="0"/>
    <n v="0"/>
    <n v="0"/>
    <n v="0"/>
    <n v="0"/>
    <n v="0"/>
    <n v="0"/>
    <n v="0"/>
    <n v="0.02"/>
    <n v="0.09"/>
    <n v="75.599999999999994"/>
    <n v="0"/>
    <n v="0"/>
    <n v="3.31"/>
    <n v="0"/>
    <n v="0"/>
    <n v="0"/>
    <n v="0"/>
    <n v="0"/>
    <n v="21.08"/>
    <n v="5"/>
    <x v="4"/>
  </r>
  <r>
    <x v="5"/>
    <x v="173"/>
    <x v="9"/>
    <x v="108"/>
    <n v="67"/>
    <n v="1"/>
    <n v="4"/>
    <n v="6"/>
    <n v="0"/>
    <n v="0"/>
    <n v="39"/>
    <s v="Sabigh Masood"/>
    <s v="Collections Group"/>
    <d v="2025-05-22T00:00:00"/>
    <d v="1899-12-30T13:22:22"/>
    <d v="1899-12-30T22:22:33"/>
    <n v="9"/>
    <n v="8.94"/>
    <n v="1.3"/>
    <n v="0.12"/>
    <n v="0"/>
    <n v="0.41"/>
    <n v="4.99"/>
    <n v="1.45"/>
    <n v="0.56000000000000005"/>
    <n v="0"/>
    <n v="0.1"/>
    <n v="0.03"/>
    <n v="8.94"/>
    <n v="14.54"/>
    <n v="1.3"/>
    <n v="0"/>
    <n v="4.55"/>
    <n v="55.75"/>
    <n v="16.22"/>
    <n v="6.25"/>
    <n v="0"/>
    <n v="1.07"/>
    <n v="0.32"/>
    <n v="5"/>
    <x v="4"/>
  </r>
  <r>
    <x v="6"/>
    <x v="173"/>
    <x v="9"/>
    <x v="246"/>
    <n v="0"/>
    <n v="0"/>
    <n v="0"/>
    <n v="0"/>
    <n v="0"/>
    <n v="0"/>
    <n v="0"/>
    <m/>
    <m/>
    <m/>
    <m/>
    <m/>
    <m/>
    <m/>
    <m/>
    <m/>
    <m/>
    <m/>
    <m/>
    <m/>
    <m/>
    <m/>
    <m/>
    <m/>
    <m/>
    <m/>
    <m/>
    <m/>
    <m/>
    <m/>
    <m/>
    <m/>
    <m/>
    <m/>
    <m/>
    <n v="5"/>
    <x v="4"/>
  </r>
  <r>
    <x v="16"/>
    <x v="174"/>
    <x v="9"/>
    <x v="109"/>
    <n v="53"/>
    <n v="2"/>
    <n v="4"/>
    <n v="1"/>
    <n v="0"/>
    <n v="0"/>
    <n v="36"/>
    <s v="Alisha McGee"/>
    <s v="Collections Group"/>
    <d v="2025-05-21T00:00:00"/>
    <d v="1899-12-30T13:05:06"/>
    <d v="1899-12-30T22:05:18"/>
    <n v="9"/>
    <n v="8.98"/>
    <n v="0.37"/>
    <n v="0"/>
    <n v="0"/>
    <n v="0.16"/>
    <n v="6.38"/>
    <n v="1.37"/>
    <n v="0.7"/>
    <n v="0"/>
    <n v="0"/>
    <n v="0.01"/>
    <n v="8.98"/>
    <n v="4.0999999999999996"/>
    <n v="0"/>
    <n v="0"/>
    <n v="1.77"/>
    <n v="71.02"/>
    <n v="15.23"/>
    <n v="7.79"/>
    <n v="0"/>
    <n v="0"/>
    <n v="0.09"/>
    <n v="4"/>
    <x v="0"/>
  </r>
  <r>
    <x v="0"/>
    <x v="174"/>
    <x v="9"/>
    <x v="110"/>
    <n v="62"/>
    <n v="3"/>
    <n v="0"/>
    <n v="4"/>
    <n v="0"/>
    <n v="0"/>
    <n v="44"/>
    <s v="Anais Orozco"/>
    <s v="Collections Group"/>
    <d v="2025-05-21T00:00:00"/>
    <d v="1899-12-30T13:01:51"/>
    <d v="1899-12-30T22:00:04"/>
    <n v="8.98"/>
    <n v="8.1"/>
    <n v="0.54"/>
    <n v="0.09"/>
    <n v="0"/>
    <n v="0.15"/>
    <n v="6.91"/>
    <n v="0.41"/>
    <n v="0"/>
    <n v="0"/>
    <n v="0"/>
    <n v="0.01"/>
    <n v="8.1"/>
    <n v="6.68"/>
    <n v="1.1100000000000001"/>
    <n v="0"/>
    <n v="1.8"/>
    <n v="85.25"/>
    <n v="5.0199999999999996"/>
    <n v="0"/>
    <n v="0"/>
    <n v="0"/>
    <n v="0.13"/>
    <n v="4"/>
    <x v="0"/>
  </r>
  <r>
    <x v="15"/>
    <x v="174"/>
    <x v="9"/>
    <x v="74"/>
    <n v="40"/>
    <n v="3"/>
    <n v="3"/>
    <n v="0"/>
    <n v="0"/>
    <n v="0"/>
    <n v="28"/>
    <s v="Candace Smith"/>
    <s v="Collections Group"/>
    <d v="2025-05-21T00:00:00"/>
    <d v="1899-12-30T12:58:31"/>
    <d v="1899-12-30T21:59:43"/>
    <n v="9.02"/>
    <n v="9.02"/>
    <n v="0.84"/>
    <n v="0.33"/>
    <n v="0"/>
    <n v="0.21"/>
    <n v="5.73"/>
    <n v="1.51"/>
    <n v="0.34"/>
    <n v="0"/>
    <n v="0.05"/>
    <n v="0.01"/>
    <n v="9.02"/>
    <n v="9.33"/>
    <n v="3.71"/>
    <n v="0"/>
    <n v="2.31"/>
    <n v="63.56"/>
    <n v="16.73"/>
    <n v="3.77"/>
    <n v="0"/>
    <n v="0.51"/>
    <n v="0.08"/>
    <n v="4"/>
    <x v="0"/>
  </r>
  <r>
    <x v="1"/>
    <x v="174"/>
    <x v="9"/>
    <x v="110"/>
    <n v="58"/>
    <n v="4"/>
    <n v="0"/>
    <n v="3"/>
    <n v="0"/>
    <n v="0"/>
    <n v="39"/>
    <s v="Derice Warnsley"/>
    <s v="Collections Group"/>
    <d v="2025-05-21T00:00:00"/>
    <d v="1899-12-30T13:00:07"/>
    <d v="1899-12-30T22:00:03"/>
    <n v="9"/>
    <n v="9"/>
    <n v="0.53"/>
    <n v="0.08"/>
    <n v="0"/>
    <n v="0.02"/>
    <n v="6.89"/>
    <n v="1.46"/>
    <n v="0"/>
    <n v="0"/>
    <n v="0"/>
    <n v="0"/>
    <n v="9"/>
    <n v="5.92"/>
    <n v="0.93"/>
    <n v="0"/>
    <n v="0.24"/>
    <n v="76.62"/>
    <n v="16.25"/>
    <n v="0"/>
    <n v="0"/>
    <n v="0"/>
    <n v="0.05"/>
    <n v="4"/>
    <x v="0"/>
  </r>
  <r>
    <x v="3"/>
    <x v="174"/>
    <x v="9"/>
    <x v="69"/>
    <n v="66"/>
    <n v="7"/>
    <n v="3"/>
    <n v="0"/>
    <n v="0"/>
    <n v="2"/>
    <n v="35"/>
    <s v="Jerrod Coleman"/>
    <s v="Collections Group"/>
    <d v="2025-05-21T00:00:00"/>
    <d v="1899-12-30T13:01:24"/>
    <d v="1899-12-30T21:59:03"/>
    <n v="8.9700000000000006"/>
    <n v="8.75"/>
    <n v="0.7"/>
    <n v="0.09"/>
    <n v="0"/>
    <n v="0.13"/>
    <n v="6.57"/>
    <n v="1.25"/>
    <n v="0"/>
    <n v="0"/>
    <n v="0"/>
    <n v="0.01"/>
    <n v="8.75"/>
    <n v="7.99"/>
    <n v="1"/>
    <n v="0"/>
    <n v="1.51"/>
    <n v="75.08"/>
    <n v="14.28"/>
    <n v="0"/>
    <n v="0"/>
    <n v="0"/>
    <n v="0.14000000000000001"/>
    <n v="4"/>
    <x v="0"/>
  </r>
  <r>
    <x v="5"/>
    <x v="174"/>
    <x v="9"/>
    <x v="74"/>
    <n v="52"/>
    <n v="1"/>
    <n v="0"/>
    <n v="7"/>
    <n v="0"/>
    <n v="0"/>
    <n v="38"/>
    <s v="Sabigh Masood"/>
    <s v="Collections Group"/>
    <d v="2025-05-21T00:00:00"/>
    <d v="1899-12-30T13:00:18"/>
    <d v="1899-12-30T22:01:09"/>
    <n v="9.02"/>
    <n v="8.92"/>
    <n v="1.31"/>
    <n v="0.17"/>
    <n v="0"/>
    <n v="0.26"/>
    <n v="5.43"/>
    <n v="1.46"/>
    <n v="0"/>
    <n v="0"/>
    <n v="0.26"/>
    <n v="0.03"/>
    <n v="8.92"/>
    <n v="14.72"/>
    <n v="1.85"/>
    <n v="0"/>
    <n v="2.97"/>
    <n v="60.86"/>
    <n v="16.41"/>
    <n v="0"/>
    <n v="0"/>
    <n v="2.89"/>
    <n v="0.3"/>
    <n v="4"/>
    <x v="0"/>
  </r>
  <r>
    <x v="6"/>
    <x v="174"/>
    <x v="9"/>
    <x v="251"/>
    <n v="0"/>
    <n v="0"/>
    <n v="0"/>
    <n v="0"/>
    <n v="0"/>
    <n v="0"/>
    <n v="0"/>
    <m/>
    <m/>
    <m/>
    <m/>
    <m/>
    <m/>
    <m/>
    <m/>
    <m/>
    <m/>
    <m/>
    <m/>
    <m/>
    <m/>
    <m/>
    <m/>
    <m/>
    <m/>
    <m/>
    <m/>
    <m/>
    <m/>
    <m/>
    <m/>
    <m/>
    <m/>
    <m/>
    <m/>
    <n v="4"/>
    <x v="0"/>
  </r>
  <r>
    <x v="16"/>
    <x v="175"/>
    <x v="9"/>
    <x v="90"/>
    <n v="60"/>
    <n v="7"/>
    <n v="3"/>
    <n v="5"/>
    <n v="0"/>
    <n v="0"/>
    <n v="32"/>
    <s v="Alisha McGee"/>
    <s v="Collections Group"/>
    <d v="2025-05-20T00:00:00"/>
    <d v="1899-12-30T13:00:28"/>
    <d v="1899-12-30T22:00:14"/>
    <n v="9"/>
    <n v="9"/>
    <n v="1.38"/>
    <n v="0"/>
    <n v="0"/>
    <n v="0.11"/>
    <n v="5.58"/>
    <n v="1.42"/>
    <n v="0.49"/>
    <n v="0"/>
    <n v="0"/>
    <n v="0"/>
    <n v="9"/>
    <n v="15.38"/>
    <n v="0"/>
    <n v="0"/>
    <n v="1.27"/>
    <n v="62.06"/>
    <n v="15.75"/>
    <n v="5.5"/>
    <n v="0"/>
    <n v="0"/>
    <n v="0.04"/>
    <n v="3"/>
    <x v="1"/>
  </r>
  <r>
    <x v="0"/>
    <x v="175"/>
    <x v="9"/>
    <x v="64"/>
    <n v="88"/>
    <n v="7"/>
    <n v="3"/>
    <n v="9"/>
    <n v="0"/>
    <n v="5"/>
    <n v="46"/>
    <s v="Anais Orozco"/>
    <s v="Collections Group"/>
    <d v="2025-05-20T00:00:00"/>
    <d v="1899-12-30T13:01:22"/>
    <d v="1899-12-30T22:03:48"/>
    <n v="9.0299999999999994"/>
    <n v="8.11"/>
    <n v="1.32"/>
    <n v="0.16"/>
    <n v="0"/>
    <n v="0.4"/>
    <n v="5.66"/>
    <n v="0.55000000000000004"/>
    <n v="0"/>
    <n v="0"/>
    <n v="0"/>
    <n v="0.01"/>
    <n v="8.11"/>
    <n v="16.25"/>
    <n v="2.02"/>
    <n v="0"/>
    <n v="4.95"/>
    <n v="69.849999999999994"/>
    <n v="6.83"/>
    <n v="0"/>
    <n v="0"/>
    <n v="0"/>
    <n v="0.11"/>
    <n v="3"/>
    <x v="1"/>
  </r>
  <r>
    <x v="15"/>
    <x v="175"/>
    <x v="9"/>
    <x v="56"/>
    <n v="96"/>
    <n v="2"/>
    <n v="13"/>
    <n v="8"/>
    <n v="0"/>
    <n v="0"/>
    <n v="51"/>
    <s v="Candace Smith"/>
    <s v="Collections Group"/>
    <d v="2025-05-20T00:00:00"/>
    <d v="1899-12-30T12:59:43"/>
    <d v="1899-12-30T22:00:43"/>
    <n v="9.02"/>
    <n v="9.02"/>
    <n v="1.67"/>
    <n v="0.64"/>
    <n v="0"/>
    <n v="0.41"/>
    <n v="4.72"/>
    <n v="1.5"/>
    <n v="0.06"/>
    <n v="0"/>
    <n v="0"/>
    <n v="0.02"/>
    <n v="9.02"/>
    <n v="18.48"/>
    <n v="7.07"/>
    <n v="0"/>
    <n v="4.5999999999999996"/>
    <n v="52.32"/>
    <n v="16.68"/>
    <n v="0.68"/>
    <n v="0"/>
    <n v="0"/>
    <n v="0.17"/>
    <n v="3"/>
    <x v="1"/>
  </r>
  <r>
    <x v="3"/>
    <x v="175"/>
    <x v="9"/>
    <x v="52"/>
    <n v="82"/>
    <n v="6"/>
    <n v="4"/>
    <n v="11"/>
    <n v="0"/>
    <n v="0"/>
    <n v="51"/>
    <s v="Jerrod Coleman"/>
    <s v="Collections Group"/>
    <d v="2025-05-20T00:00:00"/>
    <d v="1899-12-30T13:02:36"/>
    <d v="1899-12-30T22:00:12"/>
    <n v="8.9700000000000006"/>
    <n v="8.92"/>
    <n v="1.1100000000000001"/>
    <n v="0.1"/>
    <n v="0"/>
    <n v="0.28000000000000003"/>
    <n v="5.95"/>
    <n v="1.47"/>
    <n v="0"/>
    <n v="0"/>
    <n v="0"/>
    <n v="0.02"/>
    <n v="8.92"/>
    <n v="12.44"/>
    <n v="1.1100000000000001"/>
    <n v="0"/>
    <n v="3.09"/>
    <n v="66.66"/>
    <n v="16.46"/>
    <n v="0"/>
    <n v="0"/>
    <n v="0"/>
    <n v="0.24"/>
    <n v="3"/>
    <x v="1"/>
  </r>
  <r>
    <x v="4"/>
    <x v="175"/>
    <x v="9"/>
    <x v="13"/>
    <n v="1"/>
    <n v="1"/>
    <n v="0"/>
    <n v="0"/>
    <n v="0"/>
    <n v="0"/>
    <n v="0"/>
    <s v="Rosette Rwabugahya"/>
    <s v="Collections Group"/>
    <d v="2025-05-20T00:00:00"/>
    <d v="1899-12-30T19:13:42"/>
    <d v="1899-12-30T23:20:41"/>
    <n v="4.12"/>
    <n v="4.12"/>
    <n v="4.1100000000000003"/>
    <n v="0"/>
    <n v="0"/>
    <n v="0"/>
    <n v="0"/>
    <n v="0"/>
    <n v="0"/>
    <n v="0"/>
    <n v="0"/>
    <n v="0"/>
    <n v="4.12"/>
    <n v="99.83"/>
    <n v="0"/>
    <n v="0"/>
    <n v="0.09"/>
    <n v="0"/>
    <n v="0"/>
    <n v="0"/>
    <n v="0"/>
    <n v="0"/>
    <n v="0.08"/>
    <n v="3"/>
    <x v="1"/>
  </r>
  <r>
    <x v="5"/>
    <x v="175"/>
    <x v="9"/>
    <x v="75"/>
    <n v="94"/>
    <n v="2"/>
    <n v="3"/>
    <n v="21"/>
    <n v="1"/>
    <n v="0"/>
    <n v="49"/>
    <s v="Sabigh Masood"/>
    <s v="Collections Group"/>
    <d v="2025-05-20T00:00:00"/>
    <d v="1899-12-30T12:58:51"/>
    <d v="1899-12-30T22:38:06"/>
    <n v="9.67"/>
    <n v="9.66"/>
    <n v="1.97"/>
    <n v="0.28000000000000003"/>
    <n v="0"/>
    <n v="0.59"/>
    <n v="5.18"/>
    <n v="1.46"/>
    <n v="0.18"/>
    <n v="0"/>
    <n v="0"/>
    <n v="0"/>
    <n v="9.66"/>
    <n v="20.39"/>
    <n v="2.9"/>
    <n v="0"/>
    <n v="6.06"/>
    <n v="53.65"/>
    <n v="15.12"/>
    <n v="1.84"/>
    <n v="0"/>
    <n v="0"/>
    <n v="0.04"/>
    <n v="3"/>
    <x v="1"/>
  </r>
  <r>
    <x v="6"/>
    <x v="175"/>
    <x v="9"/>
    <x v="252"/>
    <n v="0"/>
    <n v="0"/>
    <n v="0"/>
    <n v="0"/>
    <n v="0"/>
    <n v="0"/>
    <n v="0"/>
    <m/>
    <m/>
    <m/>
    <m/>
    <m/>
    <m/>
    <m/>
    <m/>
    <m/>
    <m/>
    <m/>
    <m/>
    <m/>
    <m/>
    <m/>
    <m/>
    <m/>
    <m/>
    <m/>
    <m/>
    <m/>
    <m/>
    <m/>
    <m/>
    <m/>
    <m/>
    <m/>
    <m/>
    <n v="3"/>
    <x v="1"/>
  </r>
  <r>
    <x v="16"/>
    <x v="176"/>
    <x v="9"/>
    <x v="113"/>
    <n v="61"/>
    <n v="6"/>
    <n v="5"/>
    <n v="8"/>
    <n v="0"/>
    <n v="0"/>
    <n v="33"/>
    <s v="Alisha McGee"/>
    <s v="Collections Group"/>
    <d v="2025-05-19T00:00:00"/>
    <d v="1899-12-30T13:01:57"/>
    <d v="1899-12-30T22:13:54"/>
    <n v="9.1999999999999993"/>
    <n v="9.1999999999999993"/>
    <n v="1.4"/>
    <n v="0"/>
    <n v="0"/>
    <n v="0.19"/>
    <n v="6.11"/>
    <n v="1.46"/>
    <n v="0"/>
    <n v="0"/>
    <n v="0"/>
    <n v="0.03"/>
    <n v="9.1999999999999993"/>
    <n v="15.19"/>
    <n v="0"/>
    <n v="0"/>
    <n v="2.1"/>
    <n v="66.45"/>
    <n v="15.92"/>
    <n v="0"/>
    <n v="0"/>
    <n v="0"/>
    <n v="0.35"/>
    <n v="2"/>
    <x v="2"/>
  </r>
  <r>
    <x v="0"/>
    <x v="176"/>
    <x v="9"/>
    <x v="51"/>
    <n v="110"/>
    <n v="1"/>
    <n v="0"/>
    <n v="3"/>
    <n v="0"/>
    <n v="4"/>
    <n v="76"/>
    <s v="Anais Orozco"/>
    <s v="Collections Group"/>
    <d v="2025-05-19T00:00:00"/>
    <d v="1899-12-30T13:01:16"/>
    <d v="1899-12-30T22:00:33"/>
    <n v="8.98"/>
    <n v="8.1"/>
    <n v="0.78"/>
    <n v="0.27"/>
    <n v="0"/>
    <n v="0.31"/>
    <n v="6.11"/>
    <n v="0.57999999999999996"/>
    <n v="0"/>
    <n v="0"/>
    <n v="0"/>
    <n v="0.05"/>
    <n v="8.1"/>
    <n v="9.6300000000000008"/>
    <n v="3.38"/>
    <n v="0"/>
    <n v="3.84"/>
    <n v="75.41"/>
    <n v="7.18"/>
    <n v="0"/>
    <n v="0"/>
    <n v="0"/>
    <n v="0.56000000000000005"/>
    <n v="2"/>
    <x v="2"/>
  </r>
  <r>
    <x v="15"/>
    <x v="176"/>
    <x v="9"/>
    <x v="108"/>
    <n v="58"/>
    <n v="4"/>
    <n v="7"/>
    <n v="8"/>
    <n v="0"/>
    <n v="0"/>
    <n v="30"/>
    <s v="Candace Smith"/>
    <s v="Collections Group"/>
    <d v="2025-05-19T00:00:00"/>
    <d v="1899-12-30T13:00:53"/>
    <d v="1899-12-30T22:00:12"/>
    <n v="9"/>
    <n v="8.99"/>
    <n v="2.15"/>
    <n v="0.22"/>
    <n v="0"/>
    <n v="0.4"/>
    <n v="4.1100000000000003"/>
    <n v="1.52"/>
    <n v="0.57999999999999996"/>
    <n v="0"/>
    <n v="0"/>
    <n v="0.01"/>
    <n v="8.99"/>
    <n v="23.95"/>
    <n v="2.4700000000000002"/>
    <n v="0"/>
    <n v="4.45"/>
    <n v="45.72"/>
    <n v="16.920000000000002"/>
    <n v="6.42"/>
    <n v="0"/>
    <n v="0"/>
    <n v="0.08"/>
    <n v="2"/>
    <x v="2"/>
  </r>
  <r>
    <x v="3"/>
    <x v="176"/>
    <x v="9"/>
    <x v="89"/>
    <n v="102"/>
    <n v="2"/>
    <n v="3"/>
    <n v="6"/>
    <n v="0"/>
    <n v="0"/>
    <n v="78"/>
    <s v="Jerrod Coleman"/>
    <s v="Collections Group"/>
    <d v="2025-05-19T00:00:00"/>
    <d v="1899-12-30T13:03:39"/>
    <d v="1899-12-30T22:01:20"/>
    <n v="8.9700000000000006"/>
    <n v="8.9600000000000009"/>
    <n v="1.26"/>
    <n v="0.23"/>
    <n v="0"/>
    <n v="0.25"/>
    <n v="5.74"/>
    <n v="1.47"/>
    <n v="0"/>
    <n v="0"/>
    <n v="0"/>
    <n v="0.01"/>
    <n v="8.9600000000000009"/>
    <n v="14.05"/>
    <n v="2.56"/>
    <n v="0"/>
    <n v="2.79"/>
    <n v="64.11"/>
    <n v="16.43"/>
    <n v="0"/>
    <n v="0"/>
    <n v="0"/>
    <n v="0.06"/>
    <n v="2"/>
    <x v="2"/>
  </r>
  <r>
    <x v="4"/>
    <x v="176"/>
    <x v="9"/>
    <x v="13"/>
    <n v="3"/>
    <n v="0"/>
    <n v="0"/>
    <n v="1"/>
    <n v="0"/>
    <n v="0"/>
    <n v="0"/>
    <s v="Rosette Rwabugahya"/>
    <s v="Collections Group"/>
    <d v="2025-05-19T00:00:00"/>
    <d v="1899-12-30T20:19:13"/>
    <d v="1899-12-30T20:49:08"/>
    <n v="0.5"/>
    <n v="0.5"/>
    <n v="0.48"/>
    <n v="0"/>
    <n v="0"/>
    <n v="0.01"/>
    <n v="0"/>
    <n v="0"/>
    <n v="0"/>
    <n v="0"/>
    <n v="0"/>
    <n v="0.01"/>
    <n v="0.5"/>
    <n v="96.1"/>
    <n v="0.5"/>
    <n v="0"/>
    <n v="1.9"/>
    <n v="0"/>
    <n v="0"/>
    <n v="0"/>
    <n v="0"/>
    <n v="0"/>
    <n v="1.51"/>
    <n v="2"/>
    <x v="2"/>
  </r>
  <r>
    <x v="5"/>
    <x v="176"/>
    <x v="9"/>
    <x v="110"/>
    <n v="75"/>
    <n v="12"/>
    <n v="2"/>
    <n v="14"/>
    <n v="0"/>
    <n v="1"/>
    <n v="34"/>
    <s v="Sabigh Masood"/>
    <s v="Collections Group"/>
    <d v="2025-05-19T00:00:00"/>
    <d v="1899-12-30T13:00:10"/>
    <d v="1899-12-30T22:01:07"/>
    <n v="9.02"/>
    <n v="9.02"/>
    <n v="1.82"/>
    <n v="0.27"/>
    <n v="0"/>
    <n v="0.36"/>
    <n v="5.09"/>
    <n v="1.47"/>
    <n v="0"/>
    <n v="0"/>
    <n v="0"/>
    <n v="0"/>
    <n v="9.02"/>
    <n v="20.239999999999998"/>
    <n v="2.95"/>
    <n v="0"/>
    <n v="3.98"/>
    <n v="56.47"/>
    <n v="16.309999999999999"/>
    <n v="0"/>
    <n v="0"/>
    <n v="0"/>
    <n v="0.04"/>
    <n v="2"/>
    <x v="2"/>
  </r>
  <r>
    <x v="6"/>
    <x v="176"/>
    <x v="9"/>
    <x v="253"/>
    <n v="0"/>
    <n v="0"/>
    <n v="0"/>
    <n v="0"/>
    <n v="0"/>
    <n v="0"/>
    <n v="0"/>
    <m/>
    <m/>
    <m/>
    <m/>
    <m/>
    <m/>
    <m/>
    <m/>
    <m/>
    <m/>
    <m/>
    <m/>
    <m/>
    <m/>
    <m/>
    <m/>
    <m/>
    <m/>
    <m/>
    <m/>
    <m/>
    <m/>
    <m/>
    <m/>
    <m/>
    <m/>
    <m/>
    <m/>
    <n v="2"/>
    <x v="2"/>
  </r>
  <r>
    <x v="16"/>
    <x v="177"/>
    <x v="9"/>
    <x v="90"/>
    <n v="61"/>
    <n v="1"/>
    <n v="3"/>
    <n v="8"/>
    <n v="0"/>
    <n v="0"/>
    <n v="41"/>
    <s v="Alisha McGee"/>
    <s v="Collections Group"/>
    <d v="2025-05-16T00:00:00"/>
    <d v="1899-12-30T13:00:23"/>
    <d v="1899-12-30T22:00:12"/>
    <n v="9"/>
    <n v="9"/>
    <n v="1.5"/>
    <n v="0"/>
    <n v="0"/>
    <n v="0.23"/>
    <n v="5.51"/>
    <n v="1.39"/>
    <n v="0.36"/>
    <n v="0"/>
    <n v="0"/>
    <n v="0"/>
    <n v="9"/>
    <n v="16.670000000000002"/>
    <n v="0"/>
    <n v="0"/>
    <n v="2.52"/>
    <n v="61.28"/>
    <n v="15.5"/>
    <n v="3.98"/>
    <n v="0"/>
    <n v="0"/>
    <n v="0.05"/>
    <n v="6"/>
    <x v="3"/>
  </r>
  <r>
    <x v="0"/>
    <x v="177"/>
    <x v="9"/>
    <x v="18"/>
    <n v="71"/>
    <n v="5"/>
    <n v="3"/>
    <n v="6"/>
    <n v="0"/>
    <n v="0"/>
    <n v="41"/>
    <s v="Anais Orozco"/>
    <s v="Collections Group"/>
    <d v="2025-05-16T00:00:00"/>
    <d v="1899-12-30T12:59:54"/>
    <d v="1899-12-30T22:00:12"/>
    <n v="9.02"/>
    <n v="8.16"/>
    <n v="1.4"/>
    <n v="0.17"/>
    <n v="0"/>
    <n v="0.37"/>
    <n v="5.09"/>
    <n v="0.68"/>
    <n v="0.44"/>
    <n v="0"/>
    <n v="0"/>
    <n v="0.02"/>
    <n v="8.16"/>
    <n v="17.190000000000001"/>
    <n v="2.0699999999999998"/>
    <n v="0"/>
    <n v="4.51"/>
    <n v="62.31"/>
    <n v="8.31"/>
    <n v="5.41"/>
    <n v="0"/>
    <n v="0"/>
    <n v="0.2"/>
    <n v="6"/>
    <x v="3"/>
  </r>
  <r>
    <x v="3"/>
    <x v="177"/>
    <x v="9"/>
    <x v="78"/>
    <n v="116"/>
    <n v="8"/>
    <n v="0"/>
    <n v="4"/>
    <n v="0"/>
    <n v="1"/>
    <n v="81"/>
    <s v="Jerrod Coleman"/>
    <s v="Collections Group"/>
    <d v="2025-05-16T00:00:00"/>
    <d v="1899-12-30T13:03:15"/>
    <d v="1899-12-30T21:59:27"/>
    <n v="8.93"/>
    <n v="8.84"/>
    <n v="0.69"/>
    <n v="7.0000000000000007E-2"/>
    <n v="0"/>
    <n v="0.26"/>
    <n v="6.11"/>
    <n v="1.68"/>
    <n v="0"/>
    <n v="0"/>
    <n v="0"/>
    <n v="0.04"/>
    <n v="8.84"/>
    <n v="7.76"/>
    <n v="0.82"/>
    <n v="0"/>
    <n v="2.89"/>
    <n v="69.08"/>
    <n v="19.05"/>
    <n v="0"/>
    <n v="0"/>
    <n v="0"/>
    <n v="0.4"/>
    <n v="6"/>
    <x v="3"/>
  </r>
  <r>
    <x v="5"/>
    <x v="177"/>
    <x v="9"/>
    <x v="109"/>
    <n v="48"/>
    <n v="3"/>
    <n v="1"/>
    <n v="12"/>
    <n v="0"/>
    <n v="0"/>
    <n v="24"/>
    <s v="Sabigh Masood"/>
    <s v="Collections Group"/>
    <d v="2025-05-16T00:00:00"/>
    <d v="1899-12-30T13:00:43"/>
    <d v="1899-12-30T22:02:05"/>
    <n v="9.0299999999999994"/>
    <n v="9.02"/>
    <n v="1.42"/>
    <n v="0.15"/>
    <n v="0"/>
    <n v="0.46"/>
    <n v="5.0199999999999996"/>
    <n v="1.97"/>
    <n v="0"/>
    <n v="0"/>
    <n v="0"/>
    <n v="0"/>
    <n v="9.02"/>
    <n v="15.75"/>
    <n v="1.65"/>
    <n v="0"/>
    <n v="5.07"/>
    <n v="55.62"/>
    <n v="21.87"/>
    <n v="0"/>
    <n v="0"/>
    <n v="0"/>
    <n v="0.04"/>
    <n v="6"/>
    <x v="3"/>
  </r>
  <r>
    <x v="6"/>
    <x v="177"/>
    <x v="9"/>
    <x v="254"/>
    <n v="0"/>
    <n v="0"/>
    <n v="0"/>
    <n v="0"/>
    <n v="0"/>
    <n v="0"/>
    <n v="0"/>
    <m/>
    <m/>
    <m/>
    <m/>
    <m/>
    <m/>
    <m/>
    <m/>
    <m/>
    <m/>
    <m/>
    <m/>
    <m/>
    <m/>
    <m/>
    <m/>
    <m/>
    <m/>
    <m/>
    <m/>
    <m/>
    <m/>
    <m/>
    <m/>
    <m/>
    <m/>
    <m/>
    <m/>
    <n v="6"/>
    <x v="3"/>
  </r>
  <r>
    <x v="16"/>
    <x v="178"/>
    <x v="9"/>
    <x v="52"/>
    <n v="75"/>
    <n v="7"/>
    <n v="0"/>
    <n v="2"/>
    <n v="0"/>
    <n v="0"/>
    <n v="47"/>
    <s v="Alisha McGee"/>
    <s v="Collections Group"/>
    <d v="2025-05-15T00:00:00"/>
    <d v="1899-12-30T13:00:59"/>
    <d v="1899-12-30T22:02:56"/>
    <n v="9.0299999999999994"/>
    <n v="9.0299999999999994"/>
    <n v="1.06"/>
    <n v="0"/>
    <n v="0"/>
    <n v="0.21"/>
    <n v="6.06"/>
    <n v="1.69"/>
    <n v="0.01"/>
    <n v="0"/>
    <n v="0"/>
    <n v="0"/>
    <n v="9.0299999999999994"/>
    <n v="11.7"/>
    <n v="0"/>
    <n v="0"/>
    <n v="2.35"/>
    <n v="67.069999999999993"/>
    <n v="18.72"/>
    <n v="0.12"/>
    <n v="0"/>
    <n v="0"/>
    <n v="0.04"/>
    <n v="5"/>
    <x v="4"/>
  </r>
  <r>
    <x v="0"/>
    <x v="178"/>
    <x v="9"/>
    <x v="52"/>
    <n v="75"/>
    <n v="3"/>
    <n v="0"/>
    <n v="2"/>
    <n v="0"/>
    <n v="0"/>
    <n v="47"/>
    <s v="Anais Orozco"/>
    <s v="Collections Group"/>
    <d v="2025-05-15T00:00:00"/>
    <d v="1899-12-30T13:01:50"/>
    <d v="1899-12-30T22:00:31"/>
    <n v="8.98"/>
    <n v="8.19"/>
    <n v="0.55000000000000004"/>
    <n v="0.19"/>
    <n v="0"/>
    <n v="0.16"/>
    <n v="6.58"/>
    <n v="0.71"/>
    <n v="0"/>
    <n v="0"/>
    <n v="0"/>
    <n v="0.01"/>
    <n v="8.19"/>
    <n v="6.69"/>
    <n v="2.27"/>
    <n v="0"/>
    <n v="1.92"/>
    <n v="80.319999999999993"/>
    <n v="8.65"/>
    <n v="0"/>
    <n v="0"/>
    <n v="0"/>
    <n v="0.15"/>
    <n v="5"/>
    <x v="4"/>
  </r>
  <r>
    <x v="3"/>
    <x v="178"/>
    <x v="9"/>
    <x v="118"/>
    <n v="55"/>
    <n v="0"/>
    <n v="5"/>
    <n v="4"/>
    <n v="0"/>
    <n v="0"/>
    <n v="34"/>
    <s v="Jerrod Coleman"/>
    <s v="Collections Group"/>
    <d v="2025-05-15T00:00:00"/>
    <d v="1899-12-30T13:04:38"/>
    <d v="1899-12-30T21:59:41"/>
    <n v="8.92"/>
    <n v="8.92"/>
    <n v="0.86"/>
    <n v="0.06"/>
    <n v="0"/>
    <n v="0.14000000000000001"/>
    <n v="6.41"/>
    <n v="1.44"/>
    <n v="0"/>
    <n v="0"/>
    <n v="0"/>
    <n v="0"/>
    <n v="8.92"/>
    <n v="9.67"/>
    <n v="0.72"/>
    <n v="0"/>
    <n v="1.54"/>
    <n v="71.819999999999993"/>
    <n v="16.190000000000001"/>
    <n v="0"/>
    <n v="0"/>
    <n v="0"/>
    <n v="0.05"/>
    <n v="5"/>
    <x v="4"/>
  </r>
  <r>
    <x v="5"/>
    <x v="178"/>
    <x v="9"/>
    <x v="52"/>
    <n v="85"/>
    <n v="3"/>
    <n v="3"/>
    <n v="9"/>
    <n v="2"/>
    <n v="0"/>
    <n v="53"/>
    <s v="Sabigh Masood"/>
    <s v="Collections Group"/>
    <d v="2025-05-15T00:00:00"/>
    <d v="1899-12-30T12:59:28"/>
    <d v="1899-12-30T22:01:57"/>
    <n v="9.0299999999999994"/>
    <n v="9.0399999999999991"/>
    <n v="1.27"/>
    <n v="0.31"/>
    <n v="0"/>
    <n v="0.42"/>
    <n v="5.6"/>
    <n v="1.44"/>
    <n v="0"/>
    <n v="0"/>
    <n v="0"/>
    <n v="0"/>
    <n v="9.0399999999999991"/>
    <n v="14.07"/>
    <n v="3.38"/>
    <n v="0"/>
    <n v="4.66"/>
    <n v="61.93"/>
    <n v="15.92"/>
    <n v="0"/>
    <n v="0"/>
    <n v="0"/>
    <n v="0.04"/>
    <n v="5"/>
    <x v="4"/>
  </r>
  <r>
    <x v="9"/>
    <x v="178"/>
    <x v="9"/>
    <x v="13"/>
    <n v="1"/>
    <n v="0"/>
    <n v="0"/>
    <n v="0"/>
    <n v="0"/>
    <n v="0"/>
    <n v="0"/>
    <m/>
    <m/>
    <m/>
    <m/>
    <m/>
    <m/>
    <m/>
    <m/>
    <m/>
    <m/>
    <m/>
    <m/>
    <m/>
    <m/>
    <m/>
    <m/>
    <m/>
    <m/>
    <m/>
    <m/>
    <m/>
    <m/>
    <m/>
    <m/>
    <m/>
    <m/>
    <m/>
    <m/>
    <n v="5"/>
    <x v="4"/>
  </r>
  <r>
    <x v="6"/>
    <x v="178"/>
    <x v="9"/>
    <x v="251"/>
    <n v="0"/>
    <n v="0"/>
    <n v="0"/>
    <n v="0"/>
    <n v="0"/>
    <n v="0"/>
    <n v="0"/>
    <m/>
    <m/>
    <m/>
    <m/>
    <m/>
    <m/>
    <m/>
    <m/>
    <m/>
    <m/>
    <m/>
    <m/>
    <m/>
    <m/>
    <m/>
    <m/>
    <m/>
    <m/>
    <m/>
    <m/>
    <m/>
    <m/>
    <m/>
    <m/>
    <m/>
    <m/>
    <m/>
    <m/>
    <n v="5"/>
    <x v="4"/>
  </r>
  <r>
    <x v="16"/>
    <x v="179"/>
    <x v="9"/>
    <x v="110"/>
    <n v="66"/>
    <n v="0"/>
    <n v="1"/>
    <n v="5"/>
    <n v="0"/>
    <n v="0"/>
    <n v="38"/>
    <s v="Alisha McGee"/>
    <s v="Collections Group"/>
    <d v="2025-05-14T00:00:00"/>
    <d v="1899-12-30T13:03:16"/>
    <d v="1899-12-30T22:00:06"/>
    <n v="8.9499999999999993"/>
    <n v="8.9499999999999993"/>
    <n v="0.37"/>
    <n v="0"/>
    <n v="0"/>
    <n v="0.18"/>
    <n v="6.97"/>
    <n v="1.42"/>
    <n v="0"/>
    <n v="0"/>
    <n v="0"/>
    <n v="0"/>
    <n v="8.9499999999999993"/>
    <n v="4.16"/>
    <n v="0"/>
    <n v="0"/>
    <n v="2.02"/>
    <n v="77.91"/>
    <n v="15.86"/>
    <n v="0"/>
    <n v="0"/>
    <n v="0"/>
    <n v="0.05"/>
    <n v="4"/>
    <x v="0"/>
  </r>
  <r>
    <x v="0"/>
    <x v="179"/>
    <x v="9"/>
    <x v="113"/>
    <n v="72"/>
    <n v="0"/>
    <n v="3"/>
    <n v="11"/>
    <n v="0"/>
    <n v="0"/>
    <n v="44"/>
    <s v="Anais Orozco"/>
    <s v="Collections Group"/>
    <d v="2025-05-14T00:00:00"/>
    <d v="1899-12-30T13:01:26"/>
    <d v="1899-12-30T22:00:18"/>
    <n v="8.98"/>
    <n v="8.08"/>
    <n v="1.44"/>
    <n v="0.26"/>
    <n v="0"/>
    <n v="0.26"/>
    <n v="5.49"/>
    <n v="0.62"/>
    <n v="0"/>
    <n v="0"/>
    <n v="0"/>
    <n v="0.01"/>
    <n v="8.08"/>
    <n v="17.809999999999999"/>
    <n v="3.23"/>
    <n v="0"/>
    <n v="3.2"/>
    <n v="67.900000000000006"/>
    <n v="7.73"/>
    <n v="0"/>
    <n v="0"/>
    <n v="0"/>
    <n v="0.14000000000000001"/>
    <n v="4"/>
    <x v="0"/>
  </r>
  <r>
    <x v="15"/>
    <x v="179"/>
    <x v="9"/>
    <x v="113"/>
    <n v="51"/>
    <n v="5"/>
    <n v="3"/>
    <n v="8"/>
    <n v="0"/>
    <n v="0"/>
    <n v="23"/>
    <s v="Candace Smith"/>
    <s v="Collections Group"/>
    <d v="2025-05-14T00:00:00"/>
    <d v="1899-12-30T13:00:16"/>
    <d v="1899-12-30T22:04:27"/>
    <n v="9.07"/>
    <n v="9.06"/>
    <n v="2.62"/>
    <n v="0.36"/>
    <n v="0"/>
    <n v="0.23"/>
    <n v="4.34"/>
    <n v="1.49"/>
    <n v="0"/>
    <n v="0"/>
    <n v="0"/>
    <n v="0.02"/>
    <n v="9.06"/>
    <n v="28.94"/>
    <n v="3.97"/>
    <n v="0"/>
    <n v="2.5099999999999998"/>
    <n v="47.87"/>
    <n v="16.45"/>
    <n v="0"/>
    <n v="0"/>
    <n v="0"/>
    <n v="0.26"/>
    <n v="4"/>
    <x v="0"/>
  </r>
  <r>
    <x v="1"/>
    <x v="179"/>
    <x v="9"/>
    <x v="109"/>
    <n v="49"/>
    <n v="7"/>
    <n v="6"/>
    <n v="6"/>
    <n v="0"/>
    <n v="0"/>
    <n v="25"/>
    <s v="Derice Warnsley"/>
    <s v="Collections Group"/>
    <d v="2025-05-14T00:00:00"/>
    <d v="1899-12-30T13:00:40"/>
    <d v="1899-12-30T22:00:02"/>
    <n v="9"/>
    <n v="8.99"/>
    <n v="1.56"/>
    <n v="0.1"/>
    <n v="0"/>
    <n v="0.02"/>
    <n v="5.9"/>
    <n v="1.4"/>
    <n v="0"/>
    <n v="0"/>
    <n v="0"/>
    <n v="0"/>
    <n v="8.99"/>
    <n v="17.399999999999999"/>
    <n v="1.07"/>
    <n v="0"/>
    <n v="0.25"/>
    <n v="65.650000000000006"/>
    <n v="15.58"/>
    <n v="0"/>
    <n v="0"/>
    <n v="0"/>
    <n v="0.05"/>
    <n v="4"/>
    <x v="0"/>
  </r>
  <r>
    <x v="3"/>
    <x v="179"/>
    <x v="9"/>
    <x v="109"/>
    <n v="48"/>
    <n v="4"/>
    <n v="0"/>
    <n v="6"/>
    <n v="1"/>
    <n v="0"/>
    <n v="34"/>
    <s v="Jerrod Coleman"/>
    <s v="Collections Group"/>
    <d v="2025-05-14T00:00:00"/>
    <d v="1899-12-30T13:01:52"/>
    <d v="1899-12-30T17:31:09"/>
    <n v="4.5"/>
    <n v="4.49"/>
    <n v="0.76"/>
    <n v="0.21"/>
    <n v="0"/>
    <n v="0.28000000000000003"/>
    <n v="2.69"/>
    <n v="0.49"/>
    <n v="0"/>
    <n v="0"/>
    <n v="0"/>
    <n v="0.05"/>
    <n v="4.49"/>
    <n v="16.86"/>
    <n v="4.76"/>
    <n v="0"/>
    <n v="6.24"/>
    <n v="60.02"/>
    <n v="10.96"/>
    <n v="0"/>
    <n v="0"/>
    <n v="0"/>
    <n v="1.1599999999999999"/>
    <n v="4"/>
    <x v="0"/>
  </r>
  <r>
    <x v="5"/>
    <x v="179"/>
    <x v="9"/>
    <x v="69"/>
    <n v="93"/>
    <n v="1"/>
    <n v="7"/>
    <n v="6"/>
    <n v="0"/>
    <n v="0"/>
    <n v="55"/>
    <s v="Sabigh Masood"/>
    <s v="Collections Group"/>
    <d v="2025-05-14T00:00:00"/>
    <d v="1899-12-30T13:00:36"/>
    <d v="1899-12-30T22:34:40"/>
    <n v="9.57"/>
    <n v="9.57"/>
    <n v="1.5"/>
    <n v="0.06"/>
    <n v="0"/>
    <n v="0.45"/>
    <n v="6.08"/>
    <n v="1.47"/>
    <n v="0"/>
    <n v="0"/>
    <n v="0"/>
    <n v="0.01"/>
    <n v="9.57"/>
    <n v="15.71"/>
    <n v="0.62"/>
    <n v="0"/>
    <n v="4.71"/>
    <n v="63.51"/>
    <n v="15.32"/>
    <n v="0"/>
    <n v="0"/>
    <n v="0"/>
    <n v="0.14000000000000001"/>
    <n v="4"/>
    <x v="0"/>
  </r>
  <r>
    <x v="6"/>
    <x v="179"/>
    <x v="9"/>
    <x v="252"/>
    <n v="0"/>
    <n v="0"/>
    <n v="0"/>
    <n v="0"/>
    <n v="0"/>
    <n v="0"/>
    <n v="0"/>
    <m/>
    <m/>
    <m/>
    <m/>
    <m/>
    <m/>
    <m/>
    <m/>
    <m/>
    <m/>
    <m/>
    <m/>
    <m/>
    <m/>
    <m/>
    <m/>
    <m/>
    <m/>
    <m/>
    <m/>
    <m/>
    <m/>
    <m/>
    <m/>
    <m/>
    <m/>
    <m/>
    <m/>
    <n v="4"/>
    <x v="0"/>
  </r>
  <r>
    <x v="16"/>
    <x v="180"/>
    <x v="9"/>
    <x v="110"/>
    <n v="59"/>
    <n v="4"/>
    <n v="0"/>
    <n v="11"/>
    <n v="1"/>
    <n v="1"/>
    <n v="29"/>
    <s v="Alisha McGee"/>
    <s v="Collections Group"/>
    <d v="2025-05-13T00:00:00"/>
    <d v="1899-12-30T13:00:20"/>
    <d v="1899-12-30T22:00:36"/>
    <n v="9"/>
    <n v="8.1300000000000008"/>
    <n v="1.28"/>
    <n v="0.05"/>
    <n v="0"/>
    <n v="0.19"/>
    <n v="5.6"/>
    <n v="0.47"/>
    <n v="0.53"/>
    <n v="0"/>
    <n v="0"/>
    <n v="0.01"/>
    <n v="8.1300000000000008"/>
    <n v="15.76"/>
    <n v="0.59"/>
    <n v="0"/>
    <n v="2.2799999999999998"/>
    <n v="68.86"/>
    <n v="5.83"/>
    <n v="6.54"/>
    <n v="0"/>
    <n v="0.06"/>
    <n v="0.08"/>
    <n v="3"/>
    <x v="1"/>
  </r>
  <r>
    <x v="0"/>
    <x v="180"/>
    <x v="9"/>
    <x v="118"/>
    <n v="76"/>
    <n v="9"/>
    <n v="0"/>
    <n v="7"/>
    <n v="1"/>
    <n v="0"/>
    <n v="46"/>
    <s v="Anais Orozco"/>
    <s v="Collections Group"/>
    <d v="2025-05-13T00:00:00"/>
    <d v="1899-12-30T13:02:13"/>
    <d v="1899-12-30T22:00:12"/>
    <n v="8.9700000000000006"/>
    <n v="8.1"/>
    <n v="1.22"/>
    <n v="0.26"/>
    <n v="0"/>
    <n v="0.26"/>
    <n v="5.73"/>
    <n v="0.61"/>
    <n v="0"/>
    <n v="0"/>
    <n v="0"/>
    <n v="0.01"/>
    <n v="8.1"/>
    <n v="15.01"/>
    <n v="3.27"/>
    <n v="0"/>
    <n v="3.23"/>
    <n v="70.8"/>
    <n v="7.52"/>
    <n v="0"/>
    <n v="0"/>
    <n v="0"/>
    <n v="0.17"/>
    <n v="3"/>
    <x v="1"/>
  </r>
  <r>
    <x v="15"/>
    <x v="180"/>
    <x v="9"/>
    <x v="113"/>
    <n v="59"/>
    <n v="3"/>
    <n v="4"/>
    <n v="14"/>
    <n v="0"/>
    <n v="0"/>
    <n v="31"/>
    <s v="Candace Smith"/>
    <s v="Collections Group"/>
    <d v="2025-05-13T00:00:00"/>
    <d v="1899-12-30T13:01:27"/>
    <d v="1899-12-30T22:04:52"/>
    <n v="9.0500000000000007"/>
    <n v="9.06"/>
    <n v="2.25"/>
    <n v="0.19"/>
    <n v="0"/>
    <n v="0.28999999999999998"/>
    <n v="4.04"/>
    <n v="1.52"/>
    <n v="0.76"/>
    <n v="0"/>
    <n v="0"/>
    <n v="0"/>
    <n v="9.06"/>
    <n v="24.88"/>
    <n v="2.12"/>
    <n v="0"/>
    <n v="3.18"/>
    <n v="44.57"/>
    <n v="16.760000000000002"/>
    <n v="8.44"/>
    <n v="0"/>
    <n v="0"/>
    <n v="0.05"/>
    <n v="3"/>
    <x v="1"/>
  </r>
  <r>
    <x v="1"/>
    <x v="180"/>
    <x v="9"/>
    <x v="113"/>
    <n v="63"/>
    <n v="6"/>
    <n v="2"/>
    <n v="9"/>
    <n v="0"/>
    <n v="0"/>
    <n v="40"/>
    <s v="Derice Warnsley"/>
    <s v="Collections Group"/>
    <d v="2025-05-13T00:00:00"/>
    <d v="1899-12-30T13:00:13"/>
    <d v="1899-12-30T22:00:01"/>
    <n v="9"/>
    <n v="9"/>
    <n v="1.24"/>
    <n v="0"/>
    <n v="0"/>
    <n v="0.02"/>
    <n v="6.25"/>
    <n v="1.47"/>
    <n v="0"/>
    <n v="0"/>
    <n v="0"/>
    <n v="0"/>
    <n v="9"/>
    <n v="13.79"/>
    <n v="0"/>
    <n v="0"/>
    <n v="0.27"/>
    <n v="69.52"/>
    <n v="16.38"/>
    <n v="0"/>
    <n v="0"/>
    <n v="0"/>
    <n v="0.04"/>
    <n v="3"/>
    <x v="1"/>
  </r>
  <r>
    <x v="3"/>
    <x v="180"/>
    <x v="9"/>
    <x v="90"/>
    <n v="59"/>
    <n v="9"/>
    <n v="11"/>
    <n v="8"/>
    <n v="1"/>
    <n v="0"/>
    <n v="24"/>
    <s v="Jerrod Coleman"/>
    <s v="Collections Group"/>
    <d v="2025-05-13T00:00:00"/>
    <d v="1899-12-30T13:03:21"/>
    <d v="1899-12-30T22:00:06"/>
    <n v="8.9499999999999993"/>
    <n v="8.9499999999999993"/>
    <n v="1.32"/>
    <n v="0"/>
    <n v="0"/>
    <n v="0.22"/>
    <n v="5.45"/>
    <n v="1.51"/>
    <n v="0.44"/>
    <n v="0"/>
    <n v="0"/>
    <n v="0"/>
    <n v="8.9499999999999993"/>
    <n v="14.78"/>
    <n v="0"/>
    <n v="0"/>
    <n v="2.4700000000000002"/>
    <n v="60.91"/>
    <n v="16.829999999999998"/>
    <n v="4.96"/>
    <n v="0"/>
    <n v="0"/>
    <n v="0.05"/>
    <n v="3"/>
    <x v="1"/>
  </r>
  <r>
    <x v="5"/>
    <x v="180"/>
    <x v="9"/>
    <x v="90"/>
    <n v="86"/>
    <n v="3"/>
    <n v="3"/>
    <n v="12"/>
    <n v="0"/>
    <n v="0"/>
    <n v="54"/>
    <s v="Sabigh Masood"/>
    <s v="Collections Group"/>
    <d v="2025-05-13T00:00:00"/>
    <d v="1899-12-30T12:59:17"/>
    <d v="1899-12-30T18:08:18"/>
    <n v="5.15"/>
    <n v="5.15"/>
    <n v="0.89"/>
    <n v="0.23"/>
    <n v="0"/>
    <n v="0.21"/>
    <n v="3.43"/>
    <n v="0.28000000000000003"/>
    <n v="0.11"/>
    <n v="0"/>
    <n v="0"/>
    <n v="0.01"/>
    <n v="5.15"/>
    <n v="17.23"/>
    <n v="4.41"/>
    <n v="0"/>
    <n v="4.07"/>
    <n v="66.569999999999993"/>
    <n v="5.36"/>
    <n v="2.17"/>
    <n v="0"/>
    <n v="0"/>
    <n v="0.18"/>
    <n v="3"/>
    <x v="1"/>
  </r>
  <r>
    <x v="6"/>
    <x v="180"/>
    <x v="9"/>
    <x v="255"/>
    <n v="0"/>
    <n v="0"/>
    <n v="0"/>
    <n v="0"/>
    <n v="0"/>
    <n v="0"/>
    <n v="0"/>
    <m/>
    <m/>
    <m/>
    <m/>
    <m/>
    <m/>
    <m/>
    <m/>
    <m/>
    <m/>
    <m/>
    <m/>
    <m/>
    <m/>
    <m/>
    <m/>
    <m/>
    <m/>
    <m/>
    <m/>
    <m/>
    <m/>
    <m/>
    <m/>
    <m/>
    <m/>
    <m/>
    <m/>
    <n v="3"/>
    <x v="1"/>
  </r>
  <r>
    <x v="16"/>
    <x v="181"/>
    <x v="9"/>
    <x v="74"/>
    <n v="51"/>
    <n v="3"/>
    <n v="0"/>
    <n v="4"/>
    <n v="0"/>
    <n v="0"/>
    <n v="36"/>
    <s v="Alisha McGee"/>
    <s v="Collections Group"/>
    <d v="2025-05-12T00:00:00"/>
    <d v="1899-12-30T12:58:22"/>
    <d v="1899-12-30T22:00:08"/>
    <n v="9.0299999999999994"/>
    <n v="9.0299999999999994"/>
    <n v="1"/>
    <n v="0"/>
    <n v="0"/>
    <n v="0.13"/>
    <n v="6.44"/>
    <n v="1.45"/>
    <n v="0"/>
    <n v="0"/>
    <n v="0"/>
    <n v="0"/>
    <n v="9.0299999999999994"/>
    <n v="11.08"/>
    <n v="0"/>
    <n v="0"/>
    <n v="1.42"/>
    <n v="71.36"/>
    <n v="16.100000000000001"/>
    <n v="0"/>
    <n v="0"/>
    <n v="0"/>
    <n v="0.05"/>
    <n v="2"/>
    <x v="2"/>
  </r>
  <r>
    <x v="0"/>
    <x v="181"/>
    <x v="9"/>
    <x v="108"/>
    <n v="67"/>
    <n v="0"/>
    <n v="2"/>
    <n v="7"/>
    <n v="0"/>
    <n v="7"/>
    <n v="37"/>
    <s v="Anais Orozco"/>
    <s v="Collections Group"/>
    <d v="2025-05-12T00:00:00"/>
    <d v="1899-12-30T13:01:07"/>
    <d v="1899-12-30T22:00:15"/>
    <n v="8.98"/>
    <n v="8.0500000000000007"/>
    <n v="1.45"/>
    <n v="0.48"/>
    <n v="0"/>
    <n v="0.24"/>
    <n v="5.37"/>
    <n v="0.5"/>
    <n v="0"/>
    <n v="0"/>
    <n v="0"/>
    <n v="0.01"/>
    <n v="8.0500000000000007"/>
    <n v="17.989999999999998"/>
    <n v="5.93"/>
    <n v="0"/>
    <n v="2.94"/>
    <n v="66.72"/>
    <n v="6.26"/>
    <n v="0"/>
    <n v="0"/>
    <n v="0"/>
    <n v="0.16"/>
    <n v="2"/>
    <x v="2"/>
  </r>
  <r>
    <x v="15"/>
    <x v="181"/>
    <x v="9"/>
    <x v="108"/>
    <n v="50"/>
    <n v="3"/>
    <n v="5"/>
    <n v="7"/>
    <n v="0"/>
    <n v="1"/>
    <n v="18"/>
    <s v="Candace Smith"/>
    <s v="Collections Group"/>
    <d v="2025-05-12T00:00:00"/>
    <d v="1899-12-30T13:01:05"/>
    <d v="1899-12-30T22:13:35"/>
    <n v="9.1999999999999993"/>
    <n v="9.2100000000000009"/>
    <n v="1.94"/>
    <n v="0.26"/>
    <n v="0"/>
    <n v="0.27"/>
    <n v="4.9000000000000004"/>
    <n v="1.54"/>
    <n v="0.3"/>
    <n v="0"/>
    <n v="0"/>
    <n v="0.01"/>
    <n v="9.2100000000000009"/>
    <n v="21.1"/>
    <n v="2.78"/>
    <n v="0"/>
    <n v="2.94"/>
    <n v="53.18"/>
    <n v="16.68"/>
    <n v="3.22"/>
    <n v="0"/>
    <n v="0"/>
    <n v="0.1"/>
    <n v="2"/>
    <x v="2"/>
  </r>
  <r>
    <x v="1"/>
    <x v="181"/>
    <x v="9"/>
    <x v="113"/>
    <n v="69"/>
    <n v="2"/>
    <n v="2"/>
    <n v="2"/>
    <n v="0"/>
    <n v="0"/>
    <n v="47"/>
    <s v="Derice Warnsley"/>
    <s v="Collections Group"/>
    <d v="2025-05-12T00:00:00"/>
    <d v="1899-12-30T13:00:37"/>
    <d v="1899-12-30T22:00:05"/>
    <n v="9"/>
    <n v="8.99"/>
    <n v="0.49"/>
    <n v="7.0000000000000007E-2"/>
    <n v="0"/>
    <n v="0.02"/>
    <n v="6.92"/>
    <n v="1.48"/>
    <n v="0"/>
    <n v="0"/>
    <n v="0"/>
    <n v="0"/>
    <n v="8.99"/>
    <n v="5.5"/>
    <n v="0.75"/>
    <n v="0"/>
    <n v="0.27"/>
    <n v="76.94"/>
    <n v="16.48"/>
    <n v="0"/>
    <n v="0"/>
    <n v="0"/>
    <n v="0.05"/>
    <n v="2"/>
    <x v="2"/>
  </r>
  <r>
    <x v="3"/>
    <x v="181"/>
    <x v="9"/>
    <x v="118"/>
    <n v="68"/>
    <n v="10"/>
    <n v="2"/>
    <n v="2"/>
    <n v="0"/>
    <n v="1"/>
    <n v="44"/>
    <s v="Jerrod Coleman"/>
    <s v="Collections Group"/>
    <d v="2025-05-12T00:00:00"/>
    <d v="1899-12-30T13:02:45"/>
    <d v="1899-12-30T22:00:08"/>
    <n v="8.9700000000000006"/>
    <n v="8.9600000000000009"/>
    <n v="1.06"/>
    <n v="0.18"/>
    <n v="0"/>
    <n v="0.34"/>
    <n v="5.9"/>
    <n v="1.48"/>
    <n v="0"/>
    <n v="0"/>
    <n v="0"/>
    <n v="0.01"/>
    <n v="8.9600000000000009"/>
    <n v="11.84"/>
    <n v="1.98"/>
    <n v="0"/>
    <n v="3.75"/>
    <n v="65.86"/>
    <n v="16.5"/>
    <n v="0"/>
    <n v="0"/>
    <n v="0"/>
    <n v="0.06"/>
    <n v="2"/>
    <x v="2"/>
  </r>
  <r>
    <x v="4"/>
    <x v="181"/>
    <x v="9"/>
    <x v="13"/>
    <n v="1"/>
    <n v="0"/>
    <n v="0"/>
    <n v="0"/>
    <n v="0"/>
    <n v="0"/>
    <n v="0"/>
    <s v="Rosette Rwabugahya"/>
    <s v="Collections Group"/>
    <d v="2025-05-12T00:00:00"/>
    <d v="1899-12-30T21:40:04"/>
    <d v="1899-12-30T21:42:45"/>
    <n v="0.03"/>
    <n v="0.04"/>
    <n v="0.03"/>
    <n v="0"/>
    <n v="0"/>
    <n v="0.01"/>
    <n v="0"/>
    <n v="0"/>
    <n v="0"/>
    <n v="0"/>
    <n v="0"/>
    <n v="0.01"/>
    <n v="0.04"/>
    <n v="65.84"/>
    <n v="0"/>
    <n v="0"/>
    <n v="21.12"/>
    <n v="0"/>
    <n v="0"/>
    <n v="0"/>
    <n v="0"/>
    <n v="0"/>
    <n v="13.04"/>
    <n v="2"/>
    <x v="2"/>
  </r>
  <r>
    <x v="5"/>
    <x v="181"/>
    <x v="9"/>
    <x v="69"/>
    <n v="85"/>
    <n v="6"/>
    <n v="2"/>
    <n v="2"/>
    <n v="1"/>
    <n v="0"/>
    <n v="50"/>
    <s v="Sabigh Masood"/>
    <s v="Collections Group"/>
    <d v="2025-05-12T00:00:00"/>
    <d v="1899-12-30T12:59:39"/>
    <d v="1899-12-30T22:00:05"/>
    <n v="9.02"/>
    <n v="9.01"/>
    <n v="0.64"/>
    <n v="0.32"/>
    <n v="0"/>
    <n v="0.43"/>
    <n v="6.12"/>
    <n v="1.49"/>
    <n v="0"/>
    <n v="0"/>
    <n v="0"/>
    <n v="0"/>
    <n v="9.01"/>
    <n v="7.14"/>
    <n v="3.6"/>
    <n v="0"/>
    <n v="4.74"/>
    <n v="67.97"/>
    <n v="16.510000000000002"/>
    <n v="0"/>
    <n v="0"/>
    <n v="0"/>
    <n v="0.04"/>
    <n v="2"/>
    <x v="2"/>
  </r>
  <r>
    <x v="6"/>
    <x v="181"/>
    <x v="9"/>
    <x v="256"/>
    <n v="0"/>
    <n v="0"/>
    <n v="0"/>
    <n v="0"/>
    <n v="0"/>
    <n v="0"/>
    <n v="0"/>
    <m/>
    <m/>
    <m/>
    <m/>
    <m/>
    <m/>
    <m/>
    <m/>
    <m/>
    <m/>
    <m/>
    <m/>
    <m/>
    <m/>
    <m/>
    <m/>
    <m/>
    <m/>
    <m/>
    <m/>
    <m/>
    <m/>
    <m/>
    <m/>
    <m/>
    <m/>
    <m/>
    <m/>
    <n v="2"/>
    <x v="2"/>
  </r>
  <r>
    <x v="16"/>
    <x v="182"/>
    <x v="9"/>
    <x v="120"/>
    <n v="48"/>
    <n v="3"/>
    <n v="1"/>
    <n v="3"/>
    <n v="0"/>
    <n v="0"/>
    <n v="33"/>
    <s v="Alisha McGee"/>
    <s v="Collections Group"/>
    <d v="2025-05-09T00:00:00"/>
    <d v="1899-12-30T13:00:11"/>
    <d v="1899-12-30T22:00:54"/>
    <n v="9"/>
    <n v="9.01"/>
    <n v="0.89"/>
    <n v="0"/>
    <n v="0"/>
    <n v="0.28000000000000003"/>
    <n v="6.16"/>
    <n v="1.52"/>
    <n v="0.16"/>
    <n v="0"/>
    <n v="0"/>
    <n v="0.01"/>
    <n v="9.01"/>
    <n v="9.8800000000000008"/>
    <n v="0"/>
    <n v="0"/>
    <n v="3.07"/>
    <n v="68.33"/>
    <n v="16.829999999999998"/>
    <n v="1.78"/>
    <n v="0"/>
    <n v="0"/>
    <n v="0.11"/>
    <n v="6"/>
    <x v="3"/>
  </r>
  <r>
    <x v="0"/>
    <x v="182"/>
    <x v="9"/>
    <x v="120"/>
    <n v="43"/>
    <n v="0"/>
    <n v="0"/>
    <n v="2"/>
    <n v="0"/>
    <n v="0"/>
    <n v="29"/>
    <s v="Anais Orozco"/>
    <s v="Collections Group"/>
    <d v="2025-05-09T00:00:00"/>
    <d v="1899-12-30T12:59:31"/>
    <d v="1899-12-30T22:00:08"/>
    <n v="9.02"/>
    <n v="8.19"/>
    <n v="0.42"/>
    <n v="0"/>
    <n v="0"/>
    <n v="0.11"/>
    <n v="6.97"/>
    <n v="0.63"/>
    <n v="0"/>
    <n v="0"/>
    <n v="0"/>
    <n v="0.05"/>
    <n v="8.19"/>
    <n v="5.0999999999999996"/>
    <n v="0"/>
    <n v="0"/>
    <n v="1.39"/>
    <n v="85.16"/>
    <n v="7.74"/>
    <n v="0"/>
    <n v="0"/>
    <n v="0"/>
    <n v="0.61"/>
    <n v="6"/>
    <x v="3"/>
  </r>
  <r>
    <x v="15"/>
    <x v="182"/>
    <x v="9"/>
    <x v="114"/>
    <n v="29"/>
    <n v="0"/>
    <n v="0"/>
    <n v="3"/>
    <n v="0"/>
    <n v="0"/>
    <n v="24"/>
    <s v="Candace Smith"/>
    <s v="Collections Group"/>
    <d v="2025-05-09T00:00:00"/>
    <d v="1899-12-30T15:09:52"/>
    <d v="1899-12-30T22:02:10"/>
    <n v="6.88"/>
    <n v="6.73"/>
    <n v="0.5"/>
    <n v="0.36"/>
    <n v="0"/>
    <n v="0.05"/>
    <n v="4.32"/>
    <n v="1.31"/>
    <n v="0.15"/>
    <n v="0"/>
    <n v="0"/>
    <n v="0.05"/>
    <n v="6.73"/>
    <n v="7.5"/>
    <n v="5.3"/>
    <n v="0"/>
    <n v="0.71"/>
    <n v="64.17"/>
    <n v="19.440000000000001"/>
    <n v="2.2000000000000002"/>
    <n v="0"/>
    <n v="0"/>
    <n v="0.68"/>
    <n v="6"/>
    <x v="3"/>
  </r>
  <r>
    <x v="1"/>
    <x v="182"/>
    <x v="9"/>
    <x v="73"/>
    <n v="48"/>
    <n v="2"/>
    <n v="0"/>
    <n v="3"/>
    <n v="0"/>
    <n v="0"/>
    <n v="34"/>
    <s v="Derice Warnsley"/>
    <s v="Collections Group"/>
    <d v="2025-05-09T00:00:00"/>
    <d v="1899-12-30T13:00:13"/>
    <d v="1899-12-30T22:00:01"/>
    <n v="9"/>
    <n v="9"/>
    <n v="0.97"/>
    <n v="0"/>
    <n v="0"/>
    <n v="0.02"/>
    <n v="6.53"/>
    <n v="1.47"/>
    <n v="0"/>
    <n v="0"/>
    <n v="0"/>
    <n v="0"/>
    <n v="9"/>
    <n v="10.74"/>
    <n v="0"/>
    <n v="0"/>
    <n v="0.22"/>
    <n v="72.62"/>
    <n v="16.39"/>
    <n v="0"/>
    <n v="0"/>
    <n v="0"/>
    <n v="0.04"/>
    <n v="6"/>
    <x v="3"/>
  </r>
  <r>
    <x v="3"/>
    <x v="182"/>
    <x v="9"/>
    <x v="113"/>
    <n v="58"/>
    <n v="1"/>
    <n v="1"/>
    <n v="3"/>
    <n v="0"/>
    <n v="0"/>
    <n v="40"/>
    <s v="Jerrod Coleman"/>
    <s v="Collections Group"/>
    <d v="2025-05-09T00:00:00"/>
    <d v="1899-12-30T13:03:05"/>
    <d v="1899-12-30T22:00:04"/>
    <n v="8.9499999999999993"/>
    <n v="8.08"/>
    <n v="0.46"/>
    <n v="0.42"/>
    <n v="0"/>
    <n v="0.17"/>
    <n v="6.45"/>
    <n v="0.56000000000000005"/>
    <n v="0"/>
    <n v="0"/>
    <n v="0"/>
    <n v="0.02"/>
    <n v="8.08"/>
    <n v="5.65"/>
    <n v="5.21"/>
    <n v="0"/>
    <n v="2.13"/>
    <n v="79.8"/>
    <n v="6.94"/>
    <n v="0"/>
    <n v="0"/>
    <n v="0"/>
    <n v="0.28000000000000003"/>
    <n v="6"/>
    <x v="3"/>
  </r>
  <r>
    <x v="5"/>
    <x v="182"/>
    <x v="9"/>
    <x v="110"/>
    <n v="56"/>
    <n v="3"/>
    <n v="0"/>
    <n v="6"/>
    <n v="0"/>
    <n v="2"/>
    <n v="33"/>
    <s v="Sabigh Masood"/>
    <s v="Collections Group"/>
    <d v="2025-05-09T00:00:00"/>
    <d v="1899-12-30T12:59:28"/>
    <d v="1899-12-30T22:01:31"/>
    <n v="9.0299999999999994"/>
    <n v="9.0299999999999994"/>
    <n v="0.67"/>
    <n v="0.41"/>
    <n v="0"/>
    <n v="0.2"/>
    <n v="5.89"/>
    <n v="1.86"/>
    <n v="0"/>
    <n v="0"/>
    <n v="0"/>
    <n v="0"/>
    <n v="9.0299999999999994"/>
    <n v="7.37"/>
    <n v="4.5199999999999996"/>
    <n v="0"/>
    <n v="2.25"/>
    <n v="65.25"/>
    <n v="20.58"/>
    <n v="0"/>
    <n v="0"/>
    <n v="0"/>
    <n v="0.04"/>
    <n v="6"/>
    <x v="3"/>
  </r>
  <r>
    <x v="6"/>
    <x v="182"/>
    <x v="9"/>
    <x v="257"/>
    <n v="0"/>
    <n v="0"/>
    <n v="0"/>
    <n v="0"/>
    <n v="0"/>
    <n v="0"/>
    <n v="0"/>
    <m/>
    <m/>
    <m/>
    <m/>
    <m/>
    <m/>
    <m/>
    <m/>
    <m/>
    <m/>
    <m/>
    <m/>
    <m/>
    <m/>
    <m/>
    <m/>
    <m/>
    <m/>
    <m/>
    <m/>
    <m/>
    <m/>
    <m/>
    <m/>
    <m/>
    <m/>
    <m/>
    <m/>
    <n v="6"/>
    <x v="3"/>
  </r>
  <r>
    <x v="16"/>
    <x v="183"/>
    <x v="9"/>
    <x v="104"/>
    <n v="78"/>
    <n v="6"/>
    <n v="0"/>
    <n v="12"/>
    <n v="0"/>
    <n v="0"/>
    <n v="42"/>
    <s v="Alisha McGee"/>
    <s v="Collections Group"/>
    <d v="2025-05-08T00:00:00"/>
    <d v="1899-12-30T13:01:07"/>
    <d v="1899-12-30T22:00:38"/>
    <n v="8.98"/>
    <n v="8.99"/>
    <n v="0.8"/>
    <n v="0"/>
    <n v="0"/>
    <n v="0.05"/>
    <n v="6.13"/>
    <n v="1.31"/>
    <n v="0.62"/>
    <n v="0"/>
    <n v="0.06"/>
    <n v="0.01"/>
    <n v="8.99"/>
    <n v="8.92"/>
    <n v="0"/>
    <n v="0"/>
    <n v="0.61"/>
    <n v="68.16"/>
    <n v="14.6"/>
    <n v="6.93"/>
    <n v="0"/>
    <n v="0.71"/>
    <n v="7.0000000000000007E-2"/>
    <n v="5"/>
    <x v="4"/>
  </r>
  <r>
    <x v="0"/>
    <x v="183"/>
    <x v="9"/>
    <x v="114"/>
    <n v="55"/>
    <n v="1"/>
    <n v="0"/>
    <n v="4"/>
    <n v="0"/>
    <n v="0"/>
    <n v="33"/>
    <s v="Anais Orozco"/>
    <s v="Collections Group"/>
    <d v="2025-05-08T00:00:00"/>
    <d v="1899-12-30T13:00:58"/>
    <d v="1899-12-30T18:06:34"/>
    <n v="5.0999999999999996"/>
    <n v="5.09"/>
    <n v="0.21"/>
    <n v="0.21"/>
    <n v="0"/>
    <n v="0.11"/>
    <n v="3.62"/>
    <n v="0.33"/>
    <n v="0.61"/>
    <n v="0"/>
    <n v="0"/>
    <n v="0.01"/>
    <n v="5.09"/>
    <n v="4.1100000000000003"/>
    <n v="4.1100000000000003"/>
    <n v="0"/>
    <n v="2.0699999999999998"/>
    <n v="71.14"/>
    <n v="6.45"/>
    <n v="12.01"/>
    <n v="0"/>
    <n v="0"/>
    <n v="0.1"/>
    <n v="5"/>
    <x v="4"/>
  </r>
  <r>
    <x v="15"/>
    <x v="183"/>
    <x v="9"/>
    <x v="76"/>
    <n v="45"/>
    <n v="4"/>
    <n v="0"/>
    <n v="13"/>
    <n v="0"/>
    <n v="0"/>
    <n v="11"/>
    <s v="Candace Smith"/>
    <s v="Collections Group"/>
    <d v="2025-05-08T00:00:00"/>
    <d v="1899-12-30T13:00:32"/>
    <d v="1899-12-30T23:20:24"/>
    <n v="10.33"/>
    <n v="10.33"/>
    <n v="1.95"/>
    <n v="0.19"/>
    <n v="0"/>
    <n v="0.18"/>
    <n v="5.29"/>
    <n v="1.51"/>
    <n v="1.21"/>
    <n v="0"/>
    <n v="0.01"/>
    <n v="0.01"/>
    <n v="10.33"/>
    <n v="18.829999999999998"/>
    <n v="1.81"/>
    <n v="0"/>
    <n v="1.71"/>
    <n v="51.22"/>
    <n v="14.6"/>
    <n v="11.71"/>
    <n v="0"/>
    <n v="0.05"/>
    <n v="0.06"/>
    <n v="5"/>
    <x v="4"/>
  </r>
  <r>
    <x v="1"/>
    <x v="183"/>
    <x v="9"/>
    <x v="104"/>
    <n v="62"/>
    <n v="10"/>
    <n v="0"/>
    <n v="9"/>
    <n v="0"/>
    <n v="0"/>
    <n v="32"/>
    <s v="Derice Warnsley"/>
    <s v="Collections Group"/>
    <d v="2025-05-08T00:00:00"/>
    <d v="1899-12-30T13:00:04"/>
    <d v="1899-12-30T22:00:04"/>
    <n v="9"/>
    <n v="9"/>
    <n v="1.1599999999999999"/>
    <n v="0.02"/>
    <n v="0"/>
    <n v="0.02"/>
    <n v="5.72"/>
    <n v="1.47"/>
    <n v="0.6"/>
    <n v="0"/>
    <n v="0"/>
    <n v="0"/>
    <n v="9"/>
    <n v="12.93"/>
    <n v="0.21"/>
    <n v="0"/>
    <n v="0.24"/>
    <n v="63.58"/>
    <n v="16.32"/>
    <n v="6.69"/>
    <n v="0"/>
    <n v="0"/>
    <n v="0.04"/>
    <n v="5"/>
    <x v="4"/>
  </r>
  <r>
    <x v="3"/>
    <x v="183"/>
    <x v="9"/>
    <x v="104"/>
    <n v="91"/>
    <n v="2"/>
    <n v="2"/>
    <n v="6"/>
    <n v="0"/>
    <n v="4"/>
    <n v="63"/>
    <s v="Jerrod Coleman"/>
    <s v="Collections Group"/>
    <d v="2025-05-08T00:00:00"/>
    <d v="1899-12-30T13:02:05"/>
    <d v="1899-12-30T21:59:18"/>
    <n v="8.9499999999999993"/>
    <n v="8.9499999999999993"/>
    <n v="0.35"/>
    <n v="0"/>
    <n v="0"/>
    <n v="7.0000000000000007E-2"/>
    <n v="6.38"/>
    <n v="1.49"/>
    <n v="0.64"/>
    <n v="0"/>
    <n v="0"/>
    <n v="0.02"/>
    <n v="8.9499999999999993"/>
    <n v="3.95"/>
    <n v="0"/>
    <n v="0"/>
    <n v="0.77"/>
    <n v="71.3"/>
    <n v="16.600000000000001"/>
    <n v="7.13"/>
    <n v="0"/>
    <n v="0"/>
    <n v="0.25"/>
    <n v="5"/>
    <x v="4"/>
  </r>
  <r>
    <x v="5"/>
    <x v="183"/>
    <x v="9"/>
    <x v="74"/>
    <n v="59"/>
    <n v="5"/>
    <n v="0"/>
    <n v="4"/>
    <n v="0"/>
    <n v="0"/>
    <n v="35"/>
    <s v="Sabigh Masood"/>
    <s v="Collections Group"/>
    <d v="2025-05-08T00:00:00"/>
    <d v="1899-12-30T12:59:41"/>
    <d v="1899-12-30T22:01:02"/>
    <n v="9.0299999999999994"/>
    <n v="9.02"/>
    <n v="0.67"/>
    <n v="0.15"/>
    <n v="0"/>
    <n v="0.26"/>
    <n v="5.41"/>
    <n v="1.48"/>
    <n v="0.91"/>
    <n v="0"/>
    <n v="0.15"/>
    <n v="0"/>
    <n v="9.02"/>
    <n v="7.41"/>
    <n v="1.63"/>
    <n v="0"/>
    <n v="2.93"/>
    <n v="59.91"/>
    <n v="16.350000000000001"/>
    <n v="10.07"/>
    <n v="0"/>
    <n v="1.66"/>
    <n v="0.04"/>
    <n v="5"/>
    <x v="4"/>
  </r>
  <r>
    <x v="6"/>
    <x v="183"/>
    <x v="9"/>
    <x v="258"/>
    <n v="0"/>
    <n v="0"/>
    <n v="0"/>
    <n v="0"/>
    <n v="0"/>
    <n v="0"/>
    <n v="0"/>
    <m/>
    <m/>
    <m/>
    <m/>
    <m/>
    <m/>
    <m/>
    <m/>
    <m/>
    <m/>
    <m/>
    <m/>
    <m/>
    <m/>
    <m/>
    <m/>
    <m/>
    <m/>
    <m/>
    <m/>
    <m/>
    <m/>
    <m/>
    <m/>
    <m/>
    <m/>
    <m/>
    <m/>
    <n v="5"/>
    <x v="4"/>
  </r>
  <r>
    <x v="16"/>
    <x v="184"/>
    <x v="9"/>
    <x v="74"/>
    <n v="40"/>
    <n v="3"/>
    <n v="3"/>
    <n v="6"/>
    <n v="0"/>
    <n v="0"/>
    <n v="22"/>
    <s v="Alisha McGee"/>
    <s v="Collections Group"/>
    <d v="2025-05-07T00:00:00"/>
    <d v="1899-12-30T13:00:15"/>
    <d v="1899-12-30T22:00:04"/>
    <n v="9"/>
    <n v="9"/>
    <n v="1.36"/>
    <n v="0"/>
    <n v="0"/>
    <n v="0.15"/>
    <n v="5.96"/>
    <n v="1.32"/>
    <n v="0.19"/>
    <n v="0"/>
    <n v="0"/>
    <n v="0.01"/>
    <n v="9"/>
    <n v="15.13"/>
    <n v="0"/>
    <n v="0"/>
    <n v="1.7"/>
    <n v="66.22"/>
    <n v="14.69"/>
    <n v="2.16"/>
    <n v="0"/>
    <n v="0"/>
    <n v="0.09"/>
    <n v="4"/>
    <x v="0"/>
  </r>
  <r>
    <x v="0"/>
    <x v="184"/>
    <x v="9"/>
    <x v="108"/>
    <n v="73"/>
    <n v="4"/>
    <n v="0"/>
    <n v="2"/>
    <n v="2"/>
    <n v="0"/>
    <n v="49"/>
    <s v="Anais Orozco"/>
    <s v="Collections Group"/>
    <d v="2025-05-07T00:00:00"/>
    <d v="1899-12-30T13:01:54"/>
    <d v="1899-12-30T22:00:06"/>
    <n v="8.98"/>
    <n v="7.86"/>
    <n v="0.73"/>
    <n v="0.17"/>
    <n v="0"/>
    <n v="0.31"/>
    <n v="6.23"/>
    <n v="0.38"/>
    <n v="0"/>
    <n v="0"/>
    <n v="0"/>
    <n v="0.03"/>
    <n v="7.86"/>
    <n v="9.34"/>
    <n v="2.21"/>
    <n v="0"/>
    <n v="3.92"/>
    <n v="79.28"/>
    <n v="4.83"/>
    <n v="0"/>
    <n v="0"/>
    <n v="0"/>
    <n v="0.42"/>
    <n v="4"/>
    <x v="0"/>
  </r>
  <r>
    <x v="15"/>
    <x v="184"/>
    <x v="9"/>
    <x v="113"/>
    <n v="142"/>
    <n v="2"/>
    <n v="0"/>
    <n v="44"/>
    <n v="0"/>
    <n v="0"/>
    <n v="77"/>
    <s v="Candace Smith"/>
    <s v="Collections Group"/>
    <d v="2025-05-07T00:00:00"/>
    <d v="1899-12-30T12:56:23"/>
    <d v="1899-12-30T22:00:08"/>
    <n v="9.07"/>
    <n v="9.0500000000000007"/>
    <n v="1.21"/>
    <n v="0.3"/>
    <n v="0"/>
    <n v="0.26"/>
    <n v="5.03"/>
    <n v="1.5"/>
    <n v="0.74"/>
    <n v="0"/>
    <n v="0"/>
    <n v="0.01"/>
    <n v="9.0500000000000007"/>
    <n v="13.37"/>
    <n v="3.35"/>
    <n v="0"/>
    <n v="2.84"/>
    <n v="55.58"/>
    <n v="16.61"/>
    <n v="8.16"/>
    <n v="0"/>
    <n v="0"/>
    <n v="0.08"/>
    <n v="4"/>
    <x v="0"/>
  </r>
  <r>
    <x v="1"/>
    <x v="184"/>
    <x v="9"/>
    <x v="108"/>
    <n v="62"/>
    <n v="6"/>
    <n v="8"/>
    <n v="13"/>
    <n v="0"/>
    <n v="0"/>
    <n v="31"/>
    <s v="Derice Warnsley"/>
    <s v="Collections Group"/>
    <d v="2025-05-07T00:00:00"/>
    <d v="1899-12-30T13:00:09"/>
    <d v="1899-12-30T22:00:04"/>
    <n v="9"/>
    <n v="9.0299999999999994"/>
    <n v="1.54"/>
    <n v="0.19"/>
    <n v="0"/>
    <n v="0.03"/>
    <n v="5.85"/>
    <n v="1.42"/>
    <n v="0"/>
    <n v="0"/>
    <n v="0"/>
    <n v="0"/>
    <n v="9.0299999999999994"/>
    <n v="17.079999999999998"/>
    <n v="2.0699999999999998"/>
    <n v="0"/>
    <n v="0.33"/>
    <n v="64.739999999999995"/>
    <n v="15.73"/>
    <n v="0"/>
    <n v="0"/>
    <n v="0"/>
    <n v="0.05"/>
    <n v="4"/>
    <x v="0"/>
  </r>
  <r>
    <x v="3"/>
    <x v="184"/>
    <x v="9"/>
    <x v="118"/>
    <n v="71"/>
    <n v="2"/>
    <n v="5"/>
    <n v="17"/>
    <n v="0"/>
    <n v="1"/>
    <n v="35"/>
    <s v="Jerrod Coleman"/>
    <s v="Collections Group"/>
    <d v="2025-05-07T00:00:00"/>
    <d v="1899-12-30T13:30:12"/>
    <d v="1899-12-30T22:03:19"/>
    <n v="8.5500000000000007"/>
    <n v="8.5500000000000007"/>
    <n v="1.28"/>
    <n v="0.05"/>
    <n v="0"/>
    <n v="0.22"/>
    <n v="5.55"/>
    <n v="1.44"/>
    <n v="0"/>
    <n v="0"/>
    <n v="0"/>
    <n v="0.01"/>
    <n v="8.5500000000000007"/>
    <n v="15.02"/>
    <n v="0.59"/>
    <n v="0"/>
    <n v="2.58"/>
    <n v="64.87"/>
    <n v="16.88"/>
    <n v="0"/>
    <n v="0"/>
    <n v="0"/>
    <n v="0.06"/>
    <n v="4"/>
    <x v="0"/>
  </r>
  <r>
    <x v="4"/>
    <x v="184"/>
    <x v="9"/>
    <x v="13"/>
    <n v="1"/>
    <n v="0"/>
    <n v="0"/>
    <n v="1"/>
    <n v="0"/>
    <n v="0"/>
    <n v="0"/>
    <s v="Rosette Rwabugahya"/>
    <s v="Collections Group"/>
    <d v="2025-05-07T00:00:00"/>
    <d v="1899-12-30T19:09:14"/>
    <d v="1899-12-30T21:16:02"/>
    <n v="2.12"/>
    <n v="2.11"/>
    <n v="2.0699999999999998"/>
    <n v="0"/>
    <n v="0"/>
    <n v="0.04"/>
    <n v="0"/>
    <n v="0"/>
    <n v="0"/>
    <n v="0"/>
    <n v="0"/>
    <n v="0"/>
    <n v="2.11"/>
    <n v="97.84"/>
    <n v="0"/>
    <n v="0"/>
    <n v="1.99"/>
    <n v="0"/>
    <n v="0"/>
    <n v="0"/>
    <n v="0"/>
    <n v="0"/>
    <n v="0.17"/>
    <n v="4"/>
    <x v="0"/>
  </r>
  <r>
    <x v="5"/>
    <x v="184"/>
    <x v="9"/>
    <x v="104"/>
    <n v="75"/>
    <n v="3"/>
    <n v="3"/>
    <n v="8"/>
    <n v="1"/>
    <n v="0"/>
    <n v="47"/>
    <s v="Sabigh Masood"/>
    <s v="Collections Group"/>
    <d v="2025-05-07T00:00:00"/>
    <d v="1899-12-30T12:59:50"/>
    <d v="1899-12-30T22:02:31"/>
    <n v="9.0500000000000007"/>
    <n v="9.0500000000000007"/>
    <n v="1.32"/>
    <n v="0.23"/>
    <n v="0"/>
    <n v="0.38"/>
    <n v="5.63"/>
    <n v="1.48"/>
    <n v="0"/>
    <n v="0"/>
    <n v="0"/>
    <n v="0"/>
    <n v="9.0500000000000007"/>
    <n v="14.59"/>
    <n v="2.57"/>
    <n v="0"/>
    <n v="4.17"/>
    <n v="62.25"/>
    <n v="16.38"/>
    <n v="0"/>
    <n v="0"/>
    <n v="0"/>
    <n v="0.04"/>
    <n v="4"/>
    <x v="0"/>
  </r>
  <r>
    <x v="6"/>
    <x v="184"/>
    <x v="9"/>
    <x v="259"/>
    <n v="0"/>
    <n v="0"/>
    <n v="0"/>
    <n v="0"/>
    <n v="0"/>
    <n v="0"/>
    <n v="0"/>
    <m/>
    <m/>
    <m/>
    <m/>
    <m/>
    <m/>
    <m/>
    <m/>
    <m/>
    <m/>
    <m/>
    <m/>
    <m/>
    <m/>
    <m/>
    <m/>
    <m/>
    <m/>
    <m/>
    <m/>
    <m/>
    <m/>
    <m/>
    <m/>
    <m/>
    <m/>
    <m/>
    <m/>
    <n v="4"/>
    <x v="0"/>
  </r>
  <r>
    <x v="16"/>
    <x v="185"/>
    <x v="9"/>
    <x v="104"/>
    <n v="41"/>
    <n v="0"/>
    <n v="4"/>
    <n v="0"/>
    <n v="0"/>
    <n v="0"/>
    <n v="16"/>
    <s v="Alisha McGee"/>
    <s v="Collections Group"/>
    <d v="2025-05-06T00:00:00"/>
    <d v="1899-12-30T13:00:02"/>
    <d v="1899-12-30T22:02:02"/>
    <n v="9.0299999999999994"/>
    <n v="8.5"/>
    <n v="0.79"/>
    <n v="0"/>
    <n v="0"/>
    <n v="0.21"/>
    <n v="4.09"/>
    <n v="1.62"/>
    <n v="1.74"/>
    <n v="0"/>
    <n v="0"/>
    <n v="0.05"/>
    <n v="8.5"/>
    <n v="9.3000000000000007"/>
    <n v="0"/>
    <n v="0"/>
    <n v="2.4700000000000002"/>
    <n v="48.1"/>
    <n v="19.09"/>
    <n v="20.43"/>
    <n v="0"/>
    <n v="0"/>
    <n v="0.6"/>
    <n v="3"/>
    <x v="1"/>
  </r>
  <r>
    <x v="0"/>
    <x v="185"/>
    <x v="9"/>
    <x v="90"/>
    <n v="79"/>
    <n v="3"/>
    <n v="9"/>
    <n v="8"/>
    <n v="1"/>
    <n v="2"/>
    <n v="43"/>
    <s v="Anais Orozco"/>
    <s v="Collections Group"/>
    <d v="2025-05-06T00:00:00"/>
    <d v="1899-12-30T13:01:10"/>
    <d v="1899-12-30T22:01:03"/>
    <n v="9"/>
    <n v="8.1199999999999992"/>
    <n v="1.44"/>
    <n v="0.26"/>
    <n v="0"/>
    <n v="0.35"/>
    <n v="5.45"/>
    <n v="0.56999999999999995"/>
    <n v="0"/>
    <n v="0"/>
    <n v="0"/>
    <n v="0.04"/>
    <n v="8.1199999999999992"/>
    <n v="17.78"/>
    <n v="3.16"/>
    <n v="0"/>
    <n v="4.37"/>
    <n v="67.14"/>
    <n v="7.08"/>
    <n v="0"/>
    <n v="0"/>
    <n v="0"/>
    <n v="0.48"/>
    <n v="3"/>
    <x v="1"/>
  </r>
  <r>
    <x v="15"/>
    <x v="185"/>
    <x v="9"/>
    <x v="110"/>
    <n v="52"/>
    <n v="6"/>
    <n v="1"/>
    <n v="8"/>
    <n v="0"/>
    <n v="0"/>
    <n v="25"/>
    <s v="Candace Smith"/>
    <s v="Collections Group"/>
    <d v="2025-05-06T00:00:00"/>
    <d v="1899-12-30T13:00:19"/>
    <d v="1899-12-30T22:01:00"/>
    <n v="9.02"/>
    <n v="9.01"/>
    <n v="1.84"/>
    <n v="0.71"/>
    <n v="0"/>
    <n v="0.42"/>
    <n v="2.89"/>
    <n v="1.33"/>
    <n v="1.8"/>
    <n v="0"/>
    <n v="0.01"/>
    <n v="0.01"/>
    <n v="9.01"/>
    <n v="20.420000000000002"/>
    <n v="7.91"/>
    <n v="0"/>
    <n v="4.6900000000000004"/>
    <n v="32.11"/>
    <n v="14.72"/>
    <n v="19.93"/>
    <n v="0"/>
    <n v="0.09"/>
    <n v="0.13"/>
    <n v="3"/>
    <x v="1"/>
  </r>
  <r>
    <x v="1"/>
    <x v="185"/>
    <x v="9"/>
    <x v="75"/>
    <n v="58"/>
    <n v="4"/>
    <n v="1"/>
    <n v="15"/>
    <n v="0"/>
    <n v="0"/>
    <n v="29"/>
    <s v="Derice Warnsley"/>
    <s v="Collections Group"/>
    <d v="2025-05-06T00:00:00"/>
    <d v="1899-12-30T13:00:19"/>
    <d v="1899-12-30T22:15:47"/>
    <n v="9.25"/>
    <n v="9.26"/>
    <n v="2.0499999999999998"/>
    <n v="0"/>
    <n v="0"/>
    <n v="0.03"/>
    <n v="5.69"/>
    <n v="1.48"/>
    <n v="0"/>
    <n v="0"/>
    <n v="0"/>
    <n v="0"/>
    <n v="9.26"/>
    <n v="22.16"/>
    <n v="0"/>
    <n v="0"/>
    <n v="0.28999999999999998"/>
    <n v="61.49"/>
    <n v="16.02"/>
    <n v="0"/>
    <n v="0"/>
    <n v="0"/>
    <n v="0.04"/>
    <n v="3"/>
    <x v="1"/>
  </r>
  <r>
    <x v="3"/>
    <x v="185"/>
    <x v="9"/>
    <x v="64"/>
    <n v="91"/>
    <n v="15"/>
    <n v="22"/>
    <n v="8"/>
    <n v="4"/>
    <n v="1"/>
    <n v="39"/>
    <s v="Jerrod Coleman"/>
    <s v="Collections Group"/>
    <d v="2025-05-06T00:00:00"/>
    <d v="1899-12-30T13:06:18"/>
    <d v="1899-12-30T22:00:02"/>
    <n v="8.9"/>
    <n v="8.89"/>
    <n v="1.7"/>
    <n v="0"/>
    <n v="0"/>
    <n v="0.44"/>
    <n v="5.29"/>
    <n v="1.45"/>
    <n v="0"/>
    <n v="0"/>
    <n v="0"/>
    <n v="0"/>
    <n v="8.89"/>
    <n v="19.149999999999999"/>
    <n v="0"/>
    <n v="0"/>
    <n v="4.97"/>
    <n v="59.51"/>
    <n v="16.329999999999998"/>
    <n v="0"/>
    <n v="0"/>
    <n v="0"/>
    <n v="0.04"/>
    <n v="3"/>
    <x v="1"/>
  </r>
  <r>
    <x v="13"/>
    <x v="185"/>
    <x v="9"/>
    <x v="13"/>
    <n v="2"/>
    <n v="1"/>
    <n v="0"/>
    <n v="0"/>
    <n v="0"/>
    <n v="0"/>
    <n v="0"/>
    <m/>
    <m/>
    <m/>
    <m/>
    <m/>
    <m/>
    <m/>
    <m/>
    <m/>
    <m/>
    <m/>
    <m/>
    <m/>
    <m/>
    <m/>
    <m/>
    <m/>
    <m/>
    <m/>
    <m/>
    <m/>
    <m/>
    <m/>
    <m/>
    <m/>
    <m/>
    <m/>
    <m/>
    <n v="3"/>
    <x v="1"/>
  </r>
  <r>
    <x v="5"/>
    <x v="185"/>
    <x v="9"/>
    <x v="18"/>
    <n v="106"/>
    <n v="2"/>
    <n v="12"/>
    <n v="18"/>
    <n v="0"/>
    <n v="0"/>
    <n v="62"/>
    <s v="Sabigh Masood"/>
    <s v="Collections Group"/>
    <d v="2025-05-06T00:00:00"/>
    <d v="1899-12-30T12:59:56"/>
    <d v="1899-12-30T22:02:08"/>
    <n v="9.0500000000000007"/>
    <n v="9.0399999999999991"/>
    <n v="1.98"/>
    <n v="0.22"/>
    <n v="0"/>
    <n v="0.36"/>
    <n v="5.01"/>
    <n v="1.47"/>
    <n v="0"/>
    <n v="0"/>
    <n v="0"/>
    <n v="0"/>
    <n v="9.0399999999999991"/>
    <n v="21.87"/>
    <n v="2.4"/>
    <n v="0"/>
    <n v="4.01"/>
    <n v="55.45"/>
    <n v="16.23"/>
    <n v="0"/>
    <n v="0"/>
    <n v="0"/>
    <n v="0.05"/>
    <n v="3"/>
    <x v="1"/>
  </r>
  <r>
    <x v="6"/>
    <x v="185"/>
    <x v="9"/>
    <x v="260"/>
    <n v="0"/>
    <n v="0"/>
    <n v="0"/>
    <n v="0"/>
    <n v="0"/>
    <n v="0"/>
    <n v="0"/>
    <m/>
    <m/>
    <m/>
    <m/>
    <m/>
    <m/>
    <m/>
    <m/>
    <m/>
    <m/>
    <m/>
    <m/>
    <m/>
    <m/>
    <m/>
    <m/>
    <m/>
    <m/>
    <m/>
    <m/>
    <m/>
    <m/>
    <m/>
    <m/>
    <m/>
    <m/>
    <m/>
    <m/>
    <n v="3"/>
    <x v="1"/>
  </r>
  <r>
    <x v="16"/>
    <x v="186"/>
    <x v="9"/>
    <x v="89"/>
    <n v="77"/>
    <n v="3"/>
    <n v="0"/>
    <n v="3"/>
    <n v="0"/>
    <n v="0"/>
    <n v="50"/>
    <s v="Alisha McGee"/>
    <s v="Collections Group"/>
    <d v="2025-05-05T00:00:00"/>
    <d v="1899-12-30T12:59:29"/>
    <d v="1899-12-30T22:00:42"/>
    <n v="9.02"/>
    <n v="9.02"/>
    <n v="0.8"/>
    <n v="0"/>
    <n v="0"/>
    <n v="0.14000000000000001"/>
    <n v="6.71"/>
    <n v="1.37"/>
    <n v="0"/>
    <n v="0"/>
    <n v="0"/>
    <n v="0"/>
    <n v="9.02"/>
    <n v="8.82"/>
    <n v="0"/>
    <n v="0"/>
    <n v="1.53"/>
    <n v="74.39"/>
    <n v="15.22"/>
    <n v="0"/>
    <n v="0"/>
    <n v="0"/>
    <n v="0.04"/>
    <n v="2"/>
    <x v="2"/>
  </r>
  <r>
    <x v="0"/>
    <x v="186"/>
    <x v="9"/>
    <x v="18"/>
    <n v="74"/>
    <n v="2"/>
    <n v="4"/>
    <n v="11"/>
    <n v="0"/>
    <n v="0"/>
    <n v="35"/>
    <s v="Anais Orozco"/>
    <s v="Collections Group"/>
    <d v="2025-05-05T00:00:00"/>
    <d v="1899-12-30T13:00:52"/>
    <d v="1899-12-30T22:00:06"/>
    <n v="9"/>
    <n v="8.06"/>
    <n v="1.74"/>
    <n v="0.27"/>
    <n v="0"/>
    <n v="0.25"/>
    <n v="5.21"/>
    <n v="0.56999999999999995"/>
    <n v="0"/>
    <n v="0"/>
    <n v="0"/>
    <n v="0.02"/>
    <n v="8.06"/>
    <n v="21.6"/>
    <n v="3.33"/>
    <n v="0"/>
    <n v="3.1"/>
    <n v="64.7"/>
    <n v="7.01"/>
    <n v="0"/>
    <n v="0"/>
    <n v="0"/>
    <n v="0.26"/>
    <n v="2"/>
    <x v="2"/>
  </r>
  <r>
    <x v="15"/>
    <x v="186"/>
    <x v="9"/>
    <x v="113"/>
    <n v="43"/>
    <n v="4"/>
    <n v="4"/>
    <n v="2"/>
    <n v="0"/>
    <n v="0"/>
    <n v="13"/>
    <s v="Candace Smith"/>
    <s v="Collections Group"/>
    <d v="2025-05-05T00:00:00"/>
    <d v="1899-12-30T13:02:13"/>
    <d v="1899-12-30T22:03:26"/>
    <n v="9.02"/>
    <n v="9.0299999999999994"/>
    <n v="2.11"/>
    <n v="0.59"/>
    <n v="0"/>
    <n v="0.23"/>
    <n v="3.98"/>
    <n v="1.49"/>
    <n v="0.62"/>
    <n v="0"/>
    <n v="0"/>
    <n v="0.01"/>
    <n v="9.0299999999999994"/>
    <n v="23.41"/>
    <n v="6.49"/>
    <n v="0"/>
    <n v="2.52"/>
    <n v="44.11"/>
    <n v="16.48"/>
    <n v="6.91"/>
    <n v="0"/>
    <n v="0.03"/>
    <n v="0.06"/>
    <n v="2"/>
    <x v="2"/>
  </r>
  <r>
    <x v="1"/>
    <x v="186"/>
    <x v="9"/>
    <x v="90"/>
    <n v="68"/>
    <n v="2"/>
    <n v="1"/>
    <n v="16"/>
    <n v="1"/>
    <n v="0"/>
    <n v="37"/>
    <s v="Derice Warnsley"/>
    <s v="Collections Group"/>
    <d v="2025-05-05T00:00:00"/>
    <d v="1899-12-30T13:00:06"/>
    <d v="1899-12-30T22:00:03"/>
    <n v="9"/>
    <n v="9"/>
    <n v="1.61"/>
    <n v="0"/>
    <n v="0"/>
    <n v="0.04"/>
    <n v="6.11"/>
    <n v="1.23"/>
    <n v="0"/>
    <n v="0"/>
    <n v="0"/>
    <n v="0"/>
    <n v="9"/>
    <n v="17.920000000000002"/>
    <n v="0"/>
    <n v="0"/>
    <n v="0.48"/>
    <n v="67.849999999999994"/>
    <n v="13.7"/>
    <n v="0"/>
    <n v="0"/>
    <n v="0"/>
    <n v="0.05"/>
    <n v="2"/>
    <x v="2"/>
  </r>
  <r>
    <x v="3"/>
    <x v="186"/>
    <x v="9"/>
    <x v="89"/>
    <n v="71"/>
    <n v="4"/>
    <n v="0"/>
    <n v="6"/>
    <n v="0"/>
    <n v="2"/>
    <n v="44"/>
    <s v="Jerrod Coleman"/>
    <s v="Collections Group"/>
    <d v="2025-05-05T00:00:00"/>
    <d v="1899-12-30T13:03:50"/>
    <d v="1899-12-30T21:59:19"/>
    <n v="8.93"/>
    <n v="8.92"/>
    <n v="1.0900000000000001"/>
    <n v="0.11"/>
    <n v="0"/>
    <n v="0.28000000000000003"/>
    <n v="6.21"/>
    <n v="1.23"/>
    <n v="0"/>
    <n v="0"/>
    <n v="0"/>
    <n v="0.01"/>
    <n v="8.92"/>
    <n v="12.23"/>
    <n v="1.2"/>
    <n v="0"/>
    <n v="3.13"/>
    <n v="69.59"/>
    <n v="13.78"/>
    <n v="0"/>
    <n v="0"/>
    <n v="0"/>
    <n v="7.0000000000000007E-2"/>
    <n v="2"/>
    <x v="2"/>
  </r>
  <r>
    <x v="14"/>
    <x v="186"/>
    <x v="9"/>
    <x v="13"/>
    <n v="2"/>
    <n v="0"/>
    <n v="0"/>
    <n v="0"/>
    <n v="0"/>
    <n v="0"/>
    <n v="0"/>
    <m/>
    <m/>
    <m/>
    <m/>
    <m/>
    <m/>
    <m/>
    <m/>
    <m/>
    <m/>
    <m/>
    <m/>
    <m/>
    <m/>
    <m/>
    <m/>
    <m/>
    <m/>
    <m/>
    <m/>
    <m/>
    <m/>
    <m/>
    <m/>
    <m/>
    <m/>
    <m/>
    <m/>
    <n v="2"/>
    <x v="2"/>
  </r>
  <r>
    <x v="5"/>
    <x v="186"/>
    <x v="9"/>
    <x v="104"/>
    <n v="68"/>
    <n v="4"/>
    <n v="0"/>
    <n v="6"/>
    <n v="0"/>
    <n v="0"/>
    <n v="45"/>
    <s v="Sabigh Masood"/>
    <s v="Collections Group"/>
    <d v="2025-05-05T00:00:00"/>
    <d v="1899-12-30T12:59:43"/>
    <d v="1899-12-30T22:01:01"/>
    <n v="9.0299999999999994"/>
    <n v="9.02"/>
    <n v="1.23"/>
    <n v="0.14000000000000001"/>
    <n v="0"/>
    <n v="0.27"/>
    <n v="5.41"/>
    <n v="1.5"/>
    <n v="0.47"/>
    <n v="0"/>
    <n v="0"/>
    <n v="0"/>
    <n v="9.02"/>
    <n v="13.64"/>
    <n v="1.59"/>
    <n v="0"/>
    <n v="2.94"/>
    <n v="59.92"/>
    <n v="16.670000000000002"/>
    <n v="5.2"/>
    <n v="0"/>
    <n v="0"/>
    <n v="0.04"/>
    <n v="2"/>
    <x v="2"/>
  </r>
  <r>
    <x v="6"/>
    <x v="186"/>
    <x v="9"/>
    <x v="261"/>
    <n v="0"/>
    <n v="0"/>
    <n v="0"/>
    <n v="0"/>
    <n v="0"/>
    <n v="0"/>
    <n v="0"/>
    <m/>
    <m/>
    <m/>
    <m/>
    <m/>
    <m/>
    <m/>
    <m/>
    <m/>
    <m/>
    <m/>
    <m/>
    <m/>
    <m/>
    <m/>
    <m/>
    <m/>
    <m/>
    <m/>
    <m/>
    <m/>
    <m/>
    <m/>
    <m/>
    <m/>
    <m/>
    <m/>
    <m/>
    <n v="2"/>
    <x v="2"/>
  </r>
  <r>
    <x v="16"/>
    <x v="187"/>
    <x v="9"/>
    <x v="74"/>
    <n v="50"/>
    <n v="1"/>
    <n v="2"/>
    <n v="2"/>
    <n v="0"/>
    <n v="0"/>
    <n v="38"/>
    <s v="Alisha McGee"/>
    <s v="Collections Group"/>
    <d v="2025-05-02T00:00:00"/>
    <d v="1899-12-30T13:01:14"/>
    <d v="1899-12-30T22:01:17"/>
    <n v="9"/>
    <n v="9"/>
    <n v="0.89"/>
    <n v="0"/>
    <n v="0"/>
    <n v="0.23"/>
    <n v="6.64"/>
    <n v="1.24"/>
    <n v="0"/>
    <n v="0"/>
    <n v="0"/>
    <n v="0"/>
    <n v="9"/>
    <n v="9.8800000000000008"/>
    <n v="0"/>
    <n v="0"/>
    <n v="2.5099999999999998"/>
    <n v="73.790000000000006"/>
    <n v="13.77"/>
    <n v="0"/>
    <n v="0"/>
    <n v="0"/>
    <n v="0.05"/>
    <n v="6"/>
    <x v="3"/>
  </r>
  <r>
    <x v="0"/>
    <x v="187"/>
    <x v="9"/>
    <x v="90"/>
    <n v="60"/>
    <n v="2"/>
    <n v="2"/>
    <n v="3"/>
    <n v="0"/>
    <n v="1"/>
    <n v="36"/>
    <s v="Anais Orozco"/>
    <s v="Collections Group"/>
    <d v="2025-05-02T00:00:00"/>
    <d v="1899-12-30T13:00:49"/>
    <d v="1899-12-30T22:00:06"/>
    <n v="9"/>
    <n v="8.17"/>
    <n v="1.22"/>
    <n v="0.16"/>
    <n v="0"/>
    <n v="0.2"/>
    <n v="5.9"/>
    <n v="0.57999999999999996"/>
    <n v="0"/>
    <n v="0"/>
    <n v="0"/>
    <n v="0.1"/>
    <n v="8.17"/>
    <n v="14.95"/>
    <n v="2.0099999999999998"/>
    <n v="0"/>
    <n v="2.41"/>
    <n v="72.27"/>
    <n v="7.14"/>
    <n v="0"/>
    <n v="0"/>
    <n v="0"/>
    <n v="1.22"/>
    <n v="6"/>
    <x v="3"/>
  </r>
  <r>
    <x v="15"/>
    <x v="187"/>
    <x v="9"/>
    <x v="154"/>
    <n v="22"/>
    <n v="0"/>
    <n v="1"/>
    <n v="2"/>
    <n v="0"/>
    <n v="0"/>
    <n v="14"/>
    <s v="Candace Smith"/>
    <s v="Collections Group"/>
    <d v="2025-05-02T00:00:00"/>
    <d v="1899-12-30T12:57:45"/>
    <d v="1899-12-30T17:01:24"/>
    <n v="4.07"/>
    <n v="4.0599999999999996"/>
    <n v="0.62"/>
    <n v="0.1"/>
    <n v="0"/>
    <n v="7.0000000000000007E-2"/>
    <n v="3.27"/>
    <n v="0"/>
    <n v="0"/>
    <n v="0"/>
    <n v="0"/>
    <n v="0.01"/>
    <n v="4.0599999999999996"/>
    <n v="15.15"/>
    <n v="2.5"/>
    <n v="0"/>
    <n v="1.79"/>
    <n v="80.430000000000007"/>
    <n v="0"/>
    <n v="0"/>
    <n v="0"/>
    <n v="0"/>
    <n v="0.12"/>
    <n v="6"/>
    <x v="3"/>
  </r>
  <r>
    <x v="1"/>
    <x v="187"/>
    <x v="9"/>
    <x v="74"/>
    <n v="49"/>
    <n v="1"/>
    <n v="1"/>
    <n v="10"/>
    <n v="0"/>
    <n v="1"/>
    <n v="28"/>
    <s v="Derice Warnsley"/>
    <s v="Collections Group"/>
    <d v="2025-05-02T00:00:00"/>
    <d v="1899-12-30T13:00:38"/>
    <d v="1899-12-30T22:00:04"/>
    <n v="9"/>
    <n v="8.99"/>
    <n v="0.79"/>
    <n v="0"/>
    <n v="0"/>
    <n v="0.02"/>
    <n v="6.35"/>
    <n v="1.43"/>
    <n v="0.39"/>
    <n v="0"/>
    <n v="0"/>
    <n v="0"/>
    <n v="8.99"/>
    <n v="8.76"/>
    <n v="0"/>
    <n v="0"/>
    <n v="0.25"/>
    <n v="70.67"/>
    <n v="15.96"/>
    <n v="4.33"/>
    <n v="0"/>
    <n v="0"/>
    <n v="0.04"/>
    <n v="6"/>
    <x v="3"/>
  </r>
  <r>
    <x v="4"/>
    <x v="187"/>
    <x v="9"/>
    <x v="13"/>
    <n v="1"/>
    <n v="0"/>
    <n v="0"/>
    <n v="1"/>
    <n v="0"/>
    <n v="0"/>
    <n v="0"/>
    <s v="Rosette Rwabugahya"/>
    <s v="Collections Group"/>
    <d v="2025-05-02T00:00:00"/>
    <d v="1899-12-30T15:46:24"/>
    <d v="1899-12-30T20:51:52"/>
    <n v="5.08"/>
    <n v="0.56999999999999995"/>
    <n v="0.52"/>
    <n v="0"/>
    <n v="0"/>
    <n v="0.01"/>
    <n v="0"/>
    <n v="0"/>
    <n v="0"/>
    <n v="0"/>
    <n v="0"/>
    <n v="0.04"/>
    <n v="0.56999999999999995"/>
    <n v="91.08"/>
    <n v="0"/>
    <n v="0"/>
    <n v="2.06"/>
    <n v="0"/>
    <n v="0"/>
    <n v="0"/>
    <n v="0"/>
    <n v="0"/>
    <n v="6.86"/>
    <n v="6"/>
    <x v="3"/>
  </r>
  <r>
    <x v="5"/>
    <x v="187"/>
    <x v="9"/>
    <x v="109"/>
    <n v="58"/>
    <n v="7"/>
    <n v="2"/>
    <n v="15"/>
    <n v="1"/>
    <n v="0"/>
    <n v="27"/>
    <s v="Sabigh Masood"/>
    <s v="Collections Group"/>
    <d v="2025-05-02T00:00:00"/>
    <d v="1899-12-30T12:59:16"/>
    <d v="1899-12-30T22:01:05"/>
    <n v="9.0299999999999994"/>
    <n v="9.0299999999999994"/>
    <n v="1.55"/>
    <n v="0.2"/>
    <n v="0"/>
    <n v="0.33"/>
    <n v="5.03"/>
    <n v="1.93"/>
    <n v="0"/>
    <n v="0"/>
    <n v="0"/>
    <n v="0"/>
    <n v="9.0299999999999994"/>
    <n v="17.12"/>
    <n v="2.17"/>
    <n v="0"/>
    <n v="3.6"/>
    <n v="55.7"/>
    <n v="21.37"/>
    <n v="0"/>
    <n v="0"/>
    <n v="0"/>
    <n v="0.04"/>
    <n v="6"/>
    <x v="3"/>
  </r>
  <r>
    <x v="6"/>
    <x v="187"/>
    <x v="9"/>
    <x v="262"/>
    <n v="0"/>
    <n v="0"/>
    <n v="0"/>
    <n v="0"/>
    <n v="0"/>
    <n v="0"/>
    <n v="0"/>
    <m/>
    <m/>
    <m/>
    <m/>
    <m/>
    <m/>
    <m/>
    <m/>
    <m/>
    <m/>
    <m/>
    <m/>
    <m/>
    <m/>
    <m/>
    <m/>
    <m/>
    <m/>
    <m/>
    <m/>
    <m/>
    <m/>
    <m/>
    <m/>
    <m/>
    <m/>
    <m/>
    <m/>
    <n v="6"/>
    <x v="3"/>
  </r>
  <r>
    <x v="16"/>
    <x v="188"/>
    <x v="9"/>
    <x v="147"/>
    <n v="30"/>
    <n v="1"/>
    <n v="1"/>
    <n v="1"/>
    <n v="0"/>
    <n v="0"/>
    <n v="24"/>
    <s v="Alisha McGee"/>
    <s v="Collections Group"/>
    <d v="2025-05-01T00:00:00"/>
    <d v="1899-12-30T13:03:36"/>
    <d v="1899-12-30T22:00:23"/>
    <n v="8.9499999999999993"/>
    <n v="8.9499999999999993"/>
    <n v="0.72"/>
    <n v="0"/>
    <n v="0"/>
    <n v="0.11"/>
    <n v="5.85"/>
    <n v="1.67"/>
    <n v="0.59"/>
    <n v="0"/>
    <n v="0"/>
    <n v="0.01"/>
    <n v="8.9499999999999993"/>
    <n v="8.09"/>
    <n v="0"/>
    <n v="0"/>
    <n v="1.22"/>
    <n v="65.34"/>
    <n v="18.690000000000001"/>
    <n v="6.6"/>
    <n v="0"/>
    <n v="0"/>
    <n v="0.06"/>
    <n v="5"/>
    <x v="4"/>
  </r>
  <r>
    <x v="0"/>
    <x v="188"/>
    <x v="9"/>
    <x v="73"/>
    <n v="44"/>
    <n v="0"/>
    <n v="0"/>
    <n v="5"/>
    <n v="0"/>
    <n v="1"/>
    <n v="30"/>
    <s v="Anais Orozco"/>
    <s v="Collections Group"/>
    <d v="2025-05-01T00:00:00"/>
    <d v="1899-12-30T13:00:13"/>
    <d v="1899-12-30T22:00:06"/>
    <n v="9"/>
    <n v="8.16"/>
    <n v="0.95"/>
    <n v="0.22"/>
    <n v="0"/>
    <n v="0.15"/>
    <n v="5.61"/>
    <n v="0.59"/>
    <n v="0.59"/>
    <n v="0"/>
    <n v="0"/>
    <n v="0.04"/>
    <n v="8.16"/>
    <n v="11.61"/>
    <n v="2.75"/>
    <n v="0"/>
    <n v="1.87"/>
    <n v="68.8"/>
    <n v="7.25"/>
    <n v="7.2"/>
    <n v="0"/>
    <n v="0"/>
    <n v="0.52"/>
    <n v="5"/>
    <x v="4"/>
  </r>
  <r>
    <x v="15"/>
    <x v="188"/>
    <x v="9"/>
    <x v="73"/>
    <n v="70"/>
    <n v="1"/>
    <n v="0"/>
    <n v="3"/>
    <n v="0"/>
    <n v="3"/>
    <n v="56"/>
    <s v="Candace Smith"/>
    <s v="Collections Group"/>
    <d v="2025-05-01T00:00:00"/>
    <d v="1899-12-30T13:03:43"/>
    <d v="1899-12-30T22:00:06"/>
    <n v="8.9499999999999993"/>
    <n v="7.64"/>
    <n v="0.46"/>
    <n v="0.13"/>
    <n v="0"/>
    <n v="0.1"/>
    <n v="5.91"/>
    <n v="0.38"/>
    <n v="0.63"/>
    <n v="0"/>
    <n v="0"/>
    <n v="0.04"/>
    <n v="7.64"/>
    <n v="6.05"/>
    <n v="1.7"/>
    <n v="0"/>
    <n v="1.26"/>
    <n v="77.27"/>
    <n v="4.99"/>
    <n v="8.2100000000000009"/>
    <n v="0"/>
    <n v="0"/>
    <n v="0.51"/>
    <n v="5"/>
    <x v="4"/>
  </r>
  <r>
    <x v="1"/>
    <x v="188"/>
    <x v="9"/>
    <x v="76"/>
    <n v="35"/>
    <n v="4"/>
    <n v="1"/>
    <n v="3"/>
    <n v="0"/>
    <n v="0"/>
    <n v="19"/>
    <s v="Derice Warnsley"/>
    <s v="Collections Group"/>
    <d v="2025-05-01T00:00:00"/>
    <d v="1899-12-30T13:00:28"/>
    <d v="1899-12-30T22:00:08"/>
    <n v="9"/>
    <n v="9"/>
    <n v="0.91"/>
    <n v="0"/>
    <n v="0"/>
    <n v="0.02"/>
    <n v="6.02"/>
    <n v="1.47"/>
    <n v="0.57999999999999996"/>
    <n v="0"/>
    <n v="0"/>
    <n v="0"/>
    <n v="9"/>
    <n v="10.09"/>
    <n v="0"/>
    <n v="0"/>
    <n v="0.19"/>
    <n v="66.849999999999994"/>
    <n v="16.350000000000001"/>
    <n v="6.47"/>
    <n v="0"/>
    <n v="0"/>
    <n v="0.04"/>
    <n v="5"/>
    <x v="4"/>
  </r>
  <r>
    <x v="3"/>
    <x v="188"/>
    <x v="9"/>
    <x v="108"/>
    <n v="76"/>
    <n v="5"/>
    <n v="2"/>
    <n v="0"/>
    <n v="1"/>
    <n v="0"/>
    <n v="58"/>
    <s v="Jerrod Coleman"/>
    <s v="Collections Group"/>
    <d v="2025-05-01T00:00:00"/>
    <d v="1899-12-30T13:05:22"/>
    <d v="1899-12-30T21:59:03"/>
    <n v="8.9"/>
    <n v="8.89"/>
    <n v="0.85"/>
    <n v="0.09"/>
    <n v="0"/>
    <n v="0.19"/>
    <n v="5.8"/>
    <n v="1.47"/>
    <n v="0.48"/>
    <n v="0"/>
    <n v="0"/>
    <n v="0.02"/>
    <n v="8.89"/>
    <n v="9.58"/>
    <n v="1.02"/>
    <n v="0"/>
    <n v="2.16"/>
    <n v="65.17"/>
    <n v="16.510000000000002"/>
    <n v="5.37"/>
    <n v="0"/>
    <n v="0"/>
    <n v="0.2"/>
    <n v="5"/>
    <x v="4"/>
  </r>
  <r>
    <x v="5"/>
    <x v="188"/>
    <x v="9"/>
    <x v="74"/>
    <n v="44"/>
    <n v="3"/>
    <n v="0"/>
    <n v="7"/>
    <n v="0"/>
    <n v="0"/>
    <n v="24"/>
    <s v="Sabigh Masood"/>
    <s v="Collections Group"/>
    <d v="2025-05-01T00:00:00"/>
    <d v="1899-12-30T13:01:04"/>
    <d v="1899-12-30T22:01:27"/>
    <n v="9"/>
    <n v="9.01"/>
    <n v="0.84"/>
    <n v="0.22"/>
    <n v="0"/>
    <n v="0.34"/>
    <n v="5.52"/>
    <n v="1.5"/>
    <n v="0.59"/>
    <n v="0"/>
    <n v="0"/>
    <n v="0"/>
    <n v="9.01"/>
    <n v="9.31"/>
    <n v="2.41"/>
    <n v="0"/>
    <n v="3.78"/>
    <n v="61.24"/>
    <n v="16.600000000000001"/>
    <n v="6.58"/>
    <n v="0"/>
    <n v="0.03"/>
    <n v="0.05"/>
    <n v="5"/>
    <x v="4"/>
  </r>
  <r>
    <x v="6"/>
    <x v="188"/>
    <x v="9"/>
    <x v="263"/>
    <n v="0"/>
    <n v="0"/>
    <n v="0"/>
    <n v="0"/>
    <n v="0"/>
    <n v="0"/>
    <n v="0"/>
    <m/>
    <m/>
    <m/>
    <m/>
    <m/>
    <m/>
    <m/>
    <m/>
    <m/>
    <m/>
    <m/>
    <m/>
    <m/>
    <m/>
    <m/>
    <m/>
    <m/>
    <m/>
    <m/>
    <m/>
    <m/>
    <m/>
    <m/>
    <m/>
    <m/>
    <m/>
    <m/>
    <m/>
    <n v="5"/>
    <x v="4"/>
  </r>
  <r>
    <x v="16"/>
    <x v="189"/>
    <x v="10"/>
    <x v="74"/>
    <n v="57"/>
    <n v="1"/>
    <n v="0"/>
    <n v="2"/>
    <n v="0"/>
    <n v="1"/>
    <n v="42"/>
    <s v="Alisha McGee"/>
    <s v="Collections Group"/>
    <d v="2025-04-30T00:00:00"/>
    <d v="1899-12-30T12:59:40"/>
    <d v="1899-12-30T22:00:05"/>
    <n v="9.02"/>
    <n v="9"/>
    <n v="0.85"/>
    <n v="0"/>
    <n v="0"/>
    <n v="0.15"/>
    <n v="5.37"/>
    <n v="1.5"/>
    <n v="1.1200000000000001"/>
    <n v="0"/>
    <n v="0"/>
    <n v="0.02"/>
    <n v="9"/>
    <n v="9.41"/>
    <n v="0"/>
    <n v="0"/>
    <n v="1.65"/>
    <n v="59.67"/>
    <n v="16.68"/>
    <n v="12.42"/>
    <n v="0"/>
    <n v="0"/>
    <n v="0.18"/>
    <n v="4"/>
    <x v="0"/>
  </r>
  <r>
    <x v="0"/>
    <x v="189"/>
    <x v="10"/>
    <x v="109"/>
    <n v="64"/>
    <n v="2"/>
    <n v="0"/>
    <n v="2"/>
    <n v="0"/>
    <n v="0"/>
    <n v="48"/>
    <s v="Anais Orozco"/>
    <s v="Collections Group"/>
    <d v="2025-04-30T00:00:00"/>
    <d v="1899-12-30T13:00:55"/>
    <d v="1899-12-30T22:00:09"/>
    <n v="9"/>
    <n v="8.07"/>
    <n v="1.01"/>
    <n v="0.4"/>
    <n v="0"/>
    <n v="0.17"/>
    <n v="4.92"/>
    <n v="0.41"/>
    <n v="1.1399999999999999"/>
    <n v="0"/>
    <n v="0"/>
    <n v="0.01"/>
    <n v="8.07"/>
    <n v="12.52"/>
    <n v="4.9800000000000004"/>
    <n v="0"/>
    <n v="2.16"/>
    <n v="60.96"/>
    <n v="5.1100000000000003"/>
    <n v="14.12"/>
    <n v="0"/>
    <n v="0"/>
    <n v="0.15"/>
    <n v="4"/>
    <x v="0"/>
  </r>
  <r>
    <x v="15"/>
    <x v="189"/>
    <x v="10"/>
    <x v="178"/>
    <n v="24"/>
    <n v="2"/>
    <n v="0"/>
    <n v="3"/>
    <n v="0"/>
    <n v="0"/>
    <n v="3"/>
    <s v="Candace Smith"/>
    <s v="Collections Group"/>
    <d v="2025-04-30T00:00:00"/>
    <d v="1899-12-30T13:00:34"/>
    <d v="1899-12-30T22:03:25"/>
    <n v="9.0500000000000007"/>
    <n v="8.2200000000000006"/>
    <n v="1.67"/>
    <n v="0.26"/>
    <n v="0"/>
    <n v="0.05"/>
    <n v="4.0999999999999996"/>
    <n v="0.66"/>
    <n v="1.46"/>
    <n v="0"/>
    <n v="0"/>
    <n v="0.03"/>
    <n v="8.2200000000000006"/>
    <n v="20.309999999999999"/>
    <n v="3.18"/>
    <n v="0"/>
    <n v="0.62"/>
    <n v="49.83"/>
    <n v="8.01"/>
    <n v="17.71"/>
    <n v="0"/>
    <n v="0"/>
    <n v="0.34"/>
    <n v="4"/>
    <x v="0"/>
  </r>
  <r>
    <x v="1"/>
    <x v="189"/>
    <x v="10"/>
    <x v="178"/>
    <n v="51"/>
    <n v="17"/>
    <n v="2"/>
    <n v="10"/>
    <n v="0"/>
    <n v="0"/>
    <n v="23"/>
    <s v="Derice Warnsley"/>
    <s v="Collections Group"/>
    <d v="2025-04-30T00:00:00"/>
    <d v="1899-12-30T13:00:04"/>
    <d v="1899-12-30T22:00:09"/>
    <n v="9"/>
    <n v="9"/>
    <n v="1.24"/>
    <n v="0"/>
    <n v="0"/>
    <n v="0.02"/>
    <n v="5"/>
    <n v="1.41"/>
    <n v="1.32"/>
    <n v="0"/>
    <n v="0"/>
    <n v="0"/>
    <n v="9"/>
    <n v="13.77"/>
    <n v="0"/>
    <n v="0"/>
    <n v="0.25"/>
    <n v="55.55"/>
    <n v="15.68"/>
    <n v="14.71"/>
    <n v="0"/>
    <n v="0"/>
    <n v="0.04"/>
    <n v="4"/>
    <x v="0"/>
  </r>
  <r>
    <x v="3"/>
    <x v="189"/>
    <x v="10"/>
    <x v="64"/>
    <n v="104"/>
    <n v="7"/>
    <n v="2"/>
    <n v="9"/>
    <n v="0"/>
    <n v="2"/>
    <n v="68"/>
    <s v="Jerrod Coleman"/>
    <s v="Collections Group"/>
    <d v="2025-04-30T00:00:00"/>
    <d v="1899-12-30T13:02:41"/>
    <d v="1899-12-30T22:09:06"/>
    <n v="9.1199999999999992"/>
    <n v="9.1199999999999992"/>
    <n v="1.02"/>
    <n v="0"/>
    <n v="0"/>
    <n v="0.26"/>
    <n v="6.37"/>
    <n v="1.46"/>
    <n v="0"/>
    <n v="0"/>
    <n v="0"/>
    <n v="0"/>
    <n v="9.1199999999999992"/>
    <n v="11.23"/>
    <n v="0"/>
    <n v="0"/>
    <n v="2.82"/>
    <n v="69.86"/>
    <n v="16.05"/>
    <n v="0"/>
    <n v="0"/>
    <n v="0"/>
    <n v="0.05"/>
    <n v="4"/>
    <x v="0"/>
  </r>
  <r>
    <x v="5"/>
    <x v="189"/>
    <x v="10"/>
    <x v="108"/>
    <n v="62"/>
    <n v="2"/>
    <n v="3"/>
    <n v="3"/>
    <n v="0"/>
    <n v="1"/>
    <n v="41"/>
    <s v="Sabigh Masood"/>
    <s v="Collections Group"/>
    <d v="2025-04-30T00:00:00"/>
    <d v="1899-12-30T12:59:18"/>
    <d v="1899-12-30T22:00:03"/>
    <n v="9.02"/>
    <n v="9.01"/>
    <n v="0.52"/>
    <n v="0.11"/>
    <n v="0"/>
    <n v="0.21"/>
    <n v="5.56"/>
    <n v="1.49"/>
    <n v="1.1200000000000001"/>
    <n v="0"/>
    <n v="0"/>
    <n v="0"/>
    <n v="9.01"/>
    <n v="5.82"/>
    <n v="1.17"/>
    <n v="0"/>
    <n v="2.3199999999999998"/>
    <n v="61.7"/>
    <n v="16.53"/>
    <n v="12.42"/>
    <n v="0"/>
    <n v="0"/>
    <n v="0.04"/>
    <n v="4"/>
    <x v="0"/>
  </r>
  <r>
    <x v="6"/>
    <x v="189"/>
    <x v="10"/>
    <x v="264"/>
    <n v="0"/>
    <n v="0"/>
    <n v="0"/>
    <n v="0"/>
    <n v="0"/>
    <n v="0"/>
    <n v="0"/>
    <m/>
    <m/>
    <m/>
    <m/>
    <m/>
    <m/>
    <m/>
    <m/>
    <m/>
    <m/>
    <m/>
    <m/>
    <m/>
    <m/>
    <m/>
    <m/>
    <m/>
    <m/>
    <m/>
    <m/>
    <m/>
    <m/>
    <m/>
    <m/>
    <m/>
    <m/>
    <m/>
    <m/>
    <n v="4"/>
    <x v="0"/>
  </r>
  <r>
    <x v="16"/>
    <x v="190"/>
    <x v="10"/>
    <x v="178"/>
    <n v="41"/>
    <n v="8"/>
    <n v="1"/>
    <n v="4"/>
    <n v="0"/>
    <n v="0"/>
    <n v="24"/>
    <s v="Alisha McGee"/>
    <s v="Collections Group"/>
    <d v="2025-04-29T00:00:00"/>
    <d v="1899-12-30T12:58:47"/>
    <d v="1899-12-30T22:00:09"/>
    <n v="9.0299999999999994"/>
    <n v="8.75"/>
    <n v="1.98"/>
    <n v="0"/>
    <n v="0"/>
    <n v="0.21"/>
    <n v="4.6500000000000004"/>
    <n v="1.1599999999999999"/>
    <n v="0.56999999999999995"/>
    <n v="0"/>
    <n v="0.17"/>
    <n v="0.02"/>
    <n v="8.75"/>
    <n v="22.58"/>
    <n v="0"/>
    <n v="0"/>
    <n v="2.35"/>
    <n v="53.17"/>
    <n v="13.27"/>
    <n v="6.53"/>
    <n v="0"/>
    <n v="1.93"/>
    <n v="0.17"/>
    <n v="3"/>
    <x v="1"/>
  </r>
  <r>
    <x v="0"/>
    <x v="190"/>
    <x v="10"/>
    <x v="90"/>
    <n v="76"/>
    <n v="3"/>
    <n v="2"/>
    <n v="4"/>
    <n v="0"/>
    <n v="3"/>
    <n v="50"/>
    <s v="Anais Orozco"/>
    <s v="Collections Group"/>
    <d v="2025-04-29T00:00:00"/>
    <d v="1899-12-30T12:57:57"/>
    <d v="1899-12-30T22:01:37"/>
    <n v="9.07"/>
    <n v="8.14"/>
    <n v="0.8"/>
    <n v="0.16"/>
    <n v="0"/>
    <n v="0.28000000000000003"/>
    <n v="5.93"/>
    <n v="0.56000000000000005"/>
    <n v="0.3"/>
    <n v="0"/>
    <n v="0"/>
    <n v="0.11"/>
    <n v="8.14"/>
    <n v="9.85"/>
    <n v="1.92"/>
    <n v="0"/>
    <n v="3.48"/>
    <n v="72.900000000000006"/>
    <n v="6.85"/>
    <n v="3.64"/>
    <n v="0"/>
    <n v="0"/>
    <n v="1.36"/>
    <n v="3"/>
    <x v="1"/>
  </r>
  <r>
    <x v="15"/>
    <x v="190"/>
    <x v="10"/>
    <x v="73"/>
    <n v="48"/>
    <n v="4"/>
    <n v="1"/>
    <n v="7"/>
    <n v="0"/>
    <n v="0"/>
    <n v="30"/>
    <s v="Candace Smith"/>
    <s v="Collections Group"/>
    <d v="2025-04-29T00:00:00"/>
    <d v="1899-12-30T13:02:51"/>
    <d v="1899-12-30T22:00:44"/>
    <n v="8.9700000000000006"/>
    <n v="8.01"/>
    <n v="0.91"/>
    <n v="1.55"/>
    <n v="0"/>
    <n v="0.24"/>
    <n v="4.75"/>
    <n v="0.53"/>
    <n v="0"/>
    <n v="0"/>
    <n v="0"/>
    <n v="0.04"/>
    <n v="8.01"/>
    <n v="11.37"/>
    <n v="19.329999999999998"/>
    <n v="0"/>
    <n v="2.95"/>
    <n v="59.21"/>
    <n v="6.62"/>
    <n v="0"/>
    <n v="0"/>
    <n v="0"/>
    <n v="0.52"/>
    <n v="3"/>
    <x v="1"/>
  </r>
  <r>
    <x v="1"/>
    <x v="190"/>
    <x v="10"/>
    <x v="75"/>
    <n v="78"/>
    <n v="4"/>
    <n v="5"/>
    <n v="5"/>
    <n v="0"/>
    <n v="0"/>
    <n v="44"/>
    <s v="Derice Warnsley"/>
    <s v="Collections Group"/>
    <d v="2025-04-29T00:00:00"/>
    <d v="1899-12-30T12:59:49"/>
    <d v="1899-12-30T22:00:03"/>
    <n v="9.02"/>
    <n v="9"/>
    <n v="1.92"/>
    <n v="0.12"/>
    <n v="0"/>
    <n v="0.03"/>
    <n v="5.22"/>
    <n v="1.45"/>
    <n v="0.26"/>
    <n v="0"/>
    <n v="0"/>
    <n v="0.01"/>
    <n v="9"/>
    <n v="21.35"/>
    <n v="1.32"/>
    <n v="0"/>
    <n v="0.34"/>
    <n v="57.98"/>
    <n v="16.079999999999998"/>
    <n v="2.85"/>
    <n v="0"/>
    <n v="0"/>
    <n v="0.08"/>
    <n v="3"/>
    <x v="1"/>
  </r>
  <r>
    <x v="3"/>
    <x v="190"/>
    <x v="10"/>
    <x v="90"/>
    <n v="71"/>
    <n v="0"/>
    <n v="7"/>
    <n v="6"/>
    <n v="0"/>
    <n v="1"/>
    <n v="45"/>
    <s v="Jerrod Coleman"/>
    <s v="Collections Group"/>
    <d v="2025-04-29T00:00:00"/>
    <d v="1899-12-30T13:03:20"/>
    <d v="1899-12-30T21:58:57"/>
    <n v="8.92"/>
    <n v="8.81"/>
    <n v="0.89"/>
    <n v="0.23"/>
    <n v="0"/>
    <n v="0.13"/>
    <n v="6.23"/>
    <n v="1.32"/>
    <n v="0"/>
    <n v="0"/>
    <n v="0"/>
    <n v="0.01"/>
    <n v="8.81"/>
    <n v="10.15"/>
    <n v="2.64"/>
    <n v="0"/>
    <n v="1.5"/>
    <n v="70.680000000000007"/>
    <n v="14.93"/>
    <n v="0"/>
    <n v="0"/>
    <n v="0"/>
    <n v="0.09"/>
    <n v="3"/>
    <x v="1"/>
  </r>
  <r>
    <x v="14"/>
    <x v="190"/>
    <x v="10"/>
    <x v="13"/>
    <n v="1"/>
    <n v="0"/>
    <n v="0"/>
    <n v="0"/>
    <n v="0"/>
    <n v="0"/>
    <n v="0"/>
    <m/>
    <m/>
    <m/>
    <m/>
    <m/>
    <m/>
    <m/>
    <m/>
    <m/>
    <m/>
    <m/>
    <m/>
    <m/>
    <m/>
    <m/>
    <m/>
    <m/>
    <m/>
    <m/>
    <m/>
    <m/>
    <m/>
    <m/>
    <m/>
    <m/>
    <m/>
    <m/>
    <m/>
    <n v="3"/>
    <x v="1"/>
  </r>
  <r>
    <x v="5"/>
    <x v="190"/>
    <x v="10"/>
    <x v="75"/>
    <n v="83"/>
    <n v="1"/>
    <n v="4"/>
    <n v="4"/>
    <n v="1"/>
    <n v="0"/>
    <n v="61"/>
    <s v="Sabigh Masood"/>
    <s v="Collections Group"/>
    <d v="2025-04-29T00:00:00"/>
    <d v="1899-12-30T12:59:38"/>
    <d v="1899-12-30T22:01:00"/>
    <n v="9.0299999999999994"/>
    <n v="9.02"/>
    <n v="1.33"/>
    <n v="0.11"/>
    <n v="0"/>
    <n v="0.3"/>
    <n v="5.78"/>
    <n v="1.5"/>
    <n v="0"/>
    <n v="0"/>
    <n v="0"/>
    <n v="0"/>
    <n v="9.02"/>
    <n v="14.77"/>
    <n v="1.17"/>
    <n v="0"/>
    <n v="3.29"/>
    <n v="64.099999999999994"/>
    <n v="16.63"/>
    <n v="0"/>
    <n v="0"/>
    <n v="0"/>
    <n v="0.04"/>
    <n v="3"/>
    <x v="1"/>
  </r>
  <r>
    <x v="6"/>
    <x v="190"/>
    <x v="10"/>
    <x v="265"/>
    <n v="0"/>
    <n v="0"/>
    <n v="0"/>
    <n v="0"/>
    <n v="0"/>
    <n v="0"/>
    <n v="0"/>
    <m/>
    <m/>
    <m/>
    <m/>
    <m/>
    <m/>
    <m/>
    <m/>
    <m/>
    <m/>
    <m/>
    <m/>
    <m/>
    <m/>
    <m/>
    <m/>
    <m/>
    <m/>
    <m/>
    <m/>
    <m/>
    <m/>
    <m/>
    <m/>
    <m/>
    <m/>
    <m/>
    <m/>
    <n v="3"/>
    <x v="1"/>
  </r>
  <r>
    <x v="16"/>
    <x v="191"/>
    <x v="10"/>
    <x v="104"/>
    <n v="73"/>
    <n v="2"/>
    <n v="6"/>
    <n v="1"/>
    <n v="1"/>
    <n v="4"/>
    <n v="46"/>
    <s v="Alisha McGee"/>
    <s v="Collections Group"/>
    <d v="2025-04-28T00:00:00"/>
    <d v="1899-12-30T13:00:46"/>
    <d v="1899-12-30T22:00:12"/>
    <n v="9"/>
    <n v="8.99"/>
    <n v="0.88"/>
    <n v="0"/>
    <n v="0"/>
    <n v="0.23"/>
    <n v="6.63"/>
    <n v="1.25"/>
    <n v="0"/>
    <n v="0"/>
    <n v="0"/>
    <n v="0"/>
    <n v="8.99"/>
    <n v="9.76"/>
    <n v="0"/>
    <n v="0"/>
    <n v="2.57"/>
    <n v="73.77"/>
    <n v="13.85"/>
    <n v="0"/>
    <n v="0"/>
    <n v="0"/>
    <n v="0.04"/>
    <n v="2"/>
    <x v="2"/>
  </r>
  <r>
    <x v="0"/>
    <x v="191"/>
    <x v="10"/>
    <x v="108"/>
    <n v="68"/>
    <n v="2"/>
    <n v="1"/>
    <n v="2"/>
    <n v="0"/>
    <n v="3"/>
    <n v="47"/>
    <s v="Anais Orozco"/>
    <s v="Collections Group"/>
    <d v="2025-04-28T00:00:00"/>
    <d v="1899-12-30T13:01:03"/>
    <d v="1899-12-30T22:00:17"/>
    <n v="8.98"/>
    <n v="8.1"/>
    <n v="0.72"/>
    <n v="0.22"/>
    <n v="0"/>
    <n v="0.2"/>
    <n v="6.36"/>
    <n v="0.57999999999999996"/>
    <n v="0"/>
    <n v="0"/>
    <n v="0"/>
    <n v="0.01"/>
    <n v="8.1"/>
    <n v="8.9"/>
    <n v="2.69"/>
    <n v="0"/>
    <n v="2.5299999999999998"/>
    <n v="78.56"/>
    <n v="7.19"/>
    <n v="0"/>
    <n v="0"/>
    <n v="0"/>
    <n v="0.14000000000000001"/>
    <n v="2"/>
    <x v="2"/>
  </r>
  <r>
    <x v="15"/>
    <x v="191"/>
    <x v="10"/>
    <x v="90"/>
    <n v="59"/>
    <n v="5"/>
    <n v="2"/>
    <n v="10"/>
    <n v="0"/>
    <n v="0"/>
    <n v="31"/>
    <s v="Candace Smith"/>
    <s v="Collections Group"/>
    <d v="2025-04-28T00:00:00"/>
    <d v="1899-12-30T13:05:04"/>
    <d v="1899-12-30T21:59:06"/>
    <n v="8.9"/>
    <n v="8.9"/>
    <n v="1.24"/>
    <n v="0.2"/>
    <n v="0"/>
    <n v="0.34"/>
    <n v="5.26"/>
    <n v="1.27"/>
    <n v="0.56000000000000005"/>
    <n v="0"/>
    <n v="0.02"/>
    <n v="0.01"/>
    <n v="8.9"/>
    <n v="13.94"/>
    <n v="2.2999999999999998"/>
    <n v="0"/>
    <n v="3.77"/>
    <n v="59.05"/>
    <n v="14.3"/>
    <n v="6.3"/>
    <n v="0"/>
    <n v="0.27"/>
    <n v="7.0000000000000007E-2"/>
    <n v="2"/>
    <x v="2"/>
  </r>
  <r>
    <x v="1"/>
    <x v="191"/>
    <x v="10"/>
    <x v="118"/>
    <n v="64"/>
    <n v="7"/>
    <n v="0"/>
    <n v="9"/>
    <n v="0"/>
    <n v="0"/>
    <n v="37"/>
    <s v="Derice Warnsley"/>
    <s v="Collections Group"/>
    <d v="2025-04-28T00:00:00"/>
    <d v="1899-12-30T13:00:07"/>
    <d v="1899-12-30T22:01:52"/>
    <n v="9.02"/>
    <n v="9.0299999999999994"/>
    <n v="0.84"/>
    <n v="0.02"/>
    <n v="0"/>
    <n v="0.02"/>
    <n v="6.66"/>
    <n v="1.47"/>
    <n v="0"/>
    <n v="0"/>
    <n v="0"/>
    <n v="0"/>
    <n v="9.0299999999999994"/>
    <n v="9.34"/>
    <n v="0.27"/>
    <n v="0"/>
    <n v="0.23"/>
    <n v="73.81"/>
    <n v="16.3"/>
    <n v="0"/>
    <n v="0"/>
    <n v="0"/>
    <n v="0.05"/>
    <n v="2"/>
    <x v="2"/>
  </r>
  <r>
    <x v="3"/>
    <x v="191"/>
    <x v="10"/>
    <x v="109"/>
    <n v="54"/>
    <n v="0"/>
    <n v="6"/>
    <n v="2"/>
    <n v="0"/>
    <n v="0"/>
    <n v="35"/>
    <s v="Jerrod Coleman"/>
    <s v="Collections Group"/>
    <d v="2025-04-28T00:00:00"/>
    <d v="1899-12-30T13:01:04"/>
    <d v="1899-12-30T21:59:04"/>
    <n v="8.9700000000000006"/>
    <n v="8.9700000000000006"/>
    <n v="0.61"/>
    <n v="0.16"/>
    <n v="0"/>
    <n v="0.05"/>
    <n v="6.49"/>
    <n v="1.46"/>
    <n v="0.18"/>
    <n v="0"/>
    <n v="0"/>
    <n v="0.01"/>
    <n v="8.9700000000000006"/>
    <n v="6.82"/>
    <n v="1.77"/>
    <n v="0"/>
    <n v="0.6"/>
    <n v="72.400000000000006"/>
    <n v="16.32"/>
    <n v="2.04"/>
    <n v="0"/>
    <n v="0"/>
    <n v="0.06"/>
    <n v="2"/>
    <x v="2"/>
  </r>
  <r>
    <x v="5"/>
    <x v="191"/>
    <x v="10"/>
    <x v="118"/>
    <n v="98"/>
    <n v="5"/>
    <n v="11"/>
    <n v="14"/>
    <n v="1"/>
    <n v="7"/>
    <n v="45"/>
    <s v="Sabigh Masood"/>
    <s v="Collections Group"/>
    <d v="2025-04-28T00:00:00"/>
    <d v="1899-12-30T12:59:21"/>
    <d v="1899-12-30T21:01:52"/>
    <n v="8.0299999999999994"/>
    <n v="8.0299999999999994"/>
    <n v="1.26"/>
    <n v="0.21"/>
    <n v="0"/>
    <n v="0.33"/>
    <n v="4.75"/>
    <n v="1.32"/>
    <n v="0.15"/>
    <n v="0"/>
    <n v="0"/>
    <n v="0.02"/>
    <n v="8.0299999999999994"/>
    <n v="15.75"/>
    <n v="2.58"/>
    <n v="0"/>
    <n v="4.0599999999999996"/>
    <n v="59.14"/>
    <n v="16.38"/>
    <n v="1.88"/>
    <n v="0"/>
    <n v="0"/>
    <n v="0.2"/>
    <n v="2"/>
    <x v="2"/>
  </r>
  <r>
    <x v="6"/>
    <x v="191"/>
    <x v="10"/>
    <x v="266"/>
    <n v="0"/>
    <n v="0"/>
    <n v="0"/>
    <n v="0"/>
    <n v="0"/>
    <n v="0"/>
    <n v="0"/>
    <m/>
    <m/>
    <m/>
    <m/>
    <m/>
    <m/>
    <m/>
    <m/>
    <m/>
    <m/>
    <m/>
    <m/>
    <m/>
    <m/>
    <m/>
    <m/>
    <m/>
    <m/>
    <m/>
    <m/>
    <m/>
    <m/>
    <m/>
    <m/>
    <m/>
    <m/>
    <m/>
    <m/>
    <n v="2"/>
    <x v="2"/>
  </r>
  <r>
    <x v="16"/>
    <x v="192"/>
    <x v="10"/>
    <x v="76"/>
    <n v="51"/>
    <n v="4"/>
    <n v="0"/>
    <n v="0"/>
    <n v="0"/>
    <n v="0"/>
    <n v="35"/>
    <s v="Alisha McGee"/>
    <s v="Collections Group"/>
    <d v="2025-04-25T00:00:00"/>
    <d v="1899-12-30T12:59:32"/>
    <d v="1899-12-30T22:08:55"/>
    <n v="9.15"/>
    <n v="7.76"/>
    <n v="0.63"/>
    <n v="0"/>
    <n v="0"/>
    <n v="0.25"/>
    <n v="6.19"/>
    <n v="0.11"/>
    <n v="0.56999999999999995"/>
    <n v="0"/>
    <n v="0"/>
    <n v="0.01"/>
    <n v="7.76"/>
    <n v="8.07"/>
    <n v="0"/>
    <n v="0"/>
    <n v="3.2"/>
    <n v="79.81"/>
    <n v="1.37"/>
    <n v="7.38"/>
    <n v="0"/>
    <n v="0"/>
    <n v="0.16"/>
    <n v="6"/>
    <x v="3"/>
  </r>
  <r>
    <x v="0"/>
    <x v="192"/>
    <x v="10"/>
    <x v="108"/>
    <n v="69"/>
    <n v="1"/>
    <n v="2"/>
    <n v="2"/>
    <n v="0"/>
    <n v="0"/>
    <n v="50"/>
    <s v="Anais Orozco"/>
    <s v="Collections Group"/>
    <d v="2025-04-25T00:00:00"/>
    <d v="1899-12-30T13:00:13"/>
    <d v="1899-12-30T22:04:37"/>
    <n v="9.07"/>
    <n v="8"/>
    <n v="0.67"/>
    <n v="7.0000000000000007E-2"/>
    <n v="0"/>
    <n v="0.15"/>
    <n v="6.73"/>
    <n v="0.33"/>
    <n v="0"/>
    <n v="0"/>
    <n v="0"/>
    <n v="0.06"/>
    <n v="8"/>
    <n v="8.36"/>
    <n v="0.91"/>
    <n v="0"/>
    <n v="1.82"/>
    <n v="84.12"/>
    <n v="4.0999999999999996"/>
    <n v="0"/>
    <n v="0"/>
    <n v="0"/>
    <n v="0.69"/>
    <n v="6"/>
    <x v="3"/>
  </r>
  <r>
    <x v="15"/>
    <x v="192"/>
    <x v="10"/>
    <x v="110"/>
    <n v="47"/>
    <n v="3"/>
    <n v="3"/>
    <n v="3"/>
    <n v="0"/>
    <n v="0"/>
    <n v="32"/>
    <s v="Candace Smith"/>
    <s v="Collections Group"/>
    <d v="2025-04-25T00:00:00"/>
    <d v="1899-12-30T13:00:11"/>
    <d v="1899-12-30T22:07:02"/>
    <n v="9.1199999999999992"/>
    <n v="9.11"/>
    <n v="1.2"/>
    <n v="0.46"/>
    <n v="0"/>
    <n v="0.22"/>
    <n v="5.01"/>
    <n v="1.59"/>
    <n v="0.63"/>
    <n v="0"/>
    <n v="0"/>
    <n v="0"/>
    <n v="9.11"/>
    <n v="13.12"/>
    <n v="5.05"/>
    <n v="0"/>
    <n v="2.4"/>
    <n v="54.97"/>
    <n v="17.48"/>
    <n v="6.92"/>
    <n v="0"/>
    <n v="0"/>
    <n v="0.05"/>
    <n v="6"/>
    <x v="3"/>
  </r>
  <r>
    <x v="1"/>
    <x v="192"/>
    <x v="10"/>
    <x v="112"/>
    <n v="32"/>
    <n v="0"/>
    <n v="0"/>
    <n v="1"/>
    <n v="0"/>
    <n v="0"/>
    <n v="26"/>
    <s v="Derice Warnsley"/>
    <s v="Collections Group"/>
    <d v="2025-04-25T00:00:00"/>
    <d v="1899-12-30T13:00:30"/>
    <d v="1899-12-30T17:00:36"/>
    <n v="4"/>
    <n v="4"/>
    <n v="0.43"/>
    <n v="0"/>
    <n v="0"/>
    <n v="0.02"/>
    <n v="3.31"/>
    <n v="0"/>
    <n v="0.23"/>
    <n v="0"/>
    <n v="0"/>
    <n v="0"/>
    <n v="4"/>
    <n v="10.69"/>
    <n v="0"/>
    <n v="0"/>
    <n v="0.55000000000000004"/>
    <n v="82.8"/>
    <n v="0"/>
    <n v="5.85"/>
    <n v="0"/>
    <n v="0"/>
    <n v="0.11"/>
    <n v="6"/>
    <x v="3"/>
  </r>
  <r>
    <x v="3"/>
    <x v="192"/>
    <x v="10"/>
    <x v="51"/>
    <n v="66"/>
    <n v="3"/>
    <n v="1"/>
    <n v="10"/>
    <n v="0"/>
    <n v="0"/>
    <n v="26"/>
    <s v="Jerrod Coleman"/>
    <s v="Collections Group"/>
    <d v="2025-04-25T00:00:00"/>
    <d v="1899-12-30T13:02:18"/>
    <d v="1899-12-30T22:01:27"/>
    <n v="8.98"/>
    <n v="8.99"/>
    <n v="0.9"/>
    <n v="7.0000000000000007E-2"/>
    <n v="0"/>
    <n v="0.1"/>
    <n v="6.45"/>
    <n v="1.45"/>
    <n v="0"/>
    <n v="0"/>
    <n v="0"/>
    <n v="0.01"/>
    <n v="8.99"/>
    <n v="10"/>
    <n v="0.83"/>
    <n v="0"/>
    <n v="1.0900000000000001"/>
    <n v="71.77"/>
    <n v="16.16"/>
    <n v="0"/>
    <n v="0"/>
    <n v="0"/>
    <n v="0.15"/>
    <n v="6"/>
    <x v="3"/>
  </r>
  <r>
    <x v="5"/>
    <x v="192"/>
    <x v="10"/>
    <x v="74"/>
    <n v="51"/>
    <n v="5"/>
    <n v="3"/>
    <n v="4"/>
    <n v="1"/>
    <n v="0"/>
    <n v="28"/>
    <s v="Sabigh Masood"/>
    <s v="Collections Group"/>
    <d v="2025-04-25T00:00:00"/>
    <d v="1899-12-30T12:59:41"/>
    <d v="1899-12-30T22:05:13"/>
    <n v="9.1"/>
    <n v="8.99"/>
    <n v="1.1200000000000001"/>
    <n v="0.21"/>
    <n v="0"/>
    <n v="0.32"/>
    <n v="5.31"/>
    <n v="1.9"/>
    <n v="0"/>
    <n v="0"/>
    <n v="0.11"/>
    <n v="0.02"/>
    <n v="8.99"/>
    <n v="12.42"/>
    <n v="2.37"/>
    <n v="0"/>
    <n v="3.51"/>
    <n v="59.06"/>
    <n v="21.16"/>
    <n v="0"/>
    <n v="0"/>
    <n v="1.28"/>
    <n v="0.21"/>
    <n v="6"/>
    <x v="3"/>
  </r>
  <r>
    <x v="6"/>
    <x v="192"/>
    <x v="10"/>
    <x v="267"/>
    <n v="0"/>
    <n v="0"/>
    <n v="0"/>
    <n v="0"/>
    <n v="0"/>
    <n v="0"/>
    <n v="0"/>
    <m/>
    <m/>
    <m/>
    <m/>
    <m/>
    <m/>
    <m/>
    <m/>
    <m/>
    <m/>
    <m/>
    <m/>
    <m/>
    <m/>
    <m/>
    <m/>
    <m/>
    <m/>
    <m/>
    <m/>
    <m/>
    <m/>
    <m/>
    <m/>
    <m/>
    <m/>
    <m/>
    <m/>
    <n v="6"/>
    <x v="3"/>
  </r>
  <r>
    <x v="16"/>
    <x v="193"/>
    <x v="10"/>
    <x v="120"/>
    <n v="48"/>
    <n v="0"/>
    <n v="0"/>
    <n v="4"/>
    <n v="0"/>
    <n v="0"/>
    <n v="33"/>
    <s v="Alisha McGee"/>
    <s v="Collections Group"/>
    <d v="2025-04-24T00:00:00"/>
    <d v="1899-12-30T13:01:27"/>
    <d v="1899-12-30T22:00:25"/>
    <n v="8.98"/>
    <n v="8.98"/>
    <n v="0.41"/>
    <n v="0"/>
    <n v="0"/>
    <n v="0.18"/>
    <n v="6.86"/>
    <n v="1.53"/>
    <n v="0"/>
    <n v="0"/>
    <n v="0"/>
    <n v="0"/>
    <n v="8.98"/>
    <n v="4.6100000000000003"/>
    <n v="0"/>
    <n v="0"/>
    <n v="1.99"/>
    <n v="76.38"/>
    <n v="16.98"/>
    <n v="0"/>
    <n v="0"/>
    <n v="0"/>
    <n v="0.04"/>
    <n v="5"/>
    <x v="4"/>
  </r>
  <r>
    <x v="0"/>
    <x v="193"/>
    <x v="10"/>
    <x v="178"/>
    <n v="40"/>
    <n v="1"/>
    <n v="5"/>
    <n v="9"/>
    <n v="0"/>
    <n v="1"/>
    <n v="16"/>
    <s v="Anais Orozco"/>
    <s v="Collections Group"/>
    <d v="2025-04-24T00:00:00"/>
    <d v="1899-12-30T13:01:30"/>
    <d v="1899-12-30T22:00:18"/>
    <n v="8.98"/>
    <n v="8.27"/>
    <n v="1.96"/>
    <n v="0.22"/>
    <n v="0"/>
    <n v="0.16"/>
    <n v="4.87"/>
    <n v="0.78"/>
    <n v="0.19"/>
    <n v="0"/>
    <n v="0"/>
    <n v="0.09"/>
    <n v="8.27"/>
    <n v="23.69"/>
    <n v="2.67"/>
    <n v="0"/>
    <n v="1.99"/>
    <n v="58.86"/>
    <n v="9.3699999999999992"/>
    <n v="2.31"/>
    <n v="0"/>
    <n v="0"/>
    <n v="1.1100000000000001"/>
    <n v="5"/>
    <x v="4"/>
  </r>
  <r>
    <x v="15"/>
    <x v="193"/>
    <x v="10"/>
    <x v="24"/>
    <n v="37"/>
    <n v="2"/>
    <n v="2"/>
    <n v="4"/>
    <n v="0"/>
    <n v="0"/>
    <n v="21"/>
    <s v="Candace Smith"/>
    <s v="Collections Group"/>
    <d v="2025-04-24T00:00:00"/>
    <d v="1899-12-30T12:59:51"/>
    <d v="1899-12-30T22:00:09"/>
    <n v="9.02"/>
    <n v="9"/>
    <n v="1.36"/>
    <n v="0.35"/>
    <n v="0"/>
    <n v="0.17"/>
    <n v="5.54"/>
    <n v="1.57"/>
    <n v="0"/>
    <n v="0"/>
    <n v="0"/>
    <n v="0.01"/>
    <n v="9"/>
    <n v="15.08"/>
    <n v="3.93"/>
    <n v="0"/>
    <n v="1.85"/>
    <n v="61.56"/>
    <n v="17.489999999999998"/>
    <n v="0"/>
    <n v="0"/>
    <n v="0"/>
    <n v="0.1"/>
    <n v="5"/>
    <x v="4"/>
  </r>
  <r>
    <x v="1"/>
    <x v="193"/>
    <x v="10"/>
    <x v="90"/>
    <n v="65"/>
    <n v="1"/>
    <n v="2"/>
    <n v="5"/>
    <n v="0"/>
    <n v="0"/>
    <n v="44"/>
    <s v="Derice Warnsley"/>
    <s v="Collections Group"/>
    <d v="2025-04-24T00:00:00"/>
    <d v="1899-12-30T13:00:15"/>
    <d v="1899-12-30T22:00:10"/>
    <n v="9"/>
    <n v="9"/>
    <n v="1.1399999999999999"/>
    <n v="0"/>
    <n v="0"/>
    <n v="0.04"/>
    <n v="6.36"/>
    <n v="1.46"/>
    <n v="0"/>
    <n v="0"/>
    <n v="0"/>
    <n v="0"/>
    <n v="9"/>
    <n v="12.62"/>
    <n v="0"/>
    <n v="0"/>
    <n v="0.46"/>
    <n v="70.64"/>
    <n v="16.239999999999998"/>
    <n v="0"/>
    <n v="0"/>
    <n v="0"/>
    <n v="0.04"/>
    <n v="5"/>
    <x v="4"/>
  </r>
  <r>
    <x v="3"/>
    <x v="193"/>
    <x v="10"/>
    <x v="75"/>
    <n v="89"/>
    <n v="1"/>
    <n v="5"/>
    <n v="4"/>
    <n v="0"/>
    <n v="0"/>
    <n v="53"/>
    <s v="Jerrod Coleman"/>
    <s v="Collections Group"/>
    <d v="2025-04-24T00:00:00"/>
    <d v="1899-12-30T13:01:40"/>
    <d v="1899-12-30T21:59:45"/>
    <n v="8.9700000000000006"/>
    <n v="8.9700000000000006"/>
    <n v="0.6"/>
    <n v="0.04"/>
    <n v="0"/>
    <n v="0.16"/>
    <n v="6.7"/>
    <n v="1.47"/>
    <n v="0"/>
    <n v="0"/>
    <n v="0"/>
    <n v="0.01"/>
    <n v="8.9700000000000006"/>
    <n v="6.71"/>
    <n v="0.41"/>
    <n v="0"/>
    <n v="1.73"/>
    <n v="74.69"/>
    <n v="16.36"/>
    <n v="0"/>
    <n v="0"/>
    <n v="0"/>
    <n v="0.09"/>
    <n v="5"/>
    <x v="4"/>
  </r>
  <r>
    <x v="5"/>
    <x v="193"/>
    <x v="10"/>
    <x v="69"/>
    <n v="75"/>
    <n v="2"/>
    <n v="1"/>
    <n v="7"/>
    <n v="0"/>
    <n v="0"/>
    <n v="54"/>
    <s v="Sabigh Masood"/>
    <s v="Collections Group"/>
    <d v="2025-04-24T00:00:00"/>
    <d v="1899-12-30T13:10:52"/>
    <d v="1899-12-30T22:10:27"/>
    <n v="9"/>
    <n v="8.99"/>
    <n v="0.47"/>
    <n v="0.19"/>
    <n v="0"/>
    <n v="0.09"/>
    <n v="6.69"/>
    <n v="1.45"/>
    <n v="0.1"/>
    <n v="0"/>
    <n v="0"/>
    <n v="0"/>
    <n v="8.99"/>
    <n v="5.24"/>
    <n v="2.14"/>
    <n v="0"/>
    <n v="1.03"/>
    <n v="74.319999999999993"/>
    <n v="16.13"/>
    <n v="1.0900000000000001"/>
    <n v="0"/>
    <n v="0"/>
    <n v="0.04"/>
    <n v="5"/>
    <x v="4"/>
  </r>
  <r>
    <x v="6"/>
    <x v="193"/>
    <x v="10"/>
    <x v="268"/>
    <n v="0"/>
    <n v="0"/>
    <n v="0"/>
    <n v="0"/>
    <n v="0"/>
    <n v="0"/>
    <n v="0"/>
    <m/>
    <m/>
    <m/>
    <m/>
    <m/>
    <m/>
    <m/>
    <m/>
    <m/>
    <m/>
    <m/>
    <m/>
    <m/>
    <m/>
    <m/>
    <m/>
    <m/>
    <m/>
    <m/>
    <m/>
    <m/>
    <m/>
    <m/>
    <m/>
    <m/>
    <m/>
    <m/>
    <m/>
    <n v="5"/>
    <x v="4"/>
  </r>
  <r>
    <x v="16"/>
    <x v="194"/>
    <x v="10"/>
    <x v="24"/>
    <n v="44"/>
    <n v="7"/>
    <n v="2"/>
    <n v="2"/>
    <n v="0"/>
    <n v="0"/>
    <n v="28"/>
    <s v="Alisha McGee"/>
    <s v="Collections Group"/>
    <d v="2025-04-23T00:00:00"/>
    <d v="1899-12-30T12:59:54"/>
    <d v="1899-12-30T22:00:16"/>
    <n v="9.02"/>
    <n v="8.32"/>
    <n v="1.06"/>
    <n v="0"/>
    <n v="0"/>
    <n v="0.27"/>
    <n v="5.84"/>
    <n v="0.66"/>
    <n v="0.47"/>
    <n v="0"/>
    <n v="0"/>
    <n v="0.01"/>
    <n v="8.32"/>
    <n v="12.79"/>
    <n v="0"/>
    <n v="0"/>
    <n v="3.25"/>
    <n v="70.17"/>
    <n v="7.97"/>
    <n v="5.65"/>
    <n v="0"/>
    <n v="0"/>
    <n v="0.17"/>
    <n v="4"/>
    <x v="0"/>
  </r>
  <r>
    <x v="0"/>
    <x v="194"/>
    <x v="10"/>
    <x v="113"/>
    <n v="76"/>
    <n v="1"/>
    <n v="1"/>
    <n v="0"/>
    <n v="0"/>
    <n v="0"/>
    <n v="57"/>
    <s v="Anais Orozco"/>
    <s v="Collections Group"/>
    <d v="2025-04-23T00:00:00"/>
    <d v="1899-12-30T13:00:48"/>
    <d v="1899-12-30T22:00:07"/>
    <n v="9"/>
    <n v="8.0399999999999991"/>
    <n v="0.57999999999999996"/>
    <n v="0.32"/>
    <n v="0"/>
    <n v="0.16"/>
    <n v="6.48"/>
    <n v="0.48"/>
    <n v="0"/>
    <n v="0"/>
    <n v="0"/>
    <n v="0.01"/>
    <n v="8.0399999999999991"/>
    <n v="7.19"/>
    <n v="4.0199999999999996"/>
    <n v="0"/>
    <n v="2.04"/>
    <n v="80.650000000000006"/>
    <n v="5.98"/>
    <n v="0"/>
    <n v="0"/>
    <n v="0"/>
    <n v="0.12"/>
    <n v="4"/>
    <x v="0"/>
  </r>
  <r>
    <x v="15"/>
    <x v="194"/>
    <x v="10"/>
    <x v="114"/>
    <n v="40"/>
    <n v="5"/>
    <n v="2"/>
    <n v="1"/>
    <n v="0"/>
    <n v="0"/>
    <n v="25"/>
    <s v="Candace Smith"/>
    <s v="Collections Group"/>
    <d v="2025-04-23T00:00:00"/>
    <d v="1899-12-30T13:04:38"/>
    <d v="1899-12-30T22:00:08"/>
    <n v="8.93"/>
    <n v="8.86"/>
    <n v="1.21"/>
    <n v="0.17"/>
    <n v="0"/>
    <n v="0.34"/>
    <n v="5.07"/>
    <n v="1.52"/>
    <n v="0.53"/>
    <n v="0"/>
    <n v="0"/>
    <n v="0.01"/>
    <n v="8.86"/>
    <n v="13.71"/>
    <n v="1.88"/>
    <n v="0"/>
    <n v="3.86"/>
    <n v="57.27"/>
    <n v="17.170000000000002"/>
    <n v="6.01"/>
    <n v="0"/>
    <n v="0"/>
    <n v="0.1"/>
    <n v="4"/>
    <x v="0"/>
  </r>
  <r>
    <x v="1"/>
    <x v="194"/>
    <x v="10"/>
    <x v="104"/>
    <n v="48"/>
    <n v="2"/>
    <n v="2"/>
    <n v="4"/>
    <n v="0"/>
    <n v="0"/>
    <n v="32"/>
    <s v="Derice Warnsley"/>
    <s v="Collections Group"/>
    <d v="2025-04-23T00:00:00"/>
    <d v="1899-12-30T13:00:05"/>
    <d v="1899-12-30T22:00:03"/>
    <n v="9"/>
    <n v="9"/>
    <n v="0.62"/>
    <n v="0.11"/>
    <n v="0"/>
    <n v="0.03"/>
    <n v="6.75"/>
    <n v="1.49"/>
    <n v="0"/>
    <n v="0"/>
    <n v="0"/>
    <n v="0"/>
    <n v="9"/>
    <n v="6.91"/>
    <n v="1.18"/>
    <n v="0"/>
    <n v="0.28000000000000003"/>
    <n v="75.02"/>
    <n v="16.55"/>
    <n v="0"/>
    <n v="0"/>
    <n v="0"/>
    <n v="0.05"/>
    <n v="4"/>
    <x v="0"/>
  </r>
  <r>
    <x v="3"/>
    <x v="194"/>
    <x v="10"/>
    <x v="118"/>
    <n v="69"/>
    <n v="2"/>
    <n v="1"/>
    <n v="6"/>
    <n v="0"/>
    <n v="1"/>
    <n v="39"/>
    <s v="Jerrod Coleman"/>
    <s v="Collections Group"/>
    <d v="2025-04-23T00:00:00"/>
    <d v="1899-12-30T13:02:41"/>
    <d v="1899-12-30T21:59:14"/>
    <n v="8.9499999999999993"/>
    <n v="8.93"/>
    <n v="0.77"/>
    <n v="0"/>
    <n v="0"/>
    <n v="0.08"/>
    <n v="6.6"/>
    <n v="1.48"/>
    <n v="0"/>
    <n v="0"/>
    <n v="0"/>
    <n v="0.01"/>
    <n v="8.93"/>
    <n v="8.6300000000000008"/>
    <n v="0"/>
    <n v="0"/>
    <n v="0.87"/>
    <n v="73.89"/>
    <n v="16.53"/>
    <n v="0"/>
    <n v="0"/>
    <n v="0"/>
    <n v="0.09"/>
    <n v="4"/>
    <x v="0"/>
  </r>
  <r>
    <x v="8"/>
    <x v="194"/>
    <x v="10"/>
    <x v="13"/>
    <n v="3"/>
    <n v="2"/>
    <n v="0"/>
    <n v="0"/>
    <n v="0"/>
    <n v="0"/>
    <n v="0"/>
    <m/>
    <m/>
    <m/>
    <m/>
    <m/>
    <m/>
    <m/>
    <m/>
    <m/>
    <m/>
    <m/>
    <m/>
    <m/>
    <m/>
    <m/>
    <m/>
    <m/>
    <m/>
    <m/>
    <m/>
    <m/>
    <m/>
    <m/>
    <m/>
    <m/>
    <m/>
    <m/>
    <m/>
    <n v="4"/>
    <x v="0"/>
  </r>
  <r>
    <x v="5"/>
    <x v="194"/>
    <x v="10"/>
    <x v="110"/>
    <n v="60"/>
    <n v="3"/>
    <n v="4"/>
    <n v="4"/>
    <n v="0"/>
    <n v="0"/>
    <n v="42"/>
    <s v="Sabigh Masood"/>
    <s v="Collections Group"/>
    <d v="2025-04-23T00:00:00"/>
    <d v="1899-12-30T12:59:31"/>
    <d v="1899-12-30T22:00:57"/>
    <n v="9.02"/>
    <n v="9.02"/>
    <n v="0.91"/>
    <n v="0.25"/>
    <n v="0"/>
    <n v="0.2"/>
    <n v="5.99"/>
    <n v="1.37"/>
    <n v="0.3"/>
    <n v="0"/>
    <n v="0"/>
    <n v="0"/>
    <n v="9.02"/>
    <n v="10.050000000000001"/>
    <n v="2.81"/>
    <n v="0"/>
    <n v="2.19"/>
    <n v="66.42"/>
    <n v="15.21"/>
    <n v="3.28"/>
    <n v="0"/>
    <n v="0"/>
    <n v="0.04"/>
    <n v="4"/>
    <x v="0"/>
  </r>
  <r>
    <x v="6"/>
    <x v="194"/>
    <x v="10"/>
    <x v="269"/>
    <n v="0"/>
    <n v="0"/>
    <n v="0"/>
    <n v="0"/>
    <n v="0"/>
    <n v="0"/>
    <n v="0"/>
    <m/>
    <m/>
    <m/>
    <m/>
    <m/>
    <m/>
    <m/>
    <m/>
    <m/>
    <m/>
    <m/>
    <m/>
    <m/>
    <m/>
    <m/>
    <m/>
    <m/>
    <m/>
    <m/>
    <m/>
    <m/>
    <m/>
    <m/>
    <m/>
    <m/>
    <m/>
    <m/>
    <m/>
    <n v="4"/>
    <x v="0"/>
  </r>
  <r>
    <x v="16"/>
    <x v="195"/>
    <x v="10"/>
    <x v="178"/>
    <n v="39"/>
    <n v="6"/>
    <n v="0"/>
    <n v="1"/>
    <n v="0"/>
    <n v="0"/>
    <n v="23"/>
    <s v="Alisha McGee"/>
    <s v="Collections Group"/>
    <d v="2025-04-22T00:00:00"/>
    <d v="1899-12-30T01:08:01"/>
    <d v="1899-12-30T22:00:10"/>
    <n v="20.87"/>
    <n v="8.6999999999999993"/>
    <n v="0.54"/>
    <n v="0"/>
    <n v="0"/>
    <n v="0.31"/>
    <n v="5.67"/>
    <n v="1.59"/>
    <n v="0"/>
    <n v="0"/>
    <n v="0.57999999999999996"/>
    <n v="0.01"/>
    <n v="8.6999999999999993"/>
    <n v="6.2"/>
    <n v="0"/>
    <n v="0"/>
    <n v="3.54"/>
    <n v="65.239999999999995"/>
    <n v="18.27"/>
    <n v="0"/>
    <n v="0"/>
    <n v="6.64"/>
    <n v="0.11"/>
    <n v="3"/>
    <x v="1"/>
  </r>
  <r>
    <x v="0"/>
    <x v="195"/>
    <x v="10"/>
    <x v="110"/>
    <n v="67"/>
    <n v="4"/>
    <n v="1"/>
    <n v="7"/>
    <n v="0"/>
    <n v="0"/>
    <n v="50"/>
    <s v="Anais Orozco"/>
    <s v="Collections Group"/>
    <d v="2025-04-22T00:00:00"/>
    <d v="1899-12-30T13:01:34"/>
    <d v="1899-12-30T22:04:45"/>
    <n v="9.0500000000000007"/>
    <n v="8.11"/>
    <n v="0.56000000000000005"/>
    <n v="0.23"/>
    <n v="0"/>
    <n v="0.24"/>
    <n v="6.53"/>
    <n v="0.53"/>
    <n v="0"/>
    <n v="0"/>
    <n v="0"/>
    <n v="0.02"/>
    <n v="8.11"/>
    <n v="6.89"/>
    <n v="2.83"/>
    <n v="0"/>
    <n v="2.98"/>
    <n v="80.55"/>
    <n v="6.54"/>
    <n v="0"/>
    <n v="0"/>
    <n v="0"/>
    <n v="0.22"/>
    <n v="3"/>
    <x v="1"/>
  </r>
  <r>
    <x v="15"/>
    <x v="195"/>
    <x v="10"/>
    <x v="120"/>
    <n v="50"/>
    <n v="2"/>
    <n v="1"/>
    <n v="3"/>
    <n v="2"/>
    <n v="0"/>
    <n v="40"/>
    <s v="Candace Smith"/>
    <s v="Collections Group"/>
    <d v="2025-04-22T00:00:00"/>
    <d v="1899-12-30T13:00:28"/>
    <d v="1899-12-30T22:00:46"/>
    <n v="9"/>
    <n v="9.01"/>
    <n v="1.75"/>
    <n v="0"/>
    <n v="0"/>
    <n v="0.2"/>
    <n v="5.53"/>
    <n v="1.52"/>
    <n v="0"/>
    <n v="0"/>
    <n v="0"/>
    <n v="0.01"/>
    <n v="9.01"/>
    <n v="19.48"/>
    <n v="0"/>
    <n v="0"/>
    <n v="2.2599999999999998"/>
    <n v="61.36"/>
    <n v="16.84"/>
    <n v="0"/>
    <n v="0"/>
    <n v="0"/>
    <n v="0.06"/>
    <n v="3"/>
    <x v="1"/>
  </r>
  <r>
    <x v="1"/>
    <x v="195"/>
    <x v="10"/>
    <x v="113"/>
    <n v="55"/>
    <n v="7"/>
    <n v="2"/>
    <n v="4"/>
    <n v="1"/>
    <n v="0"/>
    <n v="37"/>
    <s v="Derice Warnsley"/>
    <s v="Collections Group"/>
    <d v="2025-04-22T00:00:00"/>
    <d v="1899-12-30T13:00:15"/>
    <d v="1899-12-30T22:00:15"/>
    <n v="9"/>
    <n v="9"/>
    <n v="1.32"/>
    <n v="0"/>
    <n v="0"/>
    <n v="0.02"/>
    <n v="6.23"/>
    <n v="1.42"/>
    <n v="0"/>
    <n v="0"/>
    <n v="0"/>
    <n v="0.01"/>
    <n v="9"/>
    <n v="14.65"/>
    <n v="0"/>
    <n v="0"/>
    <n v="0.24"/>
    <n v="69.209999999999994"/>
    <n v="15.75"/>
    <n v="0"/>
    <n v="0"/>
    <n v="0"/>
    <n v="0.15"/>
    <n v="3"/>
    <x v="1"/>
  </r>
  <r>
    <x v="3"/>
    <x v="195"/>
    <x v="10"/>
    <x v="110"/>
    <n v="70"/>
    <n v="9"/>
    <n v="5"/>
    <n v="7"/>
    <n v="0"/>
    <n v="0"/>
    <n v="41"/>
    <s v="Jerrod Coleman"/>
    <s v="Collections Group"/>
    <d v="2025-04-22T00:00:00"/>
    <d v="1899-12-30T13:03:21"/>
    <d v="1899-12-30T22:01:08"/>
    <n v="8.9700000000000006"/>
    <n v="8.9600000000000009"/>
    <n v="0.85"/>
    <n v="0"/>
    <n v="0"/>
    <n v="0.23"/>
    <n v="6.41"/>
    <n v="1.47"/>
    <n v="0"/>
    <n v="0"/>
    <n v="0"/>
    <n v="0"/>
    <n v="8.9600000000000009"/>
    <n v="9.4600000000000009"/>
    <n v="0"/>
    <n v="0"/>
    <n v="2.5499999999999998"/>
    <n v="71.55"/>
    <n v="16.39"/>
    <n v="0"/>
    <n v="0"/>
    <n v="0"/>
    <n v="0.05"/>
    <n v="3"/>
    <x v="1"/>
  </r>
  <r>
    <x v="5"/>
    <x v="195"/>
    <x v="10"/>
    <x v="118"/>
    <n v="72"/>
    <n v="6"/>
    <n v="0"/>
    <n v="4"/>
    <n v="0"/>
    <n v="0"/>
    <n v="47"/>
    <s v="Sabigh Masood"/>
    <s v="Collections Group"/>
    <d v="2025-04-22T00:00:00"/>
    <d v="1899-12-30T12:59:37"/>
    <d v="1899-12-30T22:05:07"/>
    <n v="9.1"/>
    <n v="9.09"/>
    <n v="0.68"/>
    <n v="0.18"/>
    <n v="0"/>
    <n v="0.42"/>
    <n v="6.35"/>
    <n v="1.46"/>
    <n v="0"/>
    <n v="0"/>
    <n v="0"/>
    <n v="0"/>
    <n v="9.09"/>
    <n v="7.52"/>
    <n v="1.95"/>
    <n v="0"/>
    <n v="4.58"/>
    <n v="69.819999999999993"/>
    <n v="16.079999999999998"/>
    <n v="0"/>
    <n v="0"/>
    <n v="0"/>
    <n v="0.04"/>
    <n v="3"/>
    <x v="1"/>
  </r>
  <r>
    <x v="6"/>
    <x v="195"/>
    <x v="10"/>
    <x v="270"/>
    <n v="0"/>
    <n v="0"/>
    <n v="0"/>
    <n v="0"/>
    <n v="0"/>
    <n v="0"/>
    <n v="0"/>
    <m/>
    <m/>
    <m/>
    <m/>
    <m/>
    <m/>
    <m/>
    <m/>
    <m/>
    <m/>
    <m/>
    <m/>
    <m/>
    <m/>
    <m/>
    <m/>
    <m/>
    <m/>
    <m/>
    <m/>
    <m/>
    <m/>
    <m/>
    <m/>
    <m/>
    <m/>
    <m/>
    <m/>
    <n v="3"/>
    <x v="1"/>
  </r>
  <r>
    <x v="16"/>
    <x v="196"/>
    <x v="10"/>
    <x v="190"/>
    <n v="14"/>
    <n v="4"/>
    <n v="0"/>
    <n v="2"/>
    <n v="0"/>
    <n v="0"/>
    <n v="4"/>
    <s v="Alisha McGee"/>
    <s v="Collections Group"/>
    <d v="2025-04-21T00:00:00"/>
    <d v="1899-12-30T17:31:50"/>
    <d v="1899-12-30T22:00:55"/>
    <n v="4.4800000000000004"/>
    <n v="4.4800000000000004"/>
    <n v="0.31"/>
    <n v="0"/>
    <n v="0"/>
    <n v="0.35"/>
    <n v="3.53"/>
    <n v="0"/>
    <n v="0.25"/>
    <n v="0"/>
    <n v="0.03"/>
    <n v="0"/>
    <n v="4.4800000000000004"/>
    <n v="6.98"/>
    <n v="0"/>
    <n v="0"/>
    <n v="7.79"/>
    <n v="78.78"/>
    <n v="0"/>
    <n v="5.64"/>
    <n v="0"/>
    <n v="0.71"/>
    <n v="0.11"/>
    <n v="2"/>
    <x v="2"/>
  </r>
  <r>
    <x v="0"/>
    <x v="196"/>
    <x v="10"/>
    <x v="108"/>
    <n v="74"/>
    <n v="2"/>
    <n v="4"/>
    <n v="1"/>
    <n v="1"/>
    <n v="0"/>
    <n v="54"/>
    <s v="Anais Orozco"/>
    <s v="Collections Group"/>
    <d v="2025-04-21T00:00:00"/>
    <d v="1899-12-30T13:01:03"/>
    <d v="1899-12-30T22:00:10"/>
    <n v="8.98"/>
    <n v="8.24"/>
    <n v="0.91"/>
    <n v="0.15"/>
    <n v="0"/>
    <n v="0.18"/>
    <n v="6.21"/>
    <n v="0.65"/>
    <n v="0"/>
    <n v="0"/>
    <n v="0"/>
    <n v="0.13"/>
    <n v="8.24"/>
    <n v="11.04"/>
    <n v="1.82"/>
    <n v="0"/>
    <n v="2.19"/>
    <n v="75.400000000000006"/>
    <n v="7.91"/>
    <n v="0"/>
    <n v="0"/>
    <n v="0"/>
    <n v="1.64"/>
    <n v="2"/>
    <x v="2"/>
  </r>
  <r>
    <x v="15"/>
    <x v="196"/>
    <x v="10"/>
    <x v="154"/>
    <n v="41"/>
    <n v="2"/>
    <n v="0"/>
    <n v="5"/>
    <n v="0"/>
    <n v="0"/>
    <n v="32"/>
    <s v="Candace Smith"/>
    <s v="Collections Group"/>
    <d v="2025-04-21T00:00:00"/>
    <d v="1899-12-30T13:07:48"/>
    <d v="1899-12-30T22:04:37"/>
    <n v="8.9499999999999993"/>
    <n v="8.9499999999999993"/>
    <n v="0.69"/>
    <n v="0.44"/>
    <n v="0"/>
    <n v="0.23"/>
    <n v="5.92"/>
    <n v="1.51"/>
    <n v="0.14000000000000001"/>
    <n v="0"/>
    <n v="0"/>
    <n v="0.01"/>
    <n v="8.9499999999999993"/>
    <n v="7.69"/>
    <n v="4.97"/>
    <n v="0"/>
    <n v="2.62"/>
    <n v="66.12"/>
    <n v="16.91"/>
    <n v="1.6"/>
    <n v="0"/>
    <n v="0"/>
    <n v="0.09"/>
    <n v="2"/>
    <x v="2"/>
  </r>
  <r>
    <x v="1"/>
    <x v="196"/>
    <x v="10"/>
    <x v="76"/>
    <n v="39"/>
    <n v="7"/>
    <n v="1"/>
    <n v="3"/>
    <n v="0"/>
    <n v="0"/>
    <n v="19"/>
    <s v="Derice Warnsley"/>
    <s v="Collections Group"/>
    <d v="2025-04-21T00:00:00"/>
    <d v="1899-12-30T13:00:43"/>
    <d v="1899-12-30T22:00:02"/>
    <n v="9"/>
    <n v="8.99"/>
    <n v="0.72"/>
    <n v="0"/>
    <n v="0"/>
    <n v="0.02"/>
    <n v="6.26"/>
    <n v="1.48"/>
    <n v="0.51"/>
    <n v="0"/>
    <n v="0"/>
    <n v="0.01"/>
    <n v="8.99"/>
    <n v="8.0299999999999994"/>
    <n v="0"/>
    <n v="0"/>
    <n v="0.18"/>
    <n v="69.61"/>
    <n v="16.440000000000001"/>
    <n v="5.69"/>
    <n v="0"/>
    <n v="0"/>
    <n v="0.06"/>
    <n v="2"/>
    <x v="2"/>
  </r>
  <r>
    <x v="3"/>
    <x v="196"/>
    <x v="10"/>
    <x v="69"/>
    <n v="61"/>
    <n v="3"/>
    <n v="8"/>
    <n v="6"/>
    <n v="2"/>
    <n v="0"/>
    <n v="31"/>
    <s v="Jerrod Coleman"/>
    <s v="Collections Group"/>
    <d v="2025-04-21T00:00:00"/>
    <d v="1899-12-30T13:02:41"/>
    <d v="1899-12-30T21:59:16"/>
    <n v="8.9499999999999993"/>
    <n v="8.94"/>
    <n v="0.97"/>
    <n v="0.26"/>
    <n v="0"/>
    <n v="0.18"/>
    <n v="5.89"/>
    <n v="1.48"/>
    <n v="0.16"/>
    <n v="0"/>
    <n v="0"/>
    <n v="0"/>
    <n v="8.94"/>
    <n v="10.83"/>
    <n v="2.86"/>
    <n v="0"/>
    <n v="2.0299999999999998"/>
    <n v="65.87"/>
    <n v="16.52"/>
    <n v="1.83"/>
    <n v="0"/>
    <n v="0"/>
    <n v="0.05"/>
    <n v="2"/>
    <x v="2"/>
  </r>
  <r>
    <x v="5"/>
    <x v="196"/>
    <x v="10"/>
    <x v="110"/>
    <n v="62"/>
    <n v="8"/>
    <n v="4"/>
    <n v="1"/>
    <n v="0"/>
    <n v="0"/>
    <n v="39"/>
    <s v="Sabigh Masood"/>
    <s v="Collections Group"/>
    <d v="2025-04-21T00:00:00"/>
    <d v="1899-12-30T12:59:37"/>
    <d v="1899-12-30T22:00:08"/>
    <n v="9.02"/>
    <n v="8.94"/>
    <n v="0.56999999999999995"/>
    <n v="0.12"/>
    <n v="0"/>
    <n v="0.19"/>
    <n v="6.32"/>
    <n v="1.5"/>
    <n v="0.13"/>
    <n v="0"/>
    <n v="0.1"/>
    <n v="0.02"/>
    <n v="8.94"/>
    <n v="6.35"/>
    <n v="1.31"/>
    <n v="0"/>
    <n v="2.17"/>
    <n v="70.63"/>
    <n v="16.77"/>
    <n v="1.46"/>
    <n v="0"/>
    <n v="1.1399999999999999"/>
    <n v="0.18"/>
    <n v="2"/>
    <x v="2"/>
  </r>
  <r>
    <x v="6"/>
    <x v="196"/>
    <x v="10"/>
    <x v="269"/>
    <n v="0"/>
    <n v="0"/>
    <n v="0"/>
    <n v="0"/>
    <n v="0"/>
    <n v="0"/>
    <n v="0"/>
    <m/>
    <m/>
    <m/>
    <m/>
    <m/>
    <m/>
    <m/>
    <m/>
    <m/>
    <m/>
    <m/>
    <m/>
    <m/>
    <m/>
    <m/>
    <m/>
    <m/>
    <m/>
    <m/>
    <m/>
    <m/>
    <m/>
    <m/>
    <m/>
    <m/>
    <m/>
    <m/>
    <m/>
    <n v="2"/>
    <x v="2"/>
  </r>
  <r>
    <x v="0"/>
    <x v="197"/>
    <x v="10"/>
    <x v="108"/>
    <n v="61"/>
    <n v="0"/>
    <n v="2"/>
    <n v="0"/>
    <n v="0"/>
    <n v="0"/>
    <n v="36"/>
    <s v="Anais Orozco"/>
    <s v="Collections Group"/>
    <d v="2025-04-18T00:00:00"/>
    <d v="1899-12-30T13:00:47"/>
    <d v="1899-12-30T22:00:53"/>
    <n v="9"/>
    <n v="8.3000000000000007"/>
    <n v="0.37"/>
    <n v="7.0000000000000007E-2"/>
    <n v="0"/>
    <n v="0.14000000000000001"/>
    <n v="6.22"/>
    <n v="0.51"/>
    <n v="0.96"/>
    <n v="0"/>
    <n v="0"/>
    <n v="0.04"/>
    <n v="8.3000000000000007"/>
    <n v="4.4800000000000004"/>
    <n v="0.8"/>
    <n v="0"/>
    <n v="1.63"/>
    <n v="74.91"/>
    <n v="6.17"/>
    <n v="11.52"/>
    <n v="0"/>
    <n v="0"/>
    <n v="0.49"/>
    <n v="6"/>
    <x v="3"/>
  </r>
  <r>
    <x v="1"/>
    <x v="197"/>
    <x v="10"/>
    <x v="73"/>
    <n v="49"/>
    <n v="3"/>
    <n v="2"/>
    <n v="3"/>
    <n v="0"/>
    <n v="0"/>
    <n v="33"/>
    <s v="Derice Warnsley"/>
    <s v="Collections Group"/>
    <d v="2025-04-18T00:00:00"/>
    <d v="1899-12-30T13:01:11"/>
    <d v="1899-12-30T22:00:13"/>
    <n v="8.98"/>
    <n v="8.98"/>
    <n v="0.56000000000000005"/>
    <n v="0"/>
    <n v="0"/>
    <n v="0.03"/>
    <n v="6.9"/>
    <n v="1.48"/>
    <n v="0"/>
    <n v="0"/>
    <n v="0"/>
    <n v="0.01"/>
    <n v="8.98"/>
    <n v="6.29"/>
    <n v="0"/>
    <n v="0"/>
    <n v="0.32"/>
    <n v="76.849999999999994"/>
    <n v="16.47"/>
    <n v="0"/>
    <n v="0"/>
    <n v="0"/>
    <n v="7.0000000000000007E-2"/>
    <n v="6"/>
    <x v="3"/>
  </r>
  <r>
    <x v="3"/>
    <x v="197"/>
    <x v="10"/>
    <x v="110"/>
    <n v="57"/>
    <n v="2"/>
    <n v="4"/>
    <n v="3"/>
    <n v="0"/>
    <n v="0"/>
    <n v="39"/>
    <s v="Jerrod Coleman"/>
    <s v="Collections Group"/>
    <d v="2025-04-18T00:00:00"/>
    <d v="1899-12-30T13:03:20"/>
    <d v="1899-12-30T21:59:35"/>
    <n v="8.93"/>
    <n v="8.94"/>
    <n v="0.62"/>
    <n v="0.41"/>
    <n v="0"/>
    <n v="0.14000000000000001"/>
    <n v="6.33"/>
    <n v="1.44"/>
    <n v="0"/>
    <n v="0"/>
    <n v="0"/>
    <n v="0"/>
    <n v="8.94"/>
    <n v="6.89"/>
    <n v="4.6100000000000003"/>
    <n v="0"/>
    <n v="1.54"/>
    <n v="70.790000000000006"/>
    <n v="16.13"/>
    <n v="0"/>
    <n v="0"/>
    <n v="0"/>
    <n v="0.05"/>
    <n v="6"/>
    <x v="3"/>
  </r>
  <r>
    <x v="5"/>
    <x v="197"/>
    <x v="10"/>
    <x v="110"/>
    <n v="74"/>
    <n v="4"/>
    <n v="0"/>
    <n v="17"/>
    <n v="1"/>
    <n v="0"/>
    <n v="43"/>
    <s v="Sabigh Masood"/>
    <s v="Collections Group"/>
    <d v="2025-04-18T00:00:00"/>
    <d v="1899-12-30T12:59:15"/>
    <d v="1899-12-30T22:01:11"/>
    <n v="9.0299999999999994"/>
    <n v="9.0299999999999994"/>
    <n v="0.59"/>
    <n v="0.13"/>
    <n v="0"/>
    <n v="0.3"/>
    <n v="6.29"/>
    <n v="1.72"/>
    <n v="0"/>
    <n v="0"/>
    <n v="0"/>
    <n v="0"/>
    <n v="9.0299999999999994"/>
    <n v="6.51"/>
    <n v="1.42"/>
    <n v="0"/>
    <n v="3.36"/>
    <n v="69.599999999999994"/>
    <n v="19.059999999999999"/>
    <n v="0"/>
    <n v="0"/>
    <n v="0"/>
    <n v="0.05"/>
    <n v="6"/>
    <x v="3"/>
  </r>
  <r>
    <x v="6"/>
    <x v="197"/>
    <x v="10"/>
    <x v="271"/>
    <n v="0"/>
    <n v="0"/>
    <n v="0"/>
    <n v="0"/>
    <n v="0"/>
    <n v="0"/>
    <n v="0"/>
    <m/>
    <m/>
    <m/>
    <m/>
    <m/>
    <m/>
    <m/>
    <m/>
    <m/>
    <m/>
    <m/>
    <m/>
    <m/>
    <m/>
    <m/>
    <m/>
    <m/>
    <m/>
    <m/>
    <m/>
    <m/>
    <m/>
    <m/>
    <m/>
    <m/>
    <m/>
    <m/>
    <m/>
    <n v="6"/>
    <x v="3"/>
  </r>
  <r>
    <x v="0"/>
    <x v="198"/>
    <x v="10"/>
    <x v="24"/>
    <n v="47"/>
    <n v="0"/>
    <n v="3"/>
    <n v="1"/>
    <n v="0"/>
    <n v="0"/>
    <n v="31"/>
    <s v="Anais Orozco"/>
    <s v="Collections Group"/>
    <d v="2025-04-17T00:00:00"/>
    <d v="1899-12-30T13:00:41"/>
    <d v="1899-12-30T22:00:18"/>
    <n v="9"/>
    <n v="8.09"/>
    <n v="0.37"/>
    <n v="0.06"/>
    <n v="0"/>
    <n v="0.13"/>
    <n v="6.93"/>
    <n v="0.57999999999999996"/>
    <n v="0"/>
    <n v="0"/>
    <n v="0"/>
    <n v="0.01"/>
    <n v="8.09"/>
    <n v="4.58"/>
    <n v="0.77"/>
    <n v="0"/>
    <n v="1.63"/>
    <n v="85.68"/>
    <n v="7.19"/>
    <n v="0"/>
    <n v="0"/>
    <n v="0"/>
    <n v="0.16"/>
    <n v="5"/>
    <x v="4"/>
  </r>
  <r>
    <x v="1"/>
    <x v="198"/>
    <x v="10"/>
    <x v="74"/>
    <n v="41"/>
    <n v="0"/>
    <n v="2"/>
    <n v="6"/>
    <n v="0"/>
    <n v="0"/>
    <n v="27"/>
    <s v="Derice Warnsley"/>
    <s v="Collections Group"/>
    <d v="2025-04-17T00:00:00"/>
    <d v="1899-12-30T13:00:24"/>
    <d v="1899-12-30T22:00:22"/>
    <n v="9"/>
    <n v="9"/>
    <n v="0.5"/>
    <n v="0"/>
    <n v="0"/>
    <n v="0.02"/>
    <n v="7"/>
    <n v="1.48"/>
    <n v="0"/>
    <n v="0"/>
    <n v="0"/>
    <n v="0"/>
    <n v="9"/>
    <n v="5.52"/>
    <n v="0"/>
    <n v="0"/>
    <n v="0.22"/>
    <n v="77.790000000000006"/>
    <n v="16.43"/>
    <n v="0"/>
    <n v="0"/>
    <n v="0"/>
    <n v="0.04"/>
    <n v="5"/>
    <x v="4"/>
  </r>
  <r>
    <x v="3"/>
    <x v="198"/>
    <x v="10"/>
    <x v="90"/>
    <n v="70"/>
    <n v="1"/>
    <n v="0"/>
    <n v="4"/>
    <n v="1"/>
    <n v="0"/>
    <n v="53"/>
    <s v="Jerrod Coleman"/>
    <s v="Collections Group"/>
    <d v="2025-04-17T00:00:00"/>
    <d v="1899-12-30T13:06:04"/>
    <d v="1899-12-30T22:01:04"/>
    <n v="8.92"/>
    <n v="8.91"/>
    <n v="0.48"/>
    <n v="0.24"/>
    <n v="0"/>
    <n v="0.12"/>
    <n v="6.58"/>
    <n v="1.48"/>
    <n v="0"/>
    <n v="0"/>
    <n v="0"/>
    <n v="0.01"/>
    <n v="8.91"/>
    <n v="5.36"/>
    <n v="2.65"/>
    <n v="0"/>
    <n v="1.39"/>
    <n v="73.87"/>
    <n v="16.64"/>
    <n v="0"/>
    <n v="0"/>
    <n v="0"/>
    <n v="0.09"/>
    <n v="5"/>
    <x v="4"/>
  </r>
  <r>
    <x v="5"/>
    <x v="198"/>
    <x v="10"/>
    <x v="116"/>
    <n v="80"/>
    <n v="3"/>
    <n v="1"/>
    <n v="3"/>
    <n v="0"/>
    <n v="0"/>
    <n v="54"/>
    <s v="Sabigh Masood"/>
    <s v="Collections Group"/>
    <d v="2025-04-17T00:00:00"/>
    <d v="1899-12-30T12:59:19"/>
    <d v="1899-12-30T22:00:26"/>
    <n v="9.02"/>
    <n v="8.99"/>
    <n v="0.64"/>
    <n v="0.06"/>
    <n v="0"/>
    <n v="0.19"/>
    <n v="6.54"/>
    <n v="1.48"/>
    <n v="0"/>
    <n v="0"/>
    <n v="7.0000000000000007E-2"/>
    <n v="0.01"/>
    <n v="8.99"/>
    <n v="7.1"/>
    <n v="0.64"/>
    <n v="0"/>
    <n v="2.17"/>
    <n v="72.819999999999993"/>
    <n v="16.43"/>
    <n v="0"/>
    <n v="0"/>
    <n v="0.72"/>
    <n v="0.12"/>
    <n v="5"/>
    <x v="4"/>
  </r>
  <r>
    <x v="6"/>
    <x v="198"/>
    <x v="10"/>
    <x v="272"/>
    <n v="0"/>
    <n v="0"/>
    <n v="0"/>
    <n v="0"/>
    <n v="0"/>
    <n v="0"/>
    <n v="0"/>
    <m/>
    <m/>
    <m/>
    <m/>
    <m/>
    <m/>
    <m/>
    <m/>
    <m/>
    <m/>
    <m/>
    <m/>
    <m/>
    <m/>
    <m/>
    <m/>
    <m/>
    <m/>
    <m/>
    <m/>
    <m/>
    <m/>
    <m/>
    <m/>
    <m/>
    <m/>
    <m/>
    <m/>
    <n v="5"/>
    <x v="4"/>
  </r>
  <r>
    <x v="0"/>
    <x v="199"/>
    <x v="10"/>
    <x v="110"/>
    <n v="56"/>
    <n v="2"/>
    <n v="0"/>
    <n v="1"/>
    <n v="0"/>
    <n v="0"/>
    <n v="39"/>
    <s v="Anais Orozco"/>
    <s v="Collections Group"/>
    <d v="2025-04-16T00:00:00"/>
    <d v="1899-12-30T13:00:35"/>
    <d v="1899-12-30T22:01:11"/>
    <n v="9.02"/>
    <n v="8.17"/>
    <n v="0.62"/>
    <n v="0.28999999999999998"/>
    <n v="0"/>
    <n v="0.22"/>
    <n v="6.12"/>
    <n v="0.51"/>
    <n v="0.3"/>
    <n v="0"/>
    <n v="0"/>
    <n v="0.12"/>
    <n v="8.17"/>
    <n v="7.54"/>
    <n v="3.54"/>
    <n v="0"/>
    <n v="2.64"/>
    <n v="74.900000000000006"/>
    <n v="6.21"/>
    <n v="3.7"/>
    <n v="0"/>
    <n v="0"/>
    <n v="1.46"/>
    <n v="4"/>
    <x v="0"/>
  </r>
  <r>
    <x v="1"/>
    <x v="199"/>
    <x v="10"/>
    <x v="90"/>
    <n v="71"/>
    <n v="4"/>
    <n v="1"/>
    <n v="2"/>
    <n v="0"/>
    <n v="5"/>
    <n v="47"/>
    <s v="Derice Warnsley"/>
    <s v="Collections Group"/>
    <d v="2025-04-16T00:00:00"/>
    <d v="1899-12-30T13:00:05"/>
    <d v="1899-12-30T22:01:08"/>
    <n v="9.02"/>
    <n v="9.02"/>
    <n v="0.81"/>
    <n v="0.03"/>
    <n v="0"/>
    <n v="0.03"/>
    <n v="6.18"/>
    <n v="1.46"/>
    <n v="0.49"/>
    <n v="0"/>
    <n v="0"/>
    <n v="0"/>
    <n v="9.02"/>
    <n v="8.9499999999999993"/>
    <n v="0.38"/>
    <n v="0"/>
    <n v="0.38"/>
    <n v="68.55"/>
    <n v="16.239999999999998"/>
    <n v="5.46"/>
    <n v="0"/>
    <n v="0"/>
    <n v="0.05"/>
    <n v="4"/>
    <x v="0"/>
  </r>
  <r>
    <x v="3"/>
    <x v="199"/>
    <x v="10"/>
    <x v="75"/>
    <n v="60"/>
    <n v="0"/>
    <n v="6"/>
    <n v="8"/>
    <n v="0"/>
    <n v="0"/>
    <n v="32"/>
    <s v="Jerrod Coleman"/>
    <s v="Collections Group"/>
    <d v="2025-04-16T00:00:00"/>
    <d v="1899-12-30T13:04:01"/>
    <d v="1899-12-30T22:05:00"/>
    <n v="9.02"/>
    <n v="9.02"/>
    <n v="1.1100000000000001"/>
    <n v="0.13"/>
    <n v="0"/>
    <n v="0.18"/>
    <n v="5.85"/>
    <n v="1.47"/>
    <n v="0.27"/>
    <n v="0"/>
    <n v="0"/>
    <n v="0"/>
    <n v="9.02"/>
    <n v="12.31"/>
    <n v="1.45"/>
    <n v="0"/>
    <n v="2.0499999999999998"/>
    <n v="64.89"/>
    <n v="16.32"/>
    <n v="2.94"/>
    <n v="0"/>
    <n v="0"/>
    <n v="0.05"/>
    <n v="4"/>
    <x v="0"/>
  </r>
  <r>
    <x v="5"/>
    <x v="199"/>
    <x v="10"/>
    <x v="104"/>
    <n v="75"/>
    <n v="4"/>
    <n v="8"/>
    <n v="8"/>
    <n v="0"/>
    <n v="0"/>
    <n v="37"/>
    <s v="Sabigh Masood"/>
    <s v="Collections Group"/>
    <d v="2025-04-16T00:00:00"/>
    <d v="1899-12-30T12:59:09"/>
    <d v="1899-12-30T22:02:44"/>
    <n v="9.0500000000000007"/>
    <n v="8.5"/>
    <n v="0.94"/>
    <n v="0.25"/>
    <n v="0"/>
    <n v="0.2"/>
    <n v="5.31"/>
    <n v="1.1499999999999999"/>
    <n v="0.26"/>
    <n v="0"/>
    <n v="0.32"/>
    <n v="7.0000000000000007E-2"/>
    <n v="8.5"/>
    <n v="11.05"/>
    <n v="2.95"/>
    <n v="0"/>
    <n v="2.39"/>
    <n v="62.49"/>
    <n v="13.47"/>
    <n v="3.1"/>
    <n v="0"/>
    <n v="3.78"/>
    <n v="0.76"/>
    <n v="4"/>
    <x v="0"/>
  </r>
  <r>
    <x v="6"/>
    <x v="199"/>
    <x v="10"/>
    <x v="273"/>
    <n v="0"/>
    <n v="0"/>
    <n v="0"/>
    <n v="0"/>
    <n v="0"/>
    <n v="0"/>
    <n v="0"/>
    <m/>
    <m/>
    <m/>
    <m/>
    <m/>
    <m/>
    <m/>
    <m/>
    <m/>
    <m/>
    <m/>
    <m/>
    <m/>
    <m/>
    <m/>
    <m/>
    <m/>
    <m/>
    <m/>
    <m/>
    <m/>
    <m/>
    <m/>
    <m/>
    <m/>
    <m/>
    <m/>
    <m/>
    <n v="4"/>
    <x v="0"/>
  </r>
  <r>
    <x v="0"/>
    <x v="200"/>
    <x v="10"/>
    <x v="56"/>
    <n v="87"/>
    <n v="11"/>
    <n v="8"/>
    <n v="3"/>
    <n v="3"/>
    <n v="2"/>
    <n v="43"/>
    <s v="Anais Orozco"/>
    <s v="Collections Group"/>
    <d v="2025-04-15T00:00:00"/>
    <d v="1899-12-30T13:00:40"/>
    <d v="1899-12-30T22:03:58"/>
    <n v="9.0500000000000007"/>
    <n v="8.15"/>
    <n v="1.86"/>
    <n v="0.46"/>
    <n v="0"/>
    <n v="0.46"/>
    <n v="4.6900000000000004"/>
    <n v="0.47"/>
    <n v="0.16"/>
    <n v="0"/>
    <n v="0"/>
    <n v="0.05"/>
    <n v="8.15"/>
    <n v="22.84"/>
    <n v="5.69"/>
    <n v="0"/>
    <n v="5.64"/>
    <n v="57.48"/>
    <n v="5.76"/>
    <n v="1.98"/>
    <n v="0"/>
    <n v="0"/>
    <n v="0.61"/>
    <n v="3"/>
    <x v="1"/>
  </r>
  <r>
    <x v="1"/>
    <x v="200"/>
    <x v="10"/>
    <x v="52"/>
    <n v="87"/>
    <n v="3"/>
    <n v="9"/>
    <n v="8"/>
    <n v="0"/>
    <n v="1"/>
    <n v="59"/>
    <s v="Derice Warnsley"/>
    <s v="Collections Group"/>
    <d v="2025-04-15T00:00:00"/>
    <d v="1899-12-30T12:59:17"/>
    <d v="1899-12-30T22:00:07"/>
    <n v="9.02"/>
    <n v="9.01"/>
    <n v="1.41"/>
    <n v="7.0000000000000007E-2"/>
    <n v="0"/>
    <n v="0.06"/>
    <n v="6"/>
    <n v="1.46"/>
    <n v="0"/>
    <n v="0"/>
    <n v="0"/>
    <n v="0.01"/>
    <n v="9.01"/>
    <n v="15.61"/>
    <n v="0.82"/>
    <n v="0"/>
    <n v="0.63"/>
    <n v="66.569999999999993"/>
    <n v="16.2"/>
    <n v="0"/>
    <n v="0"/>
    <n v="0"/>
    <n v="0.16"/>
    <n v="3"/>
    <x v="1"/>
  </r>
  <r>
    <x v="3"/>
    <x v="200"/>
    <x v="10"/>
    <x v="120"/>
    <n v="31"/>
    <n v="3"/>
    <n v="2"/>
    <n v="3"/>
    <n v="0"/>
    <n v="0"/>
    <n v="9"/>
    <s v="Jerrod Coleman"/>
    <s v="Collections Group"/>
    <d v="2025-04-15T00:00:00"/>
    <d v="1899-12-30T13:00:56"/>
    <d v="1899-12-30T22:00:15"/>
    <n v="9"/>
    <n v="6.07"/>
    <n v="0.95"/>
    <n v="0"/>
    <n v="0"/>
    <n v="0.08"/>
    <n v="4.54"/>
    <n v="0.49"/>
    <n v="0"/>
    <n v="0"/>
    <n v="0"/>
    <n v="0.01"/>
    <n v="6.07"/>
    <n v="15.67"/>
    <n v="0"/>
    <n v="0"/>
    <n v="1.37"/>
    <n v="74.72"/>
    <n v="8.1199999999999992"/>
    <n v="0"/>
    <n v="0"/>
    <n v="0"/>
    <n v="0.11"/>
    <n v="3"/>
    <x v="1"/>
  </r>
  <r>
    <x v="5"/>
    <x v="200"/>
    <x v="10"/>
    <x v="99"/>
    <n v="114"/>
    <n v="5"/>
    <n v="4"/>
    <n v="5"/>
    <n v="1"/>
    <n v="0"/>
    <n v="79"/>
    <s v="Sabigh Masood"/>
    <s v="Collections Group"/>
    <d v="2025-04-15T00:00:00"/>
    <d v="1899-12-30T12:58:42"/>
    <d v="1899-12-30T22:00:56"/>
    <n v="9.0299999999999994"/>
    <n v="9.0399999999999991"/>
    <n v="1.55"/>
    <n v="0.1"/>
    <n v="0"/>
    <n v="0.48"/>
    <n v="5.4"/>
    <n v="1.52"/>
    <n v="0"/>
    <n v="0"/>
    <n v="0"/>
    <n v="0"/>
    <n v="9.0399999999999991"/>
    <n v="17.149999999999999"/>
    <n v="1.06"/>
    <n v="0"/>
    <n v="5.27"/>
    <n v="59.71"/>
    <n v="16.77"/>
    <n v="0"/>
    <n v="0"/>
    <n v="0"/>
    <n v="0.04"/>
    <n v="3"/>
    <x v="1"/>
  </r>
  <r>
    <x v="9"/>
    <x v="200"/>
    <x v="10"/>
    <x v="13"/>
    <n v="2"/>
    <n v="1"/>
    <n v="0"/>
    <n v="0"/>
    <n v="0"/>
    <n v="0"/>
    <n v="0"/>
    <m/>
    <m/>
    <m/>
    <m/>
    <m/>
    <m/>
    <m/>
    <m/>
    <m/>
    <m/>
    <m/>
    <m/>
    <m/>
    <m/>
    <m/>
    <m/>
    <m/>
    <m/>
    <m/>
    <m/>
    <m/>
    <m/>
    <m/>
    <m/>
    <m/>
    <m/>
    <m/>
    <m/>
    <n v="3"/>
    <x v="1"/>
  </r>
  <r>
    <x v="6"/>
    <x v="200"/>
    <x v="10"/>
    <x v="274"/>
    <n v="0"/>
    <n v="0"/>
    <n v="0"/>
    <n v="0"/>
    <n v="0"/>
    <n v="0"/>
    <n v="0"/>
    <m/>
    <m/>
    <m/>
    <m/>
    <m/>
    <m/>
    <m/>
    <m/>
    <m/>
    <m/>
    <m/>
    <m/>
    <m/>
    <m/>
    <m/>
    <m/>
    <m/>
    <m/>
    <m/>
    <m/>
    <m/>
    <m/>
    <m/>
    <m/>
    <m/>
    <m/>
    <m/>
    <m/>
    <n v="3"/>
    <x v="1"/>
  </r>
  <r>
    <x v="16"/>
    <x v="201"/>
    <x v="10"/>
    <x v="13"/>
    <n v="4"/>
    <n v="1"/>
    <n v="0"/>
    <n v="0"/>
    <n v="0"/>
    <n v="0"/>
    <n v="0"/>
    <s v="Alisha McGee"/>
    <s v="Collections Group"/>
    <d v="2025-04-14T00:00:00"/>
    <d v="1899-12-30T13:19:55"/>
    <d v="1899-12-30T19:58:23"/>
    <n v="6.65"/>
    <n v="10.130000000000001"/>
    <n v="0.92"/>
    <n v="0"/>
    <n v="0"/>
    <n v="7.0000000000000007E-2"/>
    <n v="8.7799999999999994"/>
    <n v="0"/>
    <n v="0"/>
    <n v="0"/>
    <n v="0"/>
    <n v="0.37"/>
    <n v="10.130000000000001"/>
    <n v="9.06"/>
    <n v="0"/>
    <n v="0"/>
    <n v="0.68"/>
    <n v="86.62"/>
    <n v="0"/>
    <n v="0"/>
    <n v="0"/>
    <n v="0"/>
    <n v="3.65"/>
    <n v="2"/>
    <x v="2"/>
  </r>
  <r>
    <x v="0"/>
    <x v="201"/>
    <x v="10"/>
    <x v="108"/>
    <n v="69"/>
    <n v="7"/>
    <n v="3"/>
    <n v="5"/>
    <n v="0"/>
    <n v="0"/>
    <n v="44"/>
    <s v="Anais Orozco"/>
    <s v="Collections Group"/>
    <d v="2025-04-14T00:00:00"/>
    <d v="1899-12-30T13:00:39"/>
    <d v="1899-12-30T22:00:26"/>
    <n v="9"/>
    <n v="8.08"/>
    <n v="1.6"/>
    <n v="7.0000000000000007E-2"/>
    <n v="0"/>
    <n v="0.34"/>
    <n v="5.36"/>
    <n v="0.6"/>
    <n v="0"/>
    <n v="0"/>
    <n v="0"/>
    <n v="0.11"/>
    <n v="8.08"/>
    <n v="19.809999999999999"/>
    <n v="0.93"/>
    <n v="0"/>
    <n v="4.1900000000000004"/>
    <n v="66.33"/>
    <n v="7.38"/>
    <n v="0"/>
    <n v="0"/>
    <n v="0"/>
    <n v="1.37"/>
    <n v="2"/>
    <x v="2"/>
  </r>
  <r>
    <x v="1"/>
    <x v="201"/>
    <x v="10"/>
    <x v="51"/>
    <n v="112"/>
    <n v="10"/>
    <n v="6"/>
    <n v="11"/>
    <n v="0"/>
    <n v="0"/>
    <n v="72"/>
    <s v="Derice Warnsley"/>
    <s v="Collections Group"/>
    <d v="2025-04-14T00:00:00"/>
    <d v="1899-12-30T12:59:50"/>
    <d v="1899-12-30T22:00:05"/>
    <n v="9.02"/>
    <n v="9"/>
    <n v="1.62"/>
    <n v="0.08"/>
    <n v="0"/>
    <n v="0.03"/>
    <n v="5.82"/>
    <n v="1.45"/>
    <n v="0"/>
    <n v="0"/>
    <n v="0"/>
    <n v="0.01"/>
    <n v="9"/>
    <n v="17.97"/>
    <n v="0.91"/>
    <n v="0"/>
    <n v="0.35"/>
    <n v="64.63"/>
    <n v="16.07"/>
    <n v="0"/>
    <n v="0"/>
    <n v="0"/>
    <n v="7.0000000000000007E-2"/>
    <n v="2"/>
    <x v="2"/>
  </r>
  <r>
    <x v="3"/>
    <x v="201"/>
    <x v="10"/>
    <x v="89"/>
    <n v="74"/>
    <n v="7"/>
    <n v="10"/>
    <n v="11"/>
    <n v="0"/>
    <n v="0"/>
    <n v="41"/>
    <s v="Jerrod Coleman"/>
    <s v="Collections Group"/>
    <d v="2025-04-14T00:00:00"/>
    <d v="1899-12-30T13:01:29"/>
    <d v="1899-12-30T22:00:49"/>
    <n v="8.98"/>
    <n v="8.84"/>
    <n v="1.05"/>
    <n v="0.4"/>
    <n v="0"/>
    <n v="0.27"/>
    <n v="5.74"/>
    <n v="1.36"/>
    <n v="0"/>
    <n v="0"/>
    <n v="0"/>
    <n v="0.01"/>
    <n v="8.84"/>
    <n v="11.91"/>
    <n v="4.53"/>
    <n v="0"/>
    <n v="3.08"/>
    <n v="64.94"/>
    <n v="15.43"/>
    <n v="0"/>
    <n v="0"/>
    <n v="0"/>
    <n v="0.1"/>
    <n v="2"/>
    <x v="2"/>
  </r>
  <r>
    <x v="4"/>
    <x v="201"/>
    <x v="10"/>
    <x v="13"/>
    <n v="2"/>
    <n v="0"/>
    <n v="0"/>
    <n v="0"/>
    <n v="0"/>
    <n v="1"/>
    <n v="0"/>
    <s v="Rosette Rwabugahya"/>
    <s v="Collections Group"/>
    <d v="2025-04-14T00:00:00"/>
    <d v="1899-12-30T15:48:46"/>
    <d v="1899-12-30T17:20:32"/>
    <n v="1.53"/>
    <n v="0.26"/>
    <n v="0.24"/>
    <n v="0"/>
    <n v="0"/>
    <n v="0.01"/>
    <n v="0"/>
    <n v="0"/>
    <n v="0"/>
    <n v="0"/>
    <n v="0"/>
    <n v="0.01"/>
    <n v="0.26"/>
    <n v="94.26"/>
    <n v="0"/>
    <n v="0"/>
    <n v="2.4900000000000002"/>
    <n v="0"/>
    <n v="0"/>
    <n v="0"/>
    <n v="0"/>
    <n v="0"/>
    <n v="3.25"/>
    <n v="2"/>
    <x v="2"/>
  </r>
  <r>
    <x v="5"/>
    <x v="201"/>
    <x v="10"/>
    <x v="42"/>
    <n v="122"/>
    <n v="17"/>
    <n v="2"/>
    <n v="23"/>
    <n v="0"/>
    <n v="0"/>
    <n v="61"/>
    <s v="Sabigh Masood"/>
    <s v="Collections Group"/>
    <d v="2025-04-14T00:00:00"/>
    <d v="1899-12-30T12:58:19"/>
    <d v="1899-12-30T22:01:34"/>
    <n v="9.0500000000000007"/>
    <n v="9.0500000000000007"/>
    <n v="1.26"/>
    <n v="0.15"/>
    <n v="0"/>
    <n v="0.51"/>
    <n v="5.69"/>
    <n v="1.44"/>
    <n v="0"/>
    <n v="0"/>
    <n v="0"/>
    <n v="0"/>
    <n v="9.0500000000000007"/>
    <n v="13.93"/>
    <n v="1.65"/>
    <n v="0"/>
    <n v="5.6"/>
    <n v="62.85"/>
    <n v="15.92"/>
    <n v="0"/>
    <n v="0"/>
    <n v="0"/>
    <n v="0.04"/>
    <n v="2"/>
    <x v="2"/>
  </r>
  <r>
    <x v="6"/>
    <x v="201"/>
    <x v="10"/>
    <x v="275"/>
    <n v="0"/>
    <n v="0"/>
    <n v="0"/>
    <n v="0"/>
    <n v="0"/>
    <n v="0"/>
    <n v="0"/>
    <m/>
    <m/>
    <m/>
    <m/>
    <m/>
    <m/>
    <m/>
    <m/>
    <m/>
    <m/>
    <m/>
    <m/>
    <m/>
    <m/>
    <m/>
    <m/>
    <m/>
    <m/>
    <m/>
    <m/>
    <m/>
    <m/>
    <m/>
    <m/>
    <m/>
    <m/>
    <m/>
    <m/>
    <n v="2"/>
    <x v="2"/>
  </r>
  <r>
    <x v="0"/>
    <x v="202"/>
    <x v="10"/>
    <x v="89"/>
    <n v="90"/>
    <n v="4"/>
    <n v="5"/>
    <n v="1"/>
    <n v="1"/>
    <n v="4"/>
    <n v="58"/>
    <s v="Anais Orozco"/>
    <s v="Collections Group"/>
    <d v="2025-04-11T00:00:00"/>
    <d v="1899-12-30T13:00:43"/>
    <d v="1899-12-30T22:00:22"/>
    <n v="9"/>
    <n v="8.09"/>
    <n v="1.1499999999999999"/>
    <n v="0.68"/>
    <n v="0"/>
    <n v="0.34"/>
    <n v="5.44"/>
    <n v="0.35"/>
    <n v="0"/>
    <n v="0"/>
    <n v="0"/>
    <n v="0.13"/>
    <n v="8.09"/>
    <n v="14.17"/>
    <n v="8.43"/>
    <n v="0"/>
    <n v="4.1900000000000004"/>
    <n v="67.260000000000005"/>
    <n v="4.3600000000000003"/>
    <n v="0"/>
    <n v="0"/>
    <n v="0"/>
    <n v="1.58"/>
    <n v="6"/>
    <x v="3"/>
  </r>
  <r>
    <x v="1"/>
    <x v="202"/>
    <x v="10"/>
    <x v="90"/>
    <n v="66"/>
    <n v="4"/>
    <n v="1"/>
    <n v="3"/>
    <n v="2"/>
    <n v="2"/>
    <n v="46"/>
    <s v="Derice Warnsley"/>
    <s v="Collections Group"/>
    <d v="2025-04-11T00:00:00"/>
    <d v="1899-12-30T13:00:23"/>
    <d v="1899-12-30T22:00:02"/>
    <n v="9"/>
    <n v="8.99"/>
    <n v="2.16"/>
    <n v="0"/>
    <n v="0"/>
    <n v="0.03"/>
    <n v="5.31"/>
    <n v="1.49"/>
    <n v="0"/>
    <n v="0"/>
    <n v="0"/>
    <n v="0"/>
    <n v="8.99"/>
    <n v="24.01"/>
    <n v="0"/>
    <n v="0"/>
    <n v="0.33"/>
    <n v="59"/>
    <n v="16.62"/>
    <n v="0"/>
    <n v="0"/>
    <n v="0"/>
    <n v="0.04"/>
    <n v="6"/>
    <x v="3"/>
  </r>
  <r>
    <x v="4"/>
    <x v="202"/>
    <x v="10"/>
    <x v="13"/>
    <n v="2"/>
    <n v="0"/>
    <n v="0"/>
    <n v="0"/>
    <n v="0"/>
    <n v="0"/>
    <n v="0"/>
    <s v="Rosette Rwabugahya"/>
    <s v="Collections Group"/>
    <d v="2025-04-11T00:00:00"/>
    <d v="1899-12-30T16:26:20"/>
    <d v="1899-12-30T16:38:18"/>
    <n v="0.2"/>
    <n v="7.0000000000000007E-2"/>
    <n v="0.05"/>
    <n v="0"/>
    <n v="0"/>
    <n v="0.01"/>
    <n v="0"/>
    <n v="0"/>
    <n v="0"/>
    <n v="0"/>
    <n v="0"/>
    <n v="0.01"/>
    <n v="7.0000000000000007E-2"/>
    <n v="71.2"/>
    <n v="0"/>
    <n v="0"/>
    <n v="13.6"/>
    <n v="0"/>
    <n v="0"/>
    <n v="0"/>
    <n v="0"/>
    <n v="0"/>
    <n v="15.2"/>
    <n v="6"/>
    <x v="3"/>
  </r>
  <r>
    <x v="5"/>
    <x v="202"/>
    <x v="10"/>
    <x v="64"/>
    <n v="84"/>
    <n v="5"/>
    <n v="5"/>
    <n v="0"/>
    <n v="0"/>
    <n v="0"/>
    <n v="54"/>
    <s v="Sabigh Masood"/>
    <s v="Collections Group"/>
    <d v="2025-04-11T00:00:00"/>
    <d v="1899-12-30T12:59:50"/>
    <d v="1899-12-30T22:01:26"/>
    <n v="9.0299999999999994"/>
    <n v="9.0299999999999994"/>
    <n v="1.07"/>
    <n v="0.22"/>
    <n v="0"/>
    <n v="0.42"/>
    <n v="4.95"/>
    <n v="1.71"/>
    <n v="0.66"/>
    <n v="0"/>
    <n v="0"/>
    <n v="0"/>
    <n v="9.0299999999999994"/>
    <n v="11.82"/>
    <n v="2.4500000000000002"/>
    <n v="0"/>
    <n v="4.6500000000000004"/>
    <n v="54.81"/>
    <n v="18.91"/>
    <n v="7.32"/>
    <n v="0"/>
    <n v="0"/>
    <n v="0.04"/>
    <n v="6"/>
    <x v="3"/>
  </r>
  <r>
    <x v="6"/>
    <x v="202"/>
    <x v="10"/>
    <x v="264"/>
    <n v="0"/>
    <n v="0"/>
    <n v="0"/>
    <n v="0"/>
    <n v="0"/>
    <n v="0"/>
    <n v="0"/>
    <m/>
    <m/>
    <m/>
    <m/>
    <m/>
    <m/>
    <m/>
    <m/>
    <m/>
    <m/>
    <m/>
    <m/>
    <m/>
    <m/>
    <m/>
    <m/>
    <m/>
    <m/>
    <m/>
    <m/>
    <m/>
    <m/>
    <m/>
    <m/>
    <m/>
    <m/>
    <m/>
    <m/>
    <n v="6"/>
    <x v="3"/>
  </r>
  <r>
    <x v="0"/>
    <x v="203"/>
    <x v="10"/>
    <x v="109"/>
    <n v="56"/>
    <n v="5"/>
    <n v="6"/>
    <n v="4"/>
    <n v="0"/>
    <n v="1"/>
    <n v="37"/>
    <s v="Anais Orozco"/>
    <s v="Collections Group"/>
    <d v="2025-04-10T00:00:00"/>
    <d v="1899-12-30T13:00:35"/>
    <d v="1899-12-30T22:00:31"/>
    <n v="9"/>
    <n v="8.11"/>
    <n v="1.4"/>
    <n v="0.19"/>
    <n v="0"/>
    <n v="0.48"/>
    <n v="5.43"/>
    <n v="0.56000000000000005"/>
    <n v="0"/>
    <n v="0"/>
    <n v="0"/>
    <n v="0.04"/>
    <n v="8.11"/>
    <n v="17.309999999999999"/>
    <n v="2.34"/>
    <n v="0"/>
    <n v="5.96"/>
    <n v="66.98"/>
    <n v="6.87"/>
    <n v="0"/>
    <n v="0"/>
    <n v="0"/>
    <n v="0.54"/>
    <n v="5"/>
    <x v="4"/>
  </r>
  <r>
    <x v="15"/>
    <x v="203"/>
    <x v="10"/>
    <x v="13"/>
    <n v="1"/>
    <n v="0"/>
    <n v="0"/>
    <n v="0"/>
    <n v="0"/>
    <n v="0"/>
    <n v="0"/>
    <s v="Candace Smith"/>
    <s v="Collections Group"/>
    <d v="2025-04-10T00:00:00"/>
    <d v="1899-12-30T13:59:34"/>
    <d v="1899-12-30T22:14:56"/>
    <n v="8.25"/>
    <n v="6.71"/>
    <n v="0"/>
    <n v="0"/>
    <n v="0"/>
    <n v="0.08"/>
    <n v="0"/>
    <n v="0"/>
    <n v="0"/>
    <n v="0"/>
    <n v="4.91"/>
    <n v="1.71"/>
    <n v="6.71"/>
    <n v="0.05"/>
    <n v="0"/>
    <n v="0"/>
    <n v="1.24"/>
    <n v="0"/>
    <n v="0"/>
    <n v="0"/>
    <n v="0"/>
    <n v="73.260000000000005"/>
    <n v="25.44"/>
    <n v="5"/>
    <x v="4"/>
  </r>
  <r>
    <x v="1"/>
    <x v="203"/>
    <x v="10"/>
    <x v="108"/>
    <n v="75"/>
    <n v="2"/>
    <n v="2"/>
    <n v="2"/>
    <n v="0"/>
    <n v="3"/>
    <n v="59"/>
    <s v="Derice Warnsley"/>
    <s v="Collections Group"/>
    <d v="2025-04-10T00:00:00"/>
    <d v="1899-12-30T12:59:50"/>
    <d v="1899-12-30T22:00:05"/>
    <n v="9.02"/>
    <n v="9"/>
    <n v="0.78"/>
    <n v="0.21"/>
    <n v="0"/>
    <n v="0.03"/>
    <n v="6.32"/>
    <n v="1.41"/>
    <n v="0.26"/>
    <n v="0"/>
    <n v="0"/>
    <n v="0.01"/>
    <n v="9"/>
    <n v="8.6199999999999992"/>
    <n v="2.38"/>
    <n v="0"/>
    <n v="0.32"/>
    <n v="70.17"/>
    <n v="15.62"/>
    <n v="2.83"/>
    <n v="0"/>
    <n v="0"/>
    <n v="0.06"/>
    <n v="5"/>
    <x v="4"/>
  </r>
  <r>
    <x v="3"/>
    <x v="203"/>
    <x v="10"/>
    <x v="104"/>
    <n v="56"/>
    <n v="1"/>
    <n v="4"/>
    <n v="1"/>
    <n v="0"/>
    <n v="2"/>
    <n v="39"/>
    <s v="Jerrod Coleman"/>
    <s v="Collections Group"/>
    <d v="2025-04-10T00:00:00"/>
    <d v="1899-12-30T13:02:18"/>
    <d v="1899-12-30T19:29:06"/>
    <n v="6.45"/>
    <n v="6.45"/>
    <n v="0.38"/>
    <n v="0"/>
    <n v="0"/>
    <n v="0.15"/>
    <n v="4.45"/>
    <n v="1.44"/>
    <n v="0"/>
    <n v="0"/>
    <n v="0.02"/>
    <n v="0.01"/>
    <n v="6.45"/>
    <n v="5.9"/>
    <n v="0"/>
    <n v="0"/>
    <n v="2.29"/>
    <n v="69.010000000000005"/>
    <n v="22.4"/>
    <n v="0"/>
    <n v="0"/>
    <n v="0.28000000000000003"/>
    <n v="0.11"/>
    <n v="5"/>
    <x v="4"/>
  </r>
  <r>
    <x v="5"/>
    <x v="203"/>
    <x v="10"/>
    <x v="90"/>
    <n v="97"/>
    <n v="3"/>
    <n v="5"/>
    <n v="10"/>
    <n v="0"/>
    <n v="0"/>
    <n v="65"/>
    <s v="Sabigh Masood"/>
    <s v="Collections Group"/>
    <d v="2025-04-10T00:00:00"/>
    <d v="1899-12-30T12:59:58"/>
    <d v="1899-12-30T22:01:50"/>
    <n v="9.0299999999999994"/>
    <n v="8.98"/>
    <n v="0.87"/>
    <n v="0.06"/>
    <n v="0"/>
    <n v="0.37"/>
    <n v="5.95"/>
    <n v="1.5"/>
    <n v="0"/>
    <n v="0"/>
    <n v="0.2"/>
    <n v="0.03"/>
    <n v="8.98"/>
    <n v="9.7100000000000009"/>
    <n v="0.62"/>
    <n v="0"/>
    <n v="4.08"/>
    <n v="66.290000000000006"/>
    <n v="16.7"/>
    <n v="0"/>
    <n v="0"/>
    <n v="2.25"/>
    <n v="0.35"/>
    <n v="5"/>
    <x v="4"/>
  </r>
  <r>
    <x v="6"/>
    <x v="203"/>
    <x v="10"/>
    <x v="276"/>
    <n v="0"/>
    <n v="0"/>
    <n v="0"/>
    <n v="0"/>
    <n v="0"/>
    <n v="0"/>
    <n v="0"/>
    <m/>
    <m/>
    <m/>
    <m/>
    <m/>
    <m/>
    <m/>
    <m/>
    <m/>
    <m/>
    <m/>
    <m/>
    <m/>
    <m/>
    <m/>
    <m/>
    <m/>
    <m/>
    <m/>
    <m/>
    <m/>
    <m/>
    <m/>
    <m/>
    <m/>
    <m/>
    <m/>
    <m/>
    <n v="5"/>
    <x v="4"/>
  </r>
  <r>
    <x v="0"/>
    <x v="204"/>
    <x v="10"/>
    <x v="113"/>
    <n v="61"/>
    <n v="4"/>
    <n v="5"/>
    <n v="1"/>
    <n v="0"/>
    <n v="1"/>
    <n v="44"/>
    <s v="Anais Orozco"/>
    <s v="Collections Group"/>
    <d v="2025-04-09T00:00:00"/>
    <d v="1899-12-30T13:00:48"/>
    <d v="1899-12-30T22:00:12"/>
    <n v="9"/>
    <n v="7.93"/>
    <n v="1.22"/>
    <n v="0.17"/>
    <n v="0"/>
    <n v="0.3"/>
    <n v="5.33"/>
    <n v="0.49"/>
    <n v="0.3"/>
    <n v="0"/>
    <n v="0"/>
    <n v="0.13"/>
    <n v="7.93"/>
    <n v="15.33"/>
    <n v="2.09"/>
    <n v="0"/>
    <n v="3.81"/>
    <n v="67.209999999999994"/>
    <n v="6.13"/>
    <n v="3.78"/>
    <n v="0"/>
    <n v="0"/>
    <n v="1.64"/>
    <n v="4"/>
    <x v="0"/>
  </r>
  <r>
    <x v="1"/>
    <x v="204"/>
    <x v="10"/>
    <x v="69"/>
    <n v="79"/>
    <n v="2"/>
    <n v="3"/>
    <n v="2"/>
    <n v="0"/>
    <n v="1"/>
    <n v="54"/>
    <s v="Derice Warnsley"/>
    <s v="Collections Group"/>
    <d v="2025-04-09T00:00:00"/>
    <d v="1899-12-30T13:00:43"/>
    <d v="1899-12-30T22:01:29"/>
    <n v="9.02"/>
    <n v="9.01"/>
    <n v="0.69"/>
    <n v="0.08"/>
    <n v="0"/>
    <n v="0.05"/>
    <n v="6.71"/>
    <n v="1.48"/>
    <n v="0"/>
    <n v="0"/>
    <n v="0"/>
    <n v="0"/>
    <n v="9.01"/>
    <n v="7.68"/>
    <n v="0.89"/>
    <n v="0"/>
    <n v="0.55000000000000004"/>
    <n v="74.400000000000006"/>
    <n v="16.43"/>
    <n v="0"/>
    <n v="0"/>
    <n v="0"/>
    <n v="0.05"/>
    <n v="4"/>
    <x v="0"/>
  </r>
  <r>
    <x v="3"/>
    <x v="204"/>
    <x v="10"/>
    <x v="53"/>
    <n v="113"/>
    <n v="5"/>
    <n v="3"/>
    <n v="5"/>
    <n v="0"/>
    <n v="0"/>
    <n v="69"/>
    <s v="Jerrod Coleman"/>
    <s v="Collections Group"/>
    <d v="2025-04-09T00:00:00"/>
    <d v="1899-12-30T13:00:49"/>
    <d v="1899-12-30T21:58:53"/>
    <n v="8.9700000000000006"/>
    <n v="8.9700000000000006"/>
    <n v="0.88"/>
    <n v="0.02"/>
    <n v="0"/>
    <n v="0.13"/>
    <n v="6.45"/>
    <n v="1.48"/>
    <n v="0"/>
    <n v="0"/>
    <n v="0"/>
    <n v="0.01"/>
    <n v="8.9700000000000006"/>
    <n v="9.81"/>
    <n v="0.21"/>
    <n v="0"/>
    <n v="1.49"/>
    <n v="71.930000000000007"/>
    <n v="16.489999999999998"/>
    <n v="0"/>
    <n v="0"/>
    <n v="0"/>
    <n v="0.06"/>
    <n v="4"/>
    <x v="0"/>
  </r>
  <r>
    <x v="5"/>
    <x v="204"/>
    <x v="10"/>
    <x v="69"/>
    <n v="87"/>
    <n v="7"/>
    <n v="6"/>
    <n v="7"/>
    <n v="7"/>
    <n v="0"/>
    <n v="49"/>
    <s v="Sabigh Masood"/>
    <s v="Collections Group"/>
    <d v="2025-04-09T00:00:00"/>
    <d v="1899-12-30T12:58:42"/>
    <d v="1899-12-30T22:02:43"/>
    <n v="9.07"/>
    <n v="9.07"/>
    <n v="1.36"/>
    <n v="0.15"/>
    <n v="0"/>
    <n v="0.41"/>
    <n v="5.69"/>
    <n v="1.42"/>
    <n v="0"/>
    <n v="0"/>
    <n v="0"/>
    <n v="0.03"/>
    <n v="9.07"/>
    <n v="15.02"/>
    <n v="1.66"/>
    <n v="0"/>
    <n v="4.54"/>
    <n v="62.72"/>
    <n v="15.69"/>
    <n v="0"/>
    <n v="0"/>
    <n v="0"/>
    <n v="0.37"/>
    <n v="4"/>
    <x v="0"/>
  </r>
  <r>
    <x v="6"/>
    <x v="204"/>
    <x v="10"/>
    <x v="277"/>
    <n v="0"/>
    <n v="0"/>
    <n v="0"/>
    <n v="0"/>
    <n v="0"/>
    <n v="0"/>
    <n v="0"/>
    <m/>
    <m/>
    <m/>
    <m/>
    <m/>
    <m/>
    <m/>
    <m/>
    <m/>
    <m/>
    <m/>
    <m/>
    <m/>
    <m/>
    <m/>
    <m/>
    <m/>
    <m/>
    <m/>
    <m/>
    <m/>
    <m/>
    <m/>
    <m/>
    <m/>
    <m/>
    <m/>
    <m/>
    <n v="4"/>
    <x v="0"/>
  </r>
  <r>
    <x v="0"/>
    <x v="205"/>
    <x v="10"/>
    <x v="64"/>
    <n v="100"/>
    <n v="2"/>
    <n v="14"/>
    <n v="7"/>
    <n v="0"/>
    <n v="0"/>
    <n v="61"/>
    <s v="Anais Orozco"/>
    <s v="Collections Group"/>
    <d v="2025-04-08T00:00:00"/>
    <d v="1899-12-30T13:02:08"/>
    <d v="1899-12-30T22:00:55"/>
    <n v="8.9700000000000006"/>
    <n v="8.0500000000000007"/>
    <n v="1.79"/>
    <n v="0.33"/>
    <n v="0"/>
    <n v="0.82"/>
    <n v="4.5199999999999996"/>
    <n v="0.55000000000000004"/>
    <n v="0"/>
    <n v="0"/>
    <n v="0"/>
    <n v="0.03"/>
    <n v="8.0500000000000007"/>
    <n v="22.26"/>
    <n v="4.1500000000000004"/>
    <n v="0"/>
    <n v="10.23"/>
    <n v="56.16"/>
    <n v="6.83"/>
    <n v="0"/>
    <n v="0"/>
    <n v="0"/>
    <n v="0.37"/>
    <n v="3"/>
    <x v="1"/>
  </r>
  <r>
    <x v="3"/>
    <x v="205"/>
    <x v="10"/>
    <x v="65"/>
    <n v="149"/>
    <n v="4"/>
    <n v="12"/>
    <n v="13"/>
    <n v="0"/>
    <n v="3"/>
    <n v="98"/>
    <s v="Jerrod Coleman"/>
    <s v="Collections Group"/>
    <d v="2025-04-08T00:00:00"/>
    <d v="1899-12-30T13:00:46"/>
    <d v="1899-12-30T21:59:53"/>
    <n v="8.98"/>
    <n v="8.99"/>
    <n v="1.06"/>
    <n v="0"/>
    <n v="0"/>
    <n v="0.22"/>
    <n v="5.15"/>
    <n v="1.48"/>
    <n v="1.04"/>
    <n v="0"/>
    <n v="0"/>
    <n v="0.03"/>
    <n v="8.99"/>
    <n v="11.77"/>
    <n v="0"/>
    <n v="0"/>
    <n v="2.48"/>
    <n v="57.36"/>
    <n v="16.52"/>
    <n v="11.59"/>
    <n v="0"/>
    <n v="0"/>
    <n v="0.28999999999999998"/>
    <n v="3"/>
    <x v="1"/>
  </r>
  <r>
    <x v="5"/>
    <x v="205"/>
    <x v="10"/>
    <x v="51"/>
    <n v="118"/>
    <n v="10"/>
    <n v="2"/>
    <n v="14"/>
    <n v="0"/>
    <n v="0"/>
    <n v="71"/>
    <s v="Sabigh Masood"/>
    <s v="Collections Group"/>
    <d v="2025-04-08T00:00:00"/>
    <d v="1899-12-30T12:58:22"/>
    <d v="1899-12-30T22:01:30"/>
    <n v="9.0500000000000007"/>
    <n v="9.0500000000000007"/>
    <n v="1.54"/>
    <n v="0.33"/>
    <n v="0"/>
    <n v="0.39"/>
    <n v="3.28"/>
    <n v="1.46"/>
    <n v="2.0499999999999998"/>
    <n v="0"/>
    <n v="0"/>
    <n v="0"/>
    <n v="9.0500000000000007"/>
    <n v="17.04"/>
    <n v="3.65"/>
    <n v="0"/>
    <n v="4.28"/>
    <n v="36.18"/>
    <n v="16.170000000000002"/>
    <n v="22.62"/>
    <n v="0"/>
    <n v="0"/>
    <n v="0.05"/>
    <n v="3"/>
    <x v="1"/>
  </r>
  <r>
    <x v="6"/>
    <x v="205"/>
    <x v="10"/>
    <x v="278"/>
    <n v="0"/>
    <n v="0"/>
    <n v="0"/>
    <n v="0"/>
    <n v="0"/>
    <n v="0"/>
    <n v="0"/>
    <m/>
    <m/>
    <m/>
    <m/>
    <m/>
    <m/>
    <m/>
    <m/>
    <m/>
    <m/>
    <m/>
    <m/>
    <m/>
    <m/>
    <m/>
    <m/>
    <m/>
    <m/>
    <m/>
    <m/>
    <m/>
    <m/>
    <m/>
    <m/>
    <m/>
    <m/>
    <m/>
    <m/>
    <n v="3"/>
    <x v="1"/>
  </r>
  <r>
    <x v="0"/>
    <x v="206"/>
    <x v="10"/>
    <x v="116"/>
    <n v="80"/>
    <n v="7"/>
    <n v="11"/>
    <n v="9"/>
    <n v="0"/>
    <n v="0"/>
    <n v="46"/>
    <s v="Anais Orozco"/>
    <s v="Collections Group"/>
    <d v="2025-04-07T00:00:00"/>
    <d v="1899-12-30T13:02:37"/>
    <d v="1899-12-30T22:00:07"/>
    <n v="8.9700000000000006"/>
    <n v="8.02"/>
    <n v="1.36"/>
    <n v="0.27"/>
    <n v="0"/>
    <n v="0.72"/>
    <n v="5.24"/>
    <n v="0.41"/>
    <n v="0"/>
    <n v="0"/>
    <n v="0"/>
    <n v="0.01"/>
    <n v="8.02"/>
    <n v="17.02"/>
    <n v="3.39"/>
    <n v="0"/>
    <n v="8.9600000000000009"/>
    <n v="65.319999999999993"/>
    <n v="5.16"/>
    <n v="0"/>
    <n v="0"/>
    <n v="0"/>
    <n v="0.15"/>
    <n v="2"/>
    <x v="2"/>
  </r>
  <r>
    <x v="1"/>
    <x v="206"/>
    <x v="10"/>
    <x v="89"/>
    <n v="148"/>
    <n v="38"/>
    <n v="37"/>
    <n v="45"/>
    <n v="0"/>
    <n v="0"/>
    <n v="53"/>
    <s v="Derice Warnsley"/>
    <s v="Collections Group"/>
    <d v="2025-04-07T00:00:00"/>
    <d v="1899-12-30T12:59:54"/>
    <d v="1899-12-30T22:13:30"/>
    <n v="9.23"/>
    <n v="9.23"/>
    <n v="2.62"/>
    <n v="0.14000000000000001"/>
    <n v="0"/>
    <n v="0.05"/>
    <n v="4.93"/>
    <n v="1.48"/>
    <n v="0"/>
    <n v="0"/>
    <n v="0"/>
    <n v="0.01"/>
    <n v="9.23"/>
    <n v="28.36"/>
    <n v="1.53"/>
    <n v="0"/>
    <n v="0.5"/>
    <n v="53.49"/>
    <n v="16.03"/>
    <n v="0"/>
    <n v="0"/>
    <n v="0"/>
    <n v="0.09"/>
    <n v="2"/>
    <x v="2"/>
  </r>
  <r>
    <x v="3"/>
    <x v="206"/>
    <x v="10"/>
    <x v="68"/>
    <n v="109"/>
    <n v="6"/>
    <n v="16"/>
    <n v="6"/>
    <n v="0"/>
    <n v="0"/>
    <n v="55"/>
    <s v="Jerrod Coleman"/>
    <s v="Collections Group"/>
    <d v="2025-04-07T00:00:00"/>
    <d v="1899-12-30T13:02:14"/>
    <d v="1899-12-30T22:01:52"/>
    <n v="8.98"/>
    <n v="8.99"/>
    <n v="1.31"/>
    <n v="0"/>
    <n v="0"/>
    <n v="0.32"/>
    <n v="5.82"/>
    <n v="1.48"/>
    <n v="0"/>
    <n v="0"/>
    <n v="0.06"/>
    <n v="0"/>
    <n v="8.99"/>
    <n v="14.53"/>
    <n v="0"/>
    <n v="0"/>
    <n v="3.55"/>
    <n v="64.73"/>
    <n v="16.43"/>
    <n v="0"/>
    <n v="0"/>
    <n v="0.71"/>
    <n v="0.05"/>
    <n v="2"/>
    <x v="2"/>
  </r>
  <r>
    <x v="8"/>
    <x v="206"/>
    <x v="10"/>
    <x v="13"/>
    <n v="1"/>
    <n v="0"/>
    <n v="0"/>
    <n v="0"/>
    <n v="0"/>
    <n v="0"/>
    <n v="0"/>
    <m/>
    <m/>
    <m/>
    <m/>
    <m/>
    <m/>
    <m/>
    <m/>
    <m/>
    <m/>
    <m/>
    <m/>
    <m/>
    <m/>
    <m/>
    <m/>
    <m/>
    <m/>
    <m/>
    <m/>
    <m/>
    <m/>
    <m/>
    <m/>
    <m/>
    <m/>
    <m/>
    <m/>
    <n v="2"/>
    <x v="2"/>
  </r>
  <r>
    <x v="5"/>
    <x v="206"/>
    <x v="10"/>
    <x v="53"/>
    <n v="137"/>
    <n v="8"/>
    <n v="18"/>
    <n v="11"/>
    <n v="0"/>
    <n v="0"/>
    <n v="75"/>
    <s v="Sabigh Masood"/>
    <s v="Collections Group"/>
    <d v="2025-04-07T00:00:00"/>
    <d v="1899-12-30T13:04:03"/>
    <d v="1899-12-30T22:04:16"/>
    <n v="9"/>
    <n v="8.94"/>
    <n v="1.29"/>
    <n v="0.26"/>
    <n v="0"/>
    <n v="0.65"/>
    <n v="4.92"/>
    <n v="1.42"/>
    <n v="0.23"/>
    <n v="0"/>
    <n v="0.16"/>
    <n v="0.01"/>
    <n v="8.94"/>
    <n v="14.39"/>
    <n v="2.88"/>
    <n v="0"/>
    <n v="7.26"/>
    <n v="55.05"/>
    <n v="15.9"/>
    <n v="2.61"/>
    <n v="0"/>
    <n v="1.77"/>
    <n v="0.15"/>
    <n v="2"/>
    <x v="2"/>
  </r>
  <r>
    <x v="6"/>
    <x v="206"/>
    <x v="10"/>
    <x v="279"/>
    <n v="0"/>
    <n v="0"/>
    <n v="0"/>
    <n v="0"/>
    <n v="0"/>
    <n v="0"/>
    <n v="0"/>
    <m/>
    <m/>
    <m/>
    <m/>
    <m/>
    <m/>
    <m/>
    <m/>
    <m/>
    <m/>
    <m/>
    <m/>
    <m/>
    <m/>
    <m/>
    <m/>
    <m/>
    <m/>
    <m/>
    <m/>
    <m/>
    <m/>
    <m/>
    <m/>
    <m/>
    <m/>
    <m/>
    <m/>
    <n v="2"/>
    <x v="2"/>
  </r>
  <r>
    <x v="0"/>
    <x v="207"/>
    <x v="10"/>
    <x v="108"/>
    <n v="57"/>
    <n v="4"/>
    <n v="10"/>
    <n v="3"/>
    <n v="1"/>
    <n v="1"/>
    <n v="27"/>
    <s v="Anais Orozco"/>
    <s v="Collections Group"/>
    <d v="2025-04-04T00:00:00"/>
    <d v="1899-12-30T13:01:27"/>
    <d v="1899-12-30T22:00:19"/>
    <n v="8.98"/>
    <n v="8.02"/>
    <n v="1.72"/>
    <n v="0.41"/>
    <n v="0"/>
    <n v="0.33"/>
    <n v="4.79"/>
    <n v="0.35"/>
    <n v="0.37"/>
    <n v="0"/>
    <n v="0"/>
    <n v="0.04"/>
    <n v="8.02"/>
    <n v="21.48"/>
    <n v="5.12"/>
    <n v="0"/>
    <n v="4.07"/>
    <n v="59.79"/>
    <n v="4.41"/>
    <n v="4.59"/>
    <n v="0"/>
    <n v="0"/>
    <n v="0.54"/>
    <n v="6"/>
    <x v="3"/>
  </r>
  <r>
    <x v="1"/>
    <x v="207"/>
    <x v="10"/>
    <x v="104"/>
    <n v="68"/>
    <n v="16"/>
    <n v="10"/>
    <n v="14"/>
    <n v="0"/>
    <n v="5"/>
    <n v="20"/>
    <s v="Derice Warnsley"/>
    <s v="Collections Group"/>
    <d v="2025-04-04T00:00:00"/>
    <d v="1899-12-30T13:00:31"/>
    <d v="1899-12-30T22:00:08"/>
    <n v="9"/>
    <n v="8.92"/>
    <n v="2.11"/>
    <n v="0.03"/>
    <n v="0"/>
    <n v="0.04"/>
    <n v="4.49"/>
    <n v="1.41"/>
    <n v="0.82"/>
    <n v="0"/>
    <n v="0"/>
    <n v="0.02"/>
    <n v="8.92"/>
    <n v="23.67"/>
    <n v="0.34"/>
    <n v="0"/>
    <n v="0.44"/>
    <n v="50.31"/>
    <n v="15.86"/>
    <n v="9.19"/>
    <n v="0"/>
    <n v="0"/>
    <n v="0.19"/>
    <n v="6"/>
    <x v="3"/>
  </r>
  <r>
    <x v="3"/>
    <x v="207"/>
    <x v="10"/>
    <x v="75"/>
    <n v="82"/>
    <n v="7"/>
    <n v="0"/>
    <n v="12"/>
    <n v="0"/>
    <n v="0"/>
    <n v="54"/>
    <s v="Jerrod Coleman"/>
    <s v="Collections Group"/>
    <d v="2025-04-04T00:00:00"/>
    <d v="1899-12-30T13:33:47"/>
    <d v="1899-12-30T22:00:23"/>
    <n v="8.4499999999999993"/>
    <n v="8.44"/>
    <n v="1.19"/>
    <n v="0.02"/>
    <n v="0"/>
    <n v="0.17"/>
    <n v="5.34"/>
    <n v="1.45"/>
    <n v="0.27"/>
    <n v="0"/>
    <n v="0"/>
    <n v="0"/>
    <n v="8.44"/>
    <n v="14.11"/>
    <n v="0.28999999999999998"/>
    <n v="0"/>
    <n v="2.0099999999999998"/>
    <n v="63.22"/>
    <n v="17.170000000000002"/>
    <n v="3.17"/>
    <n v="0"/>
    <n v="0"/>
    <n v="0.04"/>
    <n v="6"/>
    <x v="3"/>
  </r>
  <r>
    <x v="5"/>
    <x v="207"/>
    <x v="10"/>
    <x v="108"/>
    <n v="72"/>
    <n v="4"/>
    <n v="3"/>
    <n v="9"/>
    <n v="0"/>
    <n v="1"/>
    <n v="44"/>
    <s v="Sabigh Masood"/>
    <s v="Collections Group"/>
    <d v="2025-04-04T00:00:00"/>
    <d v="1899-12-30T13:00:18"/>
    <d v="1899-12-30T22:09:06"/>
    <n v="9.15"/>
    <n v="9.15"/>
    <n v="0.99"/>
    <n v="0.18"/>
    <n v="0"/>
    <n v="0.33"/>
    <n v="5.38"/>
    <n v="1.71"/>
    <n v="0.55000000000000004"/>
    <n v="0"/>
    <n v="0"/>
    <n v="0"/>
    <n v="9.15"/>
    <n v="10.86"/>
    <n v="1.95"/>
    <n v="0"/>
    <n v="3.65"/>
    <n v="58.79"/>
    <n v="18.73"/>
    <n v="5.98"/>
    <n v="0"/>
    <n v="0"/>
    <n v="0.04"/>
    <n v="6"/>
    <x v="3"/>
  </r>
  <r>
    <x v="6"/>
    <x v="207"/>
    <x v="10"/>
    <x v="280"/>
    <n v="0"/>
    <n v="0"/>
    <n v="0"/>
    <n v="0"/>
    <n v="0"/>
    <n v="0"/>
    <n v="0"/>
    <m/>
    <m/>
    <m/>
    <m/>
    <m/>
    <m/>
    <m/>
    <m/>
    <m/>
    <m/>
    <m/>
    <m/>
    <m/>
    <m/>
    <m/>
    <m/>
    <m/>
    <m/>
    <m/>
    <m/>
    <m/>
    <m/>
    <m/>
    <m/>
    <m/>
    <m/>
    <m/>
    <m/>
    <n v="6"/>
    <x v="3"/>
  </r>
  <r>
    <x v="0"/>
    <x v="208"/>
    <x v="10"/>
    <x v="52"/>
    <n v="81"/>
    <n v="4"/>
    <n v="5"/>
    <n v="8"/>
    <n v="0"/>
    <n v="0"/>
    <n v="52"/>
    <s v="Anais Orozco"/>
    <s v="Collections Group"/>
    <d v="2025-04-03T00:00:00"/>
    <d v="1899-12-30T13:01:05"/>
    <d v="1899-12-30T22:00:10"/>
    <n v="8.98"/>
    <n v="8.01"/>
    <n v="1.27"/>
    <n v="0.45"/>
    <n v="0"/>
    <n v="0.49"/>
    <n v="4.34"/>
    <n v="0.28999999999999998"/>
    <n v="1.1599999999999999"/>
    <n v="0"/>
    <n v="0"/>
    <n v="0.01"/>
    <n v="8.01"/>
    <n v="15.9"/>
    <n v="5.58"/>
    <n v="0"/>
    <n v="6.17"/>
    <n v="54.18"/>
    <n v="3.59"/>
    <n v="14.46"/>
    <n v="0"/>
    <n v="0"/>
    <n v="0.12"/>
    <n v="5"/>
    <x v="4"/>
  </r>
  <r>
    <x v="1"/>
    <x v="208"/>
    <x v="10"/>
    <x v="18"/>
    <n v="94"/>
    <n v="5"/>
    <n v="7"/>
    <n v="10"/>
    <n v="0"/>
    <n v="0"/>
    <n v="62"/>
    <s v="Derice Warnsley"/>
    <s v="Collections Group"/>
    <d v="2025-04-03T00:00:00"/>
    <d v="1899-12-30T13:00:08"/>
    <d v="1899-12-30T22:00:04"/>
    <n v="9"/>
    <n v="9"/>
    <n v="1.1100000000000001"/>
    <n v="0.26"/>
    <n v="0"/>
    <n v="0.1"/>
    <n v="5.04"/>
    <n v="1.47"/>
    <n v="1.01"/>
    <n v="0"/>
    <n v="0"/>
    <n v="0.01"/>
    <n v="9"/>
    <n v="12.37"/>
    <n v="2.93"/>
    <n v="0"/>
    <n v="1.06"/>
    <n v="55.97"/>
    <n v="16.28"/>
    <n v="11.23"/>
    <n v="0"/>
    <n v="0"/>
    <n v="0.16"/>
    <n v="5"/>
    <x v="4"/>
  </r>
  <r>
    <x v="3"/>
    <x v="208"/>
    <x v="10"/>
    <x v="116"/>
    <n v="47"/>
    <n v="1"/>
    <n v="8"/>
    <n v="10"/>
    <n v="0"/>
    <n v="2"/>
    <n v="20"/>
    <s v="Jerrod Coleman"/>
    <s v="Collections Group"/>
    <d v="2025-04-03T00:00:00"/>
    <d v="1899-12-30T14:59:50"/>
    <d v="1899-12-30T21:59:27"/>
    <n v="7"/>
    <n v="6.99"/>
    <n v="0.95"/>
    <n v="0.26"/>
    <n v="0"/>
    <n v="0.17"/>
    <n v="3.16"/>
    <n v="1.45"/>
    <n v="1.01"/>
    <n v="0"/>
    <n v="0"/>
    <n v="0"/>
    <n v="6.99"/>
    <n v="13.62"/>
    <n v="3.67"/>
    <n v="0"/>
    <n v="2.42"/>
    <n v="45.17"/>
    <n v="20.66"/>
    <n v="14.38"/>
    <n v="0"/>
    <n v="0"/>
    <n v="7.0000000000000007E-2"/>
    <n v="5"/>
    <x v="4"/>
  </r>
  <r>
    <x v="5"/>
    <x v="208"/>
    <x v="10"/>
    <x v="42"/>
    <n v="118"/>
    <n v="4"/>
    <n v="2"/>
    <n v="9"/>
    <n v="0"/>
    <n v="0"/>
    <n v="72"/>
    <s v="Sabigh Masood"/>
    <s v="Collections Group"/>
    <d v="2025-04-03T00:00:00"/>
    <d v="1899-12-30T13:01:40"/>
    <d v="1899-12-30T22:04:10"/>
    <n v="9.0500000000000007"/>
    <n v="9.0299999999999994"/>
    <n v="0.86"/>
    <n v="0.28999999999999998"/>
    <n v="0"/>
    <n v="0.36"/>
    <n v="4.1100000000000003"/>
    <n v="1.45"/>
    <n v="1.74"/>
    <n v="0"/>
    <n v="0.2"/>
    <n v="0.03"/>
    <n v="9.0299999999999994"/>
    <n v="9.5"/>
    <n v="3.22"/>
    <n v="0"/>
    <n v="3.96"/>
    <n v="45.47"/>
    <n v="16.07"/>
    <n v="19.3"/>
    <n v="0"/>
    <n v="2.2000000000000002"/>
    <n v="0.28000000000000003"/>
    <n v="5"/>
    <x v="4"/>
  </r>
  <r>
    <x v="6"/>
    <x v="208"/>
    <x v="10"/>
    <x v="281"/>
    <n v="0"/>
    <n v="0"/>
    <n v="0"/>
    <n v="0"/>
    <n v="0"/>
    <n v="0"/>
    <n v="0"/>
    <m/>
    <m/>
    <m/>
    <m/>
    <m/>
    <m/>
    <m/>
    <m/>
    <m/>
    <m/>
    <m/>
    <m/>
    <m/>
    <m/>
    <m/>
    <m/>
    <m/>
    <m/>
    <m/>
    <m/>
    <m/>
    <m/>
    <m/>
    <m/>
    <m/>
    <m/>
    <m/>
    <m/>
    <n v="5"/>
    <x v="4"/>
  </r>
  <r>
    <x v="16"/>
    <x v="209"/>
    <x v="10"/>
    <x v="13"/>
    <n v="2"/>
    <n v="1"/>
    <n v="0"/>
    <n v="1"/>
    <n v="0"/>
    <n v="0"/>
    <n v="0"/>
    <s v="Alisha McGee"/>
    <s v="Collections Group"/>
    <d v="2025-04-02T00:00:00"/>
    <d v="1899-12-30T18:03:30"/>
    <d v="1899-12-30T23:07:12"/>
    <n v="5.07"/>
    <n v="5.0599999999999996"/>
    <n v="0.31"/>
    <n v="0"/>
    <n v="0"/>
    <n v="0.01"/>
    <n v="0"/>
    <n v="0"/>
    <n v="0"/>
    <n v="0"/>
    <n v="0"/>
    <n v="4.75"/>
    <n v="5.0599999999999996"/>
    <n v="6.14"/>
    <n v="0"/>
    <n v="0"/>
    <n v="0.12"/>
    <n v="0"/>
    <n v="0"/>
    <n v="0"/>
    <n v="0"/>
    <n v="0"/>
    <n v="93.74"/>
    <n v="4"/>
    <x v="0"/>
  </r>
  <r>
    <x v="0"/>
    <x v="209"/>
    <x v="10"/>
    <x v="109"/>
    <n v="73"/>
    <n v="6"/>
    <n v="5"/>
    <n v="1"/>
    <n v="0"/>
    <n v="0"/>
    <n v="52"/>
    <s v="Anais Orozco"/>
    <s v="Collections Group"/>
    <d v="2025-04-02T00:00:00"/>
    <d v="1899-12-30T13:00:59"/>
    <d v="1899-12-30T22:01:03"/>
    <n v="9.02"/>
    <n v="8.08"/>
    <n v="1.17"/>
    <n v="0.14000000000000001"/>
    <n v="0"/>
    <n v="0.27"/>
    <n v="6.13"/>
    <n v="0.32"/>
    <n v="0"/>
    <n v="0"/>
    <n v="0"/>
    <n v="0.04"/>
    <n v="8.08"/>
    <n v="14.46"/>
    <n v="1.77"/>
    <n v="0"/>
    <n v="3.35"/>
    <n v="75.87"/>
    <n v="4"/>
    <n v="0"/>
    <n v="0"/>
    <n v="0"/>
    <n v="0.55000000000000004"/>
    <n v="4"/>
    <x v="0"/>
  </r>
  <r>
    <x v="15"/>
    <x v="209"/>
    <x v="10"/>
    <x v="13"/>
    <n v="1"/>
    <n v="1"/>
    <n v="0"/>
    <n v="0"/>
    <n v="0"/>
    <n v="0"/>
    <n v="0"/>
    <s v="Candace Smith"/>
    <s v="Collections Group"/>
    <d v="2025-04-02T00:00:00"/>
    <d v="1899-12-30T18:03:42"/>
    <d v="1899-12-30T19:04:12"/>
    <n v="1.02"/>
    <n v="1.01"/>
    <n v="0.41"/>
    <n v="0"/>
    <n v="0"/>
    <n v="0"/>
    <n v="0"/>
    <n v="0"/>
    <n v="0"/>
    <n v="0"/>
    <n v="0"/>
    <n v="0.6"/>
    <n v="1.01"/>
    <n v="40.51"/>
    <n v="0"/>
    <n v="0"/>
    <n v="0"/>
    <n v="0"/>
    <n v="0"/>
    <n v="0"/>
    <n v="0"/>
    <n v="0"/>
    <n v="59.49"/>
    <n v="4"/>
    <x v="0"/>
  </r>
  <r>
    <x v="1"/>
    <x v="209"/>
    <x v="10"/>
    <x v="108"/>
    <n v="116"/>
    <n v="0"/>
    <n v="4"/>
    <n v="8"/>
    <n v="0"/>
    <n v="3"/>
    <n v="89"/>
    <s v="Derice Warnsley"/>
    <s v="Collections Group"/>
    <d v="2025-04-02T00:00:00"/>
    <d v="1899-12-30T13:00:06"/>
    <d v="1899-12-30T22:00:05"/>
    <n v="9"/>
    <n v="9"/>
    <n v="0.75"/>
    <n v="0.15"/>
    <n v="0"/>
    <n v="0.05"/>
    <n v="6.58"/>
    <n v="1.47"/>
    <n v="0"/>
    <n v="0"/>
    <n v="0"/>
    <n v="0"/>
    <n v="9"/>
    <n v="8.3000000000000007"/>
    <n v="1.72"/>
    <n v="0"/>
    <n v="0.5"/>
    <n v="73.11"/>
    <n v="16.329999999999998"/>
    <n v="0"/>
    <n v="0"/>
    <n v="0"/>
    <n v="0.04"/>
    <n v="4"/>
    <x v="0"/>
  </r>
  <r>
    <x v="3"/>
    <x v="209"/>
    <x v="10"/>
    <x v="52"/>
    <n v="93"/>
    <n v="6"/>
    <n v="6"/>
    <n v="1"/>
    <n v="0"/>
    <n v="0"/>
    <n v="59"/>
    <s v="Jerrod Coleman"/>
    <s v="Collections Group"/>
    <d v="2025-04-02T00:00:00"/>
    <d v="1899-12-30T13:00:49"/>
    <d v="1899-12-30T21:58:43"/>
    <n v="8.9700000000000006"/>
    <n v="8.9600000000000009"/>
    <n v="0.56999999999999995"/>
    <n v="0"/>
    <n v="0"/>
    <n v="0.16"/>
    <n v="6.17"/>
    <n v="1.45"/>
    <n v="0.54"/>
    <n v="0"/>
    <n v="7.0000000000000007E-2"/>
    <n v="0.01"/>
    <n v="8.9600000000000009"/>
    <n v="6.34"/>
    <n v="0"/>
    <n v="0"/>
    <n v="1.8"/>
    <n v="68.81"/>
    <n v="16.13"/>
    <n v="6"/>
    <n v="0"/>
    <n v="0.83"/>
    <n v="0.1"/>
    <n v="4"/>
    <x v="0"/>
  </r>
  <r>
    <x v="4"/>
    <x v="209"/>
    <x v="10"/>
    <x v="13"/>
    <n v="1"/>
    <n v="0"/>
    <n v="0"/>
    <n v="0"/>
    <n v="0"/>
    <n v="0"/>
    <n v="0"/>
    <s v="Rosette Rwabugahya"/>
    <s v="Collections Group"/>
    <d v="2025-04-02T00:00:00"/>
    <d v="1899-12-30T14:52:38"/>
    <d v="1899-12-30T21:34:03"/>
    <n v="6.7"/>
    <n v="6.5"/>
    <n v="0.02"/>
    <n v="0"/>
    <n v="0"/>
    <n v="0.08"/>
    <n v="0"/>
    <n v="0"/>
    <n v="6.37"/>
    <n v="0"/>
    <n v="0.01"/>
    <n v="0.01"/>
    <n v="6.5"/>
    <n v="0.3"/>
    <n v="0"/>
    <n v="0"/>
    <n v="1.28"/>
    <n v="0"/>
    <n v="0"/>
    <n v="98.12"/>
    <n v="0"/>
    <n v="0.16"/>
    <n v="0.13"/>
    <n v="4"/>
    <x v="0"/>
  </r>
  <r>
    <x v="5"/>
    <x v="209"/>
    <x v="10"/>
    <x v="116"/>
    <n v="102"/>
    <n v="0"/>
    <n v="8"/>
    <n v="6"/>
    <n v="1"/>
    <n v="1"/>
    <n v="66"/>
    <s v="Sabigh Masood"/>
    <s v="Collections Group"/>
    <d v="2025-04-02T00:00:00"/>
    <d v="1899-12-30T12:59:10"/>
    <d v="1899-12-30T22:01:43"/>
    <n v="9.0299999999999994"/>
    <n v="8.92"/>
    <n v="1.6"/>
    <n v="0.26"/>
    <n v="0"/>
    <n v="0.17"/>
    <n v="5.09"/>
    <n v="1.49"/>
    <n v="0.22"/>
    <n v="0"/>
    <n v="7.0000000000000007E-2"/>
    <n v="0.01"/>
    <n v="8.92"/>
    <n v="17.989999999999998"/>
    <n v="2.87"/>
    <n v="0"/>
    <n v="1.93"/>
    <n v="57.06"/>
    <n v="16.760000000000002"/>
    <n v="2.4700000000000002"/>
    <n v="0"/>
    <n v="0.8"/>
    <n v="0.13"/>
    <n v="4"/>
    <x v="0"/>
  </r>
  <r>
    <x v="6"/>
    <x v="209"/>
    <x v="10"/>
    <x v="282"/>
    <n v="0"/>
    <n v="0"/>
    <n v="0"/>
    <n v="0"/>
    <n v="0"/>
    <n v="0"/>
    <n v="0"/>
    <m/>
    <m/>
    <m/>
    <m/>
    <m/>
    <m/>
    <m/>
    <m/>
    <m/>
    <m/>
    <m/>
    <m/>
    <m/>
    <m/>
    <m/>
    <m/>
    <m/>
    <m/>
    <m/>
    <m/>
    <m/>
    <m/>
    <m/>
    <m/>
    <m/>
    <m/>
    <m/>
    <m/>
    <n v="4"/>
    <x v="0"/>
  </r>
  <r>
    <x v="0"/>
    <x v="210"/>
    <x v="10"/>
    <x v="68"/>
    <n v="125"/>
    <n v="4"/>
    <n v="7"/>
    <n v="6"/>
    <n v="1"/>
    <n v="2"/>
    <n v="80"/>
    <s v="Anais Orozco"/>
    <s v="Collections Group"/>
    <d v="2025-04-01T00:00:00"/>
    <d v="1899-12-30T13:01:43"/>
    <d v="1899-12-30T22:00:25"/>
    <n v="8.98"/>
    <n v="8.02"/>
    <n v="1.7"/>
    <n v="0.3"/>
    <n v="0"/>
    <n v="0.53"/>
    <n v="5.15"/>
    <n v="0.33"/>
    <n v="0"/>
    <n v="0"/>
    <n v="0"/>
    <n v="0.01"/>
    <n v="8.02"/>
    <n v="21.18"/>
    <n v="3.78"/>
    <n v="0"/>
    <n v="6.64"/>
    <n v="64.19"/>
    <n v="4.05"/>
    <n v="0"/>
    <n v="0"/>
    <n v="0"/>
    <n v="0.16"/>
    <n v="3"/>
    <x v="1"/>
  </r>
  <r>
    <x v="1"/>
    <x v="210"/>
    <x v="10"/>
    <x v="13"/>
    <n v="1"/>
    <n v="0"/>
    <n v="0"/>
    <n v="0"/>
    <n v="0"/>
    <n v="0"/>
    <n v="0"/>
    <m/>
    <m/>
    <m/>
    <m/>
    <m/>
    <m/>
    <m/>
    <m/>
    <m/>
    <m/>
    <m/>
    <m/>
    <m/>
    <m/>
    <m/>
    <m/>
    <m/>
    <m/>
    <m/>
    <m/>
    <m/>
    <m/>
    <m/>
    <m/>
    <m/>
    <m/>
    <m/>
    <m/>
    <n v="3"/>
    <x v="1"/>
  </r>
  <r>
    <x v="3"/>
    <x v="210"/>
    <x v="10"/>
    <x v="41"/>
    <n v="132"/>
    <n v="14"/>
    <n v="11"/>
    <n v="9"/>
    <n v="0"/>
    <n v="2"/>
    <n v="71"/>
    <s v="Jerrod Coleman"/>
    <s v="Collections Group"/>
    <d v="2025-04-01T00:00:00"/>
    <d v="1899-12-30T13:02:29"/>
    <d v="1899-12-30T22:00:10"/>
    <n v="8.9700000000000006"/>
    <n v="8.9600000000000009"/>
    <n v="1.97"/>
    <n v="0.06"/>
    <n v="0"/>
    <n v="0.32"/>
    <n v="5.16"/>
    <n v="1.45"/>
    <n v="0"/>
    <n v="0"/>
    <n v="0"/>
    <n v="0"/>
    <n v="8.9600000000000009"/>
    <n v="21.95"/>
    <n v="0.71"/>
    <n v="0"/>
    <n v="3.59"/>
    <n v="57.55"/>
    <n v="16.16"/>
    <n v="0"/>
    <n v="0"/>
    <n v="0"/>
    <n v="0.05"/>
    <n v="3"/>
    <x v="1"/>
  </r>
  <r>
    <x v="17"/>
    <x v="210"/>
    <x v="10"/>
    <x v="13"/>
    <n v="1"/>
    <n v="0"/>
    <n v="0"/>
    <n v="0"/>
    <n v="0"/>
    <n v="0"/>
    <n v="0"/>
    <m/>
    <m/>
    <m/>
    <m/>
    <m/>
    <m/>
    <m/>
    <m/>
    <m/>
    <m/>
    <m/>
    <m/>
    <m/>
    <m/>
    <m/>
    <m/>
    <m/>
    <m/>
    <m/>
    <m/>
    <m/>
    <m/>
    <m/>
    <m/>
    <m/>
    <m/>
    <m/>
    <m/>
    <n v="3"/>
    <x v="1"/>
  </r>
  <r>
    <x v="5"/>
    <x v="210"/>
    <x v="10"/>
    <x v="53"/>
    <n v="141"/>
    <n v="10"/>
    <n v="4"/>
    <n v="7"/>
    <n v="1"/>
    <n v="0"/>
    <n v="99"/>
    <s v="Sabigh Masood"/>
    <s v="Collections Group"/>
    <d v="2025-04-01T00:00:00"/>
    <d v="1899-12-30T12:59:01"/>
    <d v="1899-12-30T22:00:54"/>
    <n v="9.02"/>
    <n v="9.0299999999999994"/>
    <n v="1.03"/>
    <n v="0.22"/>
    <n v="0"/>
    <n v="0.51"/>
    <n v="4.57"/>
    <n v="1.45"/>
    <n v="1.24"/>
    <n v="0"/>
    <n v="0"/>
    <n v="0.01"/>
    <n v="9.0299999999999994"/>
    <n v="11.39"/>
    <n v="2.46"/>
    <n v="0"/>
    <n v="5.61"/>
    <n v="50.62"/>
    <n v="16.100000000000001"/>
    <n v="13.75"/>
    <n v="0"/>
    <n v="0"/>
    <n v="0.06"/>
    <n v="3"/>
    <x v="1"/>
  </r>
  <r>
    <x v="6"/>
    <x v="210"/>
    <x v="10"/>
    <x v="283"/>
    <n v="0"/>
    <n v="0"/>
    <n v="0"/>
    <n v="0"/>
    <n v="0"/>
    <n v="0"/>
    <n v="0"/>
    <m/>
    <m/>
    <m/>
    <m/>
    <m/>
    <m/>
    <m/>
    <m/>
    <m/>
    <m/>
    <m/>
    <m/>
    <m/>
    <m/>
    <m/>
    <m/>
    <m/>
    <m/>
    <m/>
    <m/>
    <m/>
    <m/>
    <m/>
    <m/>
    <m/>
    <m/>
    <m/>
    <m/>
    <n v="3"/>
    <x v="1"/>
  </r>
  <r>
    <x v="0"/>
    <x v="211"/>
    <x v="11"/>
    <x v="38"/>
    <n v="157"/>
    <n v="11"/>
    <n v="9"/>
    <n v="6"/>
    <n v="0"/>
    <n v="5"/>
    <n v="101"/>
    <s v="Anais Orozco"/>
    <s v="Collections Group"/>
    <d v="2025-03-31T00:00:00"/>
    <d v="1899-12-30T13:02:12"/>
    <d v="1899-12-30T22:00:14"/>
    <n v="8.9700000000000006"/>
    <n v="8.07"/>
    <n v="1.91"/>
    <n v="0.74"/>
    <n v="0"/>
    <n v="0.62"/>
    <n v="4.4400000000000004"/>
    <n v="0.31"/>
    <n v="0"/>
    <n v="0"/>
    <n v="0"/>
    <n v="0.06"/>
    <n v="8.07"/>
    <n v="23.62"/>
    <n v="9.19"/>
    <n v="0"/>
    <n v="7.63"/>
    <n v="55.04"/>
    <n v="3.78"/>
    <n v="0.01"/>
    <n v="0"/>
    <n v="0"/>
    <n v="0.73"/>
    <n v="2"/>
    <x v="2"/>
  </r>
  <r>
    <x v="3"/>
    <x v="211"/>
    <x v="11"/>
    <x v="33"/>
    <n v="147"/>
    <n v="13"/>
    <n v="21"/>
    <n v="14"/>
    <n v="0"/>
    <n v="2"/>
    <n v="72"/>
    <s v="Jerrod Coleman"/>
    <s v="Collections Group"/>
    <d v="2025-03-31T00:00:00"/>
    <d v="1899-12-30T13:02:42"/>
    <d v="1899-12-30T21:59:49"/>
    <n v="8.9499999999999993"/>
    <n v="8.8699999999999992"/>
    <n v="2.17"/>
    <n v="0.19"/>
    <n v="0"/>
    <n v="0.56999999999999995"/>
    <n v="4.45"/>
    <n v="1.47"/>
    <n v="0"/>
    <n v="0"/>
    <n v="0"/>
    <n v="0.01"/>
    <n v="8.8699999999999992"/>
    <n v="24.53"/>
    <n v="2.16"/>
    <n v="0"/>
    <n v="6.47"/>
    <n v="50.2"/>
    <n v="16.55"/>
    <n v="0"/>
    <n v="0"/>
    <n v="0"/>
    <n v="0.08"/>
    <n v="2"/>
    <x v="2"/>
  </r>
  <r>
    <x v="5"/>
    <x v="211"/>
    <x v="11"/>
    <x v="42"/>
    <n v="113"/>
    <n v="12"/>
    <n v="9"/>
    <n v="9"/>
    <n v="0"/>
    <n v="1"/>
    <n v="71"/>
    <s v="Sabigh Masood"/>
    <s v="Collections Group"/>
    <d v="2025-03-31T00:00:00"/>
    <d v="1899-12-30T13:00:14"/>
    <d v="1899-12-30T22:04:27"/>
    <n v="9.07"/>
    <n v="9.07"/>
    <n v="2"/>
    <n v="0.36"/>
    <n v="0"/>
    <n v="0.61"/>
    <n v="4.17"/>
    <n v="1.49"/>
    <n v="0.44"/>
    <n v="0"/>
    <n v="0"/>
    <n v="0.01"/>
    <n v="9.07"/>
    <n v="22.03"/>
    <n v="3.96"/>
    <n v="0"/>
    <n v="6.72"/>
    <n v="45.95"/>
    <n v="16.41"/>
    <n v="4.82"/>
    <n v="0"/>
    <n v="0"/>
    <n v="0.1"/>
    <n v="2"/>
    <x v="2"/>
  </r>
  <r>
    <x v="6"/>
    <x v="211"/>
    <x v="11"/>
    <x v="278"/>
    <n v="0"/>
    <n v="0"/>
    <n v="0"/>
    <n v="0"/>
    <n v="0"/>
    <n v="0"/>
    <n v="0"/>
    <m/>
    <m/>
    <m/>
    <m/>
    <m/>
    <m/>
    <m/>
    <m/>
    <m/>
    <m/>
    <m/>
    <m/>
    <m/>
    <m/>
    <m/>
    <m/>
    <m/>
    <m/>
    <m/>
    <m/>
    <m/>
    <m/>
    <m/>
    <m/>
    <m/>
    <m/>
    <m/>
    <m/>
    <n v="2"/>
    <x v="2"/>
  </r>
  <r>
    <x v="0"/>
    <x v="212"/>
    <x v="11"/>
    <x v="89"/>
    <n v="92"/>
    <n v="3"/>
    <n v="2"/>
    <n v="0"/>
    <n v="2"/>
    <n v="1"/>
    <n v="60"/>
    <s v="Anais Orozco"/>
    <s v="Collections Group"/>
    <d v="2025-03-28T00:00:00"/>
    <d v="1899-12-30T13:00:50"/>
    <d v="1899-12-30T22:00:18"/>
    <n v="9"/>
    <n v="8.06"/>
    <n v="0.69"/>
    <n v="0.13"/>
    <n v="0"/>
    <n v="0.28999999999999998"/>
    <n v="6.35"/>
    <n v="0.57999999999999996"/>
    <n v="0"/>
    <n v="0"/>
    <n v="0"/>
    <n v="0.01"/>
    <n v="8.06"/>
    <n v="8.56"/>
    <n v="1.67"/>
    <n v="0"/>
    <n v="3.58"/>
    <n v="78.77"/>
    <n v="7.24"/>
    <n v="0"/>
    <n v="0"/>
    <n v="0"/>
    <n v="0.18"/>
    <n v="6"/>
    <x v="3"/>
  </r>
  <r>
    <x v="1"/>
    <x v="212"/>
    <x v="11"/>
    <x v="121"/>
    <n v="32"/>
    <n v="4"/>
    <n v="3"/>
    <n v="6"/>
    <n v="0"/>
    <n v="0"/>
    <n v="14"/>
    <s v="Derice Warnsley"/>
    <s v="Collections Group"/>
    <d v="2025-03-28T00:00:00"/>
    <d v="1899-12-30T13:00:09"/>
    <d v="1899-12-30T17:01:13"/>
    <n v="4.0199999999999996"/>
    <n v="4.0199999999999996"/>
    <n v="0.55000000000000004"/>
    <n v="0.08"/>
    <n v="0"/>
    <n v="0.01"/>
    <n v="3.14"/>
    <n v="0.24"/>
    <n v="0"/>
    <n v="0"/>
    <n v="0"/>
    <n v="0"/>
    <n v="4.0199999999999996"/>
    <n v="13.59"/>
    <n v="1.87"/>
    <n v="0"/>
    <n v="0.28000000000000003"/>
    <n v="78.180000000000007"/>
    <n v="5.97"/>
    <n v="0"/>
    <n v="0"/>
    <n v="0"/>
    <n v="0.1"/>
    <n v="6"/>
    <x v="3"/>
  </r>
  <r>
    <x v="3"/>
    <x v="212"/>
    <x v="11"/>
    <x v="110"/>
    <n v="44"/>
    <n v="4"/>
    <n v="1"/>
    <n v="4"/>
    <n v="0"/>
    <n v="2"/>
    <n v="17"/>
    <s v="Jerrod Coleman"/>
    <s v="Collections Group"/>
    <d v="2025-03-28T00:00:00"/>
    <d v="1899-12-30T13:01:11"/>
    <d v="1899-12-30T18:59:05"/>
    <n v="5.97"/>
    <n v="5.97"/>
    <n v="0.85"/>
    <n v="0"/>
    <n v="0"/>
    <n v="0.14000000000000001"/>
    <n v="3.46"/>
    <n v="1.51"/>
    <n v="0"/>
    <n v="0"/>
    <n v="0"/>
    <n v="0"/>
    <n v="5.97"/>
    <n v="14.31"/>
    <n v="0"/>
    <n v="0"/>
    <n v="2.37"/>
    <n v="57.95"/>
    <n v="25.29"/>
    <n v="0"/>
    <n v="0"/>
    <n v="0"/>
    <n v="7.0000000000000007E-2"/>
    <n v="6"/>
    <x v="3"/>
  </r>
  <r>
    <x v="5"/>
    <x v="212"/>
    <x v="11"/>
    <x v="108"/>
    <n v="71"/>
    <n v="8"/>
    <n v="1"/>
    <n v="3"/>
    <n v="0"/>
    <n v="1"/>
    <n v="46"/>
    <s v="Sabigh Masood"/>
    <s v="Collections Group"/>
    <d v="2025-03-28T00:00:00"/>
    <d v="1899-12-30T13:01:49"/>
    <d v="1899-12-30T22:00:41"/>
    <n v="8.98"/>
    <n v="8.98"/>
    <n v="0.56999999999999995"/>
    <n v="0.17"/>
    <n v="0"/>
    <n v="0.33"/>
    <n v="5.71"/>
    <n v="1.94"/>
    <n v="0.26"/>
    <n v="0"/>
    <n v="0"/>
    <n v="0.01"/>
    <n v="8.98"/>
    <n v="6.37"/>
    <n v="1.89"/>
    <n v="0"/>
    <n v="3.63"/>
    <n v="63.59"/>
    <n v="21.59"/>
    <n v="2.87"/>
    <n v="0"/>
    <n v="0"/>
    <n v="7.0000000000000007E-2"/>
    <n v="6"/>
    <x v="3"/>
  </r>
  <r>
    <x v="6"/>
    <x v="212"/>
    <x v="11"/>
    <x v="276"/>
    <n v="0"/>
    <n v="0"/>
    <n v="0"/>
    <n v="0"/>
    <n v="0"/>
    <n v="0"/>
    <n v="0"/>
    <m/>
    <m/>
    <m/>
    <m/>
    <m/>
    <m/>
    <m/>
    <m/>
    <m/>
    <m/>
    <m/>
    <m/>
    <m/>
    <m/>
    <m/>
    <m/>
    <m/>
    <m/>
    <m/>
    <m/>
    <m/>
    <m/>
    <m/>
    <m/>
    <m/>
    <m/>
    <m/>
    <m/>
    <n v="6"/>
    <x v="3"/>
  </r>
  <r>
    <x v="0"/>
    <x v="213"/>
    <x v="11"/>
    <x v="52"/>
    <n v="89"/>
    <n v="8"/>
    <n v="0"/>
    <n v="0"/>
    <n v="0"/>
    <n v="2"/>
    <n v="56"/>
    <s v="Anais Orozco"/>
    <s v="Collections Group"/>
    <d v="2025-03-27T00:00:00"/>
    <d v="1899-12-30T13:00:51"/>
    <d v="1899-12-30T22:00:23"/>
    <n v="9"/>
    <n v="8.06"/>
    <n v="1.06"/>
    <n v="1.31"/>
    <n v="0"/>
    <n v="0.3"/>
    <n v="4.92"/>
    <n v="0.42"/>
    <n v="0"/>
    <n v="0"/>
    <n v="0"/>
    <n v="0.06"/>
    <n v="8.06"/>
    <n v="13.11"/>
    <n v="16.239999999999998"/>
    <n v="0"/>
    <n v="3.68"/>
    <n v="61.02"/>
    <n v="5.18"/>
    <n v="0"/>
    <n v="0"/>
    <n v="0"/>
    <n v="0.78"/>
    <n v="5"/>
    <x v="4"/>
  </r>
  <r>
    <x v="1"/>
    <x v="213"/>
    <x v="11"/>
    <x v="116"/>
    <n v="87"/>
    <n v="3"/>
    <n v="3"/>
    <n v="6"/>
    <n v="0"/>
    <n v="0"/>
    <n v="56"/>
    <s v="Derice Warnsley"/>
    <s v="Collections Group"/>
    <d v="2025-03-27T00:00:00"/>
    <d v="1899-12-30T13:00:28"/>
    <d v="1899-12-30T22:01:52"/>
    <n v="9.02"/>
    <n v="9.02"/>
    <n v="0.64"/>
    <n v="0.21"/>
    <n v="0"/>
    <n v="0.03"/>
    <n v="6.59"/>
    <n v="1.46"/>
    <n v="0.1"/>
    <n v="0"/>
    <n v="0"/>
    <n v="0"/>
    <n v="9.02"/>
    <n v="7.04"/>
    <n v="2.36"/>
    <n v="0"/>
    <n v="0.28000000000000003"/>
    <n v="72.98"/>
    <n v="16.22"/>
    <n v="1.0900000000000001"/>
    <n v="0"/>
    <n v="0"/>
    <n v="0.05"/>
    <n v="5"/>
    <x v="4"/>
  </r>
  <r>
    <x v="3"/>
    <x v="213"/>
    <x v="11"/>
    <x v="89"/>
    <n v="61"/>
    <n v="6"/>
    <n v="3"/>
    <n v="2"/>
    <n v="0"/>
    <n v="1"/>
    <n v="29"/>
    <s v="Jerrod Coleman"/>
    <s v="Collections Group"/>
    <d v="2025-03-27T00:00:00"/>
    <d v="1899-12-30T13:00:21"/>
    <d v="1899-12-30T21:59:20"/>
    <n v="8.98"/>
    <n v="8.98"/>
    <n v="1.0900000000000001"/>
    <n v="0"/>
    <n v="0"/>
    <n v="0.22"/>
    <n v="6.18"/>
    <n v="1.48"/>
    <n v="0"/>
    <n v="0"/>
    <n v="0"/>
    <n v="0.01"/>
    <n v="8.98"/>
    <n v="12.11"/>
    <n v="0"/>
    <n v="0"/>
    <n v="2.48"/>
    <n v="68.86"/>
    <n v="16.489999999999998"/>
    <n v="0"/>
    <n v="0"/>
    <n v="0"/>
    <n v="0.06"/>
    <n v="5"/>
    <x v="4"/>
  </r>
  <r>
    <x v="6"/>
    <x v="213"/>
    <x v="11"/>
    <x v="277"/>
    <n v="0"/>
    <n v="0"/>
    <n v="0"/>
    <n v="0"/>
    <n v="0"/>
    <n v="0"/>
    <n v="0"/>
    <m/>
    <m/>
    <m/>
    <m/>
    <m/>
    <m/>
    <m/>
    <m/>
    <m/>
    <m/>
    <m/>
    <m/>
    <m/>
    <m/>
    <m/>
    <m/>
    <m/>
    <m/>
    <m/>
    <m/>
    <m/>
    <m/>
    <m/>
    <m/>
    <m/>
    <m/>
    <m/>
    <m/>
    <n v="5"/>
    <x v="4"/>
  </r>
  <r>
    <x v="0"/>
    <x v="214"/>
    <x v="11"/>
    <x v="69"/>
    <n v="68"/>
    <n v="1"/>
    <n v="7"/>
    <n v="3"/>
    <n v="0"/>
    <n v="0"/>
    <n v="41"/>
    <s v="Anais Orozco"/>
    <s v="Collections Group"/>
    <d v="2025-03-26T00:00:00"/>
    <d v="1899-12-30T13:00:13"/>
    <d v="1899-12-30T22:00:22"/>
    <n v="9"/>
    <n v="8.0500000000000007"/>
    <n v="1.1399999999999999"/>
    <n v="0.12"/>
    <n v="0"/>
    <n v="0.16"/>
    <n v="6.31"/>
    <n v="0.3"/>
    <n v="0"/>
    <n v="0"/>
    <n v="0"/>
    <n v="0.01"/>
    <n v="8.0500000000000007"/>
    <n v="14.19"/>
    <n v="1.48"/>
    <n v="0"/>
    <n v="1.99"/>
    <n v="78.39"/>
    <n v="3.78"/>
    <n v="0"/>
    <n v="0"/>
    <n v="0"/>
    <n v="0.17"/>
    <n v="4"/>
    <x v="0"/>
  </r>
  <r>
    <x v="1"/>
    <x v="214"/>
    <x v="11"/>
    <x v="74"/>
    <n v="57"/>
    <n v="6"/>
    <n v="0"/>
    <n v="4"/>
    <n v="0"/>
    <n v="0"/>
    <n v="36"/>
    <s v="Derice Warnsley"/>
    <s v="Collections Group"/>
    <d v="2025-03-26T00:00:00"/>
    <d v="1899-12-30T12:59:48"/>
    <d v="1899-12-30T22:00:20"/>
    <n v="9.02"/>
    <n v="9.01"/>
    <n v="1.1499999999999999"/>
    <n v="0.1"/>
    <n v="0"/>
    <n v="0.05"/>
    <n v="6.21"/>
    <n v="1.49"/>
    <n v="0"/>
    <n v="0"/>
    <n v="0"/>
    <n v="0.01"/>
    <n v="9.01"/>
    <n v="12.76"/>
    <n v="1.08"/>
    <n v="0"/>
    <n v="0.59"/>
    <n v="68.94"/>
    <n v="16.579999999999998"/>
    <n v="0"/>
    <n v="0"/>
    <n v="0"/>
    <n v="0.06"/>
    <n v="4"/>
    <x v="0"/>
  </r>
  <r>
    <x v="3"/>
    <x v="214"/>
    <x v="11"/>
    <x v="52"/>
    <n v="69"/>
    <n v="2"/>
    <n v="1"/>
    <n v="3"/>
    <n v="0"/>
    <n v="0"/>
    <n v="36"/>
    <s v="Jerrod Coleman"/>
    <s v="Collections Group"/>
    <d v="2025-03-26T00:00:00"/>
    <d v="1899-12-30T13:00:32"/>
    <d v="1899-12-30T21:59:27"/>
    <n v="8.98"/>
    <n v="8.98"/>
    <n v="0.9"/>
    <n v="0.17"/>
    <n v="0"/>
    <n v="0.15"/>
    <n v="5.28"/>
    <n v="1.48"/>
    <n v="1"/>
    <n v="0"/>
    <n v="0"/>
    <n v="0.01"/>
    <n v="8.98"/>
    <n v="10.01"/>
    <n v="1.87"/>
    <n v="0"/>
    <n v="1.72"/>
    <n v="58.76"/>
    <n v="16.489999999999998"/>
    <n v="11.09"/>
    <n v="0"/>
    <n v="0"/>
    <n v="0.06"/>
    <n v="4"/>
    <x v="0"/>
  </r>
  <r>
    <x v="5"/>
    <x v="214"/>
    <x v="11"/>
    <x v="69"/>
    <n v="93"/>
    <n v="3"/>
    <n v="2"/>
    <n v="10"/>
    <n v="0"/>
    <n v="0"/>
    <n v="65"/>
    <s v="Sabigh Masood"/>
    <s v="Collections Group"/>
    <d v="2025-03-26T00:00:00"/>
    <d v="1899-12-30T13:00:03"/>
    <d v="1899-12-30T22:01:59"/>
    <n v="9.02"/>
    <n v="9"/>
    <n v="0.48"/>
    <n v="0.2"/>
    <n v="0"/>
    <n v="0.28999999999999998"/>
    <n v="5.92"/>
    <n v="1.45"/>
    <n v="0.34"/>
    <n v="0"/>
    <n v="0.3"/>
    <n v="0.03"/>
    <n v="9"/>
    <n v="5.32"/>
    <n v="2.17"/>
    <n v="0"/>
    <n v="3.21"/>
    <n v="65.78"/>
    <n v="16.079999999999998"/>
    <n v="3.76"/>
    <n v="0"/>
    <n v="3.36"/>
    <n v="0.32"/>
    <n v="4"/>
    <x v="0"/>
  </r>
  <r>
    <x v="6"/>
    <x v="214"/>
    <x v="11"/>
    <x v="284"/>
    <n v="0"/>
    <n v="0"/>
    <n v="0"/>
    <n v="0"/>
    <n v="0"/>
    <n v="0"/>
    <n v="0"/>
    <m/>
    <m/>
    <m/>
    <m/>
    <m/>
    <m/>
    <m/>
    <m/>
    <m/>
    <m/>
    <m/>
    <m/>
    <m/>
    <m/>
    <m/>
    <m/>
    <m/>
    <m/>
    <m/>
    <m/>
    <m/>
    <m/>
    <m/>
    <m/>
    <m/>
    <m/>
    <m/>
    <m/>
    <n v="4"/>
    <x v="0"/>
  </r>
  <r>
    <x v="0"/>
    <x v="215"/>
    <x v="11"/>
    <x v="18"/>
    <n v="88"/>
    <n v="3"/>
    <n v="5"/>
    <n v="3"/>
    <n v="0"/>
    <n v="3"/>
    <n v="54"/>
    <s v="Anais Orozco"/>
    <s v="Collections Group"/>
    <d v="2025-03-25T00:00:00"/>
    <d v="1899-12-30T13:01:14"/>
    <d v="1899-12-30T22:00:15"/>
    <n v="8.98"/>
    <n v="8.0399999999999991"/>
    <n v="1.44"/>
    <n v="0.27"/>
    <n v="0"/>
    <n v="0.44"/>
    <n v="5.55"/>
    <n v="0.32"/>
    <n v="0"/>
    <n v="0"/>
    <n v="0"/>
    <n v="0.01"/>
    <n v="8.0399999999999991"/>
    <n v="17.91"/>
    <n v="3.38"/>
    <n v="0"/>
    <n v="5.5"/>
    <n v="69.03"/>
    <n v="4.01"/>
    <n v="0"/>
    <n v="0"/>
    <n v="0"/>
    <n v="0.18"/>
    <n v="3"/>
    <x v="1"/>
  </r>
  <r>
    <x v="1"/>
    <x v="215"/>
    <x v="11"/>
    <x v="69"/>
    <n v="79"/>
    <n v="3"/>
    <n v="2"/>
    <n v="3"/>
    <n v="0"/>
    <n v="0"/>
    <n v="53"/>
    <s v="Derice Warnsley"/>
    <s v="Collections Group"/>
    <d v="2025-03-25T00:00:00"/>
    <d v="1899-12-30T13:00:07"/>
    <d v="1899-12-30T22:00:05"/>
    <n v="9"/>
    <n v="9"/>
    <n v="0.88"/>
    <n v="0.26"/>
    <n v="0"/>
    <n v="0.01"/>
    <n v="6.37"/>
    <n v="1.48"/>
    <n v="0"/>
    <n v="0"/>
    <n v="0"/>
    <n v="0.01"/>
    <n v="9"/>
    <n v="9.8000000000000007"/>
    <n v="2.83"/>
    <n v="0"/>
    <n v="0.1"/>
    <n v="70.790000000000006"/>
    <n v="16.420000000000002"/>
    <n v="0"/>
    <n v="0"/>
    <n v="0"/>
    <n v="0.06"/>
    <n v="3"/>
    <x v="1"/>
  </r>
  <r>
    <x v="3"/>
    <x v="215"/>
    <x v="11"/>
    <x v="42"/>
    <n v="98"/>
    <n v="3"/>
    <n v="8"/>
    <n v="6"/>
    <n v="0"/>
    <n v="2"/>
    <n v="60"/>
    <s v="Jerrod Coleman"/>
    <s v="Collections Group"/>
    <d v="2025-03-25T00:00:00"/>
    <d v="1899-12-30T13:00:19"/>
    <d v="1899-12-30T21:59:33"/>
    <n v="8.98"/>
    <n v="8.99"/>
    <n v="1.08"/>
    <n v="0"/>
    <n v="0"/>
    <n v="0.19"/>
    <n v="6.23"/>
    <n v="1.47"/>
    <n v="0"/>
    <n v="0"/>
    <n v="0"/>
    <n v="0.01"/>
    <n v="8.99"/>
    <n v="12.07"/>
    <n v="0"/>
    <n v="0"/>
    <n v="2.14"/>
    <n v="69.3"/>
    <n v="16.399999999999999"/>
    <n v="0"/>
    <n v="0"/>
    <n v="0"/>
    <n v="0.11"/>
    <n v="3"/>
    <x v="1"/>
  </r>
  <r>
    <x v="6"/>
    <x v="215"/>
    <x v="11"/>
    <x v="285"/>
    <n v="0"/>
    <n v="0"/>
    <n v="0"/>
    <n v="0"/>
    <n v="0"/>
    <n v="0"/>
    <n v="0"/>
    <m/>
    <m/>
    <m/>
    <m/>
    <m/>
    <m/>
    <m/>
    <m/>
    <m/>
    <m/>
    <m/>
    <m/>
    <m/>
    <m/>
    <m/>
    <m/>
    <m/>
    <m/>
    <m/>
    <m/>
    <m/>
    <m/>
    <m/>
    <m/>
    <m/>
    <m/>
    <m/>
    <m/>
    <n v="3"/>
    <x v="1"/>
  </r>
  <r>
    <x v="0"/>
    <x v="216"/>
    <x v="11"/>
    <x v="69"/>
    <n v="79"/>
    <n v="4"/>
    <n v="5"/>
    <n v="0"/>
    <n v="2"/>
    <n v="1"/>
    <n v="58"/>
    <s v="Anais Orozco"/>
    <s v="Collections Group"/>
    <d v="2025-03-24T00:00:00"/>
    <d v="1899-12-30T13:01:05"/>
    <d v="1899-12-30T22:02:15"/>
    <n v="9.02"/>
    <n v="8.08"/>
    <n v="1.7"/>
    <n v="0.45"/>
    <n v="0"/>
    <n v="0.25"/>
    <n v="5.07"/>
    <n v="0.59"/>
    <n v="0"/>
    <n v="0"/>
    <n v="0"/>
    <n v="0.03"/>
    <n v="8.08"/>
    <n v="20.98"/>
    <n v="5.6"/>
    <n v="0"/>
    <n v="3.09"/>
    <n v="62.73"/>
    <n v="7.29"/>
    <n v="0"/>
    <n v="0"/>
    <n v="0"/>
    <n v="0.32"/>
    <n v="2"/>
    <x v="2"/>
  </r>
  <r>
    <x v="1"/>
    <x v="216"/>
    <x v="11"/>
    <x v="110"/>
    <n v="56"/>
    <n v="5"/>
    <n v="2"/>
    <n v="4"/>
    <n v="0"/>
    <n v="0"/>
    <n v="38"/>
    <s v="Derice Warnsley"/>
    <s v="Collections Group"/>
    <d v="2025-03-24T00:00:00"/>
    <d v="1899-12-30T13:00:07"/>
    <d v="1899-12-30T22:00:05"/>
    <n v="9"/>
    <n v="9"/>
    <n v="1.29"/>
    <n v="0.14000000000000001"/>
    <n v="0"/>
    <n v="0.03"/>
    <n v="5.63"/>
    <n v="1.47"/>
    <n v="0.44"/>
    <n v="0"/>
    <n v="0"/>
    <n v="0"/>
    <n v="9"/>
    <n v="14.31"/>
    <n v="1.6"/>
    <n v="0"/>
    <n v="0.31"/>
    <n v="62.55"/>
    <n v="16.32"/>
    <n v="4.8600000000000003"/>
    <n v="0"/>
    <n v="0"/>
    <n v="0.05"/>
    <n v="2"/>
    <x v="2"/>
  </r>
  <r>
    <x v="3"/>
    <x v="216"/>
    <x v="11"/>
    <x v="40"/>
    <n v="101"/>
    <n v="5"/>
    <n v="4"/>
    <n v="4"/>
    <n v="0"/>
    <n v="0"/>
    <n v="67"/>
    <s v="Jerrod Coleman"/>
    <s v="Collections Group"/>
    <d v="2025-03-24T00:00:00"/>
    <d v="1899-12-30T13:00:50"/>
    <d v="1899-12-30T21:59:33"/>
    <n v="8.98"/>
    <n v="8.98"/>
    <n v="0.74"/>
    <n v="0"/>
    <n v="0"/>
    <n v="0.16"/>
    <n v="6.53"/>
    <n v="1.48"/>
    <n v="0.06"/>
    <n v="0"/>
    <n v="0"/>
    <n v="0"/>
    <n v="8.98"/>
    <n v="8.2899999999999991"/>
    <n v="0"/>
    <n v="0"/>
    <n v="1.82"/>
    <n v="72.709999999999994"/>
    <n v="16.489999999999998"/>
    <n v="0.64"/>
    <n v="0"/>
    <n v="0"/>
    <n v="0.05"/>
    <n v="2"/>
    <x v="2"/>
  </r>
  <r>
    <x v="5"/>
    <x v="216"/>
    <x v="11"/>
    <x v="69"/>
    <n v="78"/>
    <n v="7"/>
    <n v="2"/>
    <n v="12"/>
    <n v="0"/>
    <n v="0"/>
    <n v="45"/>
    <s v="Sabigh Masood"/>
    <s v="Collections Group"/>
    <d v="2025-03-24T00:00:00"/>
    <d v="1899-12-30T13:02:47"/>
    <d v="1899-12-30T22:05:06"/>
    <n v="9.0500000000000007"/>
    <n v="9.01"/>
    <n v="0.88"/>
    <n v="0.12"/>
    <n v="0"/>
    <n v="0.2"/>
    <n v="5.95"/>
    <n v="1.46"/>
    <n v="0.21"/>
    <n v="0"/>
    <n v="0.17"/>
    <n v="0.01"/>
    <n v="9.01"/>
    <n v="9.82"/>
    <n v="1.35"/>
    <n v="0"/>
    <n v="2.27"/>
    <n v="66.03"/>
    <n v="16.22"/>
    <n v="2.3199999999999998"/>
    <n v="0"/>
    <n v="1.85"/>
    <n v="0.14000000000000001"/>
    <n v="2"/>
    <x v="2"/>
  </r>
  <r>
    <x v="6"/>
    <x v="216"/>
    <x v="11"/>
    <x v="286"/>
    <n v="0"/>
    <n v="0"/>
    <n v="0"/>
    <n v="0"/>
    <n v="0"/>
    <n v="0"/>
    <n v="0"/>
    <m/>
    <m/>
    <m/>
    <m/>
    <m/>
    <m/>
    <m/>
    <m/>
    <m/>
    <m/>
    <m/>
    <m/>
    <m/>
    <m/>
    <m/>
    <m/>
    <m/>
    <m/>
    <m/>
    <m/>
    <m/>
    <m/>
    <m/>
    <m/>
    <m/>
    <m/>
    <m/>
    <m/>
    <n v="2"/>
    <x v="2"/>
  </r>
  <r>
    <x v="0"/>
    <x v="217"/>
    <x v="11"/>
    <x v="116"/>
    <n v="89"/>
    <n v="12"/>
    <n v="4"/>
    <n v="4"/>
    <n v="0"/>
    <n v="3"/>
    <n v="56"/>
    <s v="Anais Orozco"/>
    <s v="Collections Group"/>
    <d v="2025-03-21T00:00:00"/>
    <d v="1899-12-30T13:00:33"/>
    <d v="1899-12-30T22:00:33"/>
    <n v="9"/>
    <n v="8.08"/>
    <n v="0.87"/>
    <n v="0.19"/>
    <n v="0"/>
    <n v="0.4"/>
    <n v="6.2"/>
    <n v="0.37"/>
    <n v="0.05"/>
    <n v="0"/>
    <n v="0"/>
    <n v="0.01"/>
    <n v="8.08"/>
    <n v="10.72"/>
    <n v="2.3199999999999998"/>
    <n v="0"/>
    <n v="4.9800000000000004"/>
    <n v="76.67"/>
    <n v="4.59"/>
    <n v="0.59"/>
    <n v="0"/>
    <n v="0"/>
    <n v="0.12"/>
    <n v="6"/>
    <x v="3"/>
  </r>
  <r>
    <x v="1"/>
    <x v="217"/>
    <x v="11"/>
    <x v="110"/>
    <n v="49"/>
    <n v="2"/>
    <n v="5"/>
    <n v="3"/>
    <n v="0"/>
    <n v="2"/>
    <n v="25"/>
    <s v="Derice Warnsley"/>
    <s v="Collections Group"/>
    <d v="2025-03-21T00:00:00"/>
    <d v="1899-12-30T13:00:08"/>
    <d v="1899-12-30T22:00:03"/>
    <n v="9"/>
    <n v="9"/>
    <n v="1.4"/>
    <n v="0.16"/>
    <n v="0"/>
    <n v="0.03"/>
    <n v="5.7"/>
    <n v="1.5"/>
    <n v="0.22"/>
    <n v="0"/>
    <n v="0"/>
    <n v="0"/>
    <n v="9"/>
    <n v="15.53"/>
    <n v="1.81"/>
    <n v="0"/>
    <n v="0.3"/>
    <n v="63.29"/>
    <n v="16.62"/>
    <n v="2.4"/>
    <n v="0"/>
    <n v="0"/>
    <n v="0.04"/>
    <n v="6"/>
    <x v="3"/>
  </r>
  <r>
    <x v="3"/>
    <x v="217"/>
    <x v="11"/>
    <x v="18"/>
    <n v="88"/>
    <n v="2"/>
    <n v="3"/>
    <n v="9"/>
    <n v="0"/>
    <n v="0"/>
    <n v="59"/>
    <s v="Jerrod Coleman"/>
    <s v="Collections Group"/>
    <d v="2025-03-21T00:00:00"/>
    <d v="1899-12-30T13:01:32"/>
    <d v="1899-12-30T21:58:48"/>
    <n v="8.9499999999999993"/>
    <n v="8.9499999999999993"/>
    <n v="0.66"/>
    <n v="0"/>
    <n v="0"/>
    <n v="0.15"/>
    <n v="6.69"/>
    <n v="1.45"/>
    <n v="0"/>
    <n v="0"/>
    <n v="0"/>
    <n v="0.01"/>
    <n v="8.9499999999999993"/>
    <n v="7.36"/>
    <n v="0"/>
    <n v="0"/>
    <n v="1.65"/>
    <n v="74.69"/>
    <n v="16.23"/>
    <n v="0"/>
    <n v="0"/>
    <n v="0"/>
    <n v="0.06"/>
    <n v="6"/>
    <x v="3"/>
  </r>
  <r>
    <x v="6"/>
    <x v="217"/>
    <x v="11"/>
    <x v="287"/>
    <n v="0"/>
    <n v="0"/>
    <n v="0"/>
    <n v="0"/>
    <n v="0"/>
    <n v="0"/>
    <n v="0"/>
    <m/>
    <m/>
    <m/>
    <m/>
    <m/>
    <m/>
    <m/>
    <m/>
    <m/>
    <m/>
    <m/>
    <m/>
    <m/>
    <m/>
    <m/>
    <m/>
    <m/>
    <m/>
    <m/>
    <m/>
    <m/>
    <m/>
    <m/>
    <m/>
    <m/>
    <m/>
    <m/>
    <m/>
    <n v="6"/>
    <x v="3"/>
  </r>
  <r>
    <x v="0"/>
    <x v="218"/>
    <x v="11"/>
    <x v="116"/>
    <n v="68"/>
    <n v="5"/>
    <n v="6"/>
    <n v="2"/>
    <n v="0"/>
    <n v="2"/>
    <n v="35"/>
    <s v="Anais Orozco"/>
    <s v="Collections Group"/>
    <d v="2025-03-20T00:00:00"/>
    <d v="1899-12-30T13:01:26"/>
    <d v="1899-12-30T22:00:08"/>
    <n v="8.98"/>
    <n v="8.06"/>
    <n v="1.17"/>
    <n v="0.45"/>
    <n v="0"/>
    <n v="0.31"/>
    <n v="5.46"/>
    <n v="0.19"/>
    <n v="0.36"/>
    <n v="0"/>
    <n v="0"/>
    <n v="0.12"/>
    <n v="8.06"/>
    <n v="14.52"/>
    <n v="5.53"/>
    <n v="0"/>
    <n v="3.9"/>
    <n v="67.680000000000007"/>
    <n v="2.38"/>
    <n v="4.46"/>
    <n v="0"/>
    <n v="0"/>
    <n v="1.52"/>
    <n v="5"/>
    <x v="4"/>
  </r>
  <r>
    <x v="1"/>
    <x v="218"/>
    <x v="11"/>
    <x v="116"/>
    <n v="71"/>
    <n v="3"/>
    <n v="7"/>
    <n v="5"/>
    <n v="0"/>
    <n v="0"/>
    <n v="46"/>
    <s v="Derice Warnsley"/>
    <s v="Collections Group"/>
    <d v="2025-03-20T00:00:00"/>
    <d v="1899-12-30T13:00:19"/>
    <d v="1899-12-30T22:00:16"/>
    <n v="9"/>
    <n v="9"/>
    <n v="1.08"/>
    <n v="0.11"/>
    <n v="0"/>
    <n v="0.02"/>
    <n v="5.82"/>
    <n v="1.49"/>
    <n v="0.47"/>
    <n v="0"/>
    <n v="0"/>
    <n v="0"/>
    <n v="9"/>
    <n v="11.96"/>
    <n v="1.25"/>
    <n v="0"/>
    <n v="0.26"/>
    <n v="64.67"/>
    <n v="16.55"/>
    <n v="5.27"/>
    <n v="0"/>
    <n v="0"/>
    <n v="0.04"/>
    <n v="5"/>
    <x v="4"/>
  </r>
  <r>
    <x v="3"/>
    <x v="218"/>
    <x v="11"/>
    <x v="110"/>
    <n v="58"/>
    <n v="0"/>
    <n v="0"/>
    <n v="5"/>
    <n v="0"/>
    <n v="1"/>
    <n v="35"/>
    <s v="Jerrod Coleman"/>
    <s v="Collections Group"/>
    <d v="2025-03-20T00:00:00"/>
    <d v="1899-12-30T13:00:29"/>
    <d v="1899-12-30T22:00:17"/>
    <n v="9"/>
    <n v="7.7"/>
    <n v="0.45"/>
    <n v="0.13"/>
    <n v="0"/>
    <n v="0.04"/>
    <n v="6.08"/>
    <n v="0.69"/>
    <n v="0.3"/>
    <n v="0"/>
    <n v="0"/>
    <n v="0.01"/>
    <n v="7.7"/>
    <n v="5.81"/>
    <n v="1.74"/>
    <n v="0"/>
    <n v="0.47"/>
    <n v="79"/>
    <n v="8.94"/>
    <n v="3.9"/>
    <n v="0"/>
    <n v="0"/>
    <n v="0.12"/>
    <n v="5"/>
    <x v="4"/>
  </r>
  <r>
    <x v="5"/>
    <x v="218"/>
    <x v="11"/>
    <x v="113"/>
    <n v="60"/>
    <n v="2"/>
    <n v="3"/>
    <n v="3"/>
    <n v="0"/>
    <n v="0"/>
    <n v="39"/>
    <s v="Sabigh Masood"/>
    <s v="Collections Group"/>
    <d v="2025-03-20T00:00:00"/>
    <d v="1899-12-30T12:59:43"/>
    <d v="1899-12-30T22:01:15"/>
    <n v="9.0299999999999994"/>
    <n v="8.98"/>
    <n v="0.34"/>
    <n v="0.1"/>
    <n v="0"/>
    <n v="0.11"/>
    <n v="5.83"/>
    <n v="1.46"/>
    <n v="0.84"/>
    <n v="0"/>
    <n v="0.28000000000000003"/>
    <n v="0.02"/>
    <n v="8.98"/>
    <n v="3.82"/>
    <n v="1.07"/>
    <n v="0"/>
    <n v="1.21"/>
    <n v="64.930000000000007"/>
    <n v="16.23"/>
    <n v="9.4"/>
    <n v="0"/>
    <n v="3.15"/>
    <n v="0.19"/>
    <n v="5"/>
    <x v="4"/>
  </r>
  <r>
    <x v="12"/>
    <x v="218"/>
    <x v="11"/>
    <x v="13"/>
    <n v="1"/>
    <n v="0"/>
    <n v="0"/>
    <n v="0"/>
    <n v="0"/>
    <n v="0"/>
    <n v="0"/>
    <s v="Tiffany Lane-Allen"/>
    <s v="Collections Group"/>
    <d v="2025-03-20T00:00:00"/>
    <d v="1899-12-30T15:07:36"/>
    <d v="1899-12-30T20:20:57"/>
    <n v="5.22"/>
    <n v="0.13"/>
    <n v="0"/>
    <n v="0"/>
    <n v="0"/>
    <n v="0.06"/>
    <n v="0"/>
    <n v="0"/>
    <n v="0"/>
    <n v="0"/>
    <n v="0"/>
    <n v="0.06"/>
    <n v="0.13"/>
    <n v="3.78"/>
    <n v="0"/>
    <n v="0"/>
    <n v="46.67"/>
    <n v="0"/>
    <n v="0"/>
    <n v="0"/>
    <n v="0"/>
    <n v="0"/>
    <n v="49.56"/>
    <n v="5"/>
    <x v="4"/>
  </r>
  <r>
    <x v="6"/>
    <x v="218"/>
    <x v="11"/>
    <x v="288"/>
    <n v="0"/>
    <n v="0"/>
    <n v="0"/>
    <n v="0"/>
    <n v="0"/>
    <n v="0"/>
    <n v="0"/>
    <m/>
    <m/>
    <m/>
    <m/>
    <m/>
    <m/>
    <m/>
    <m/>
    <m/>
    <m/>
    <m/>
    <m/>
    <m/>
    <m/>
    <m/>
    <m/>
    <m/>
    <m/>
    <m/>
    <m/>
    <m/>
    <m/>
    <m/>
    <m/>
    <m/>
    <m/>
    <m/>
    <m/>
    <n v="5"/>
    <x v="4"/>
  </r>
  <r>
    <x v="0"/>
    <x v="219"/>
    <x v="11"/>
    <x v="18"/>
    <n v="94"/>
    <n v="4"/>
    <n v="2"/>
    <n v="3"/>
    <n v="1"/>
    <n v="0"/>
    <n v="65"/>
    <s v="Anais Orozco"/>
    <s v="Collections Group"/>
    <d v="2025-03-19T00:00:00"/>
    <d v="1899-12-30T13:01:31"/>
    <d v="1899-12-30T22:00:44"/>
    <n v="8.98"/>
    <n v="8.07"/>
    <n v="1.22"/>
    <n v="0.16"/>
    <n v="0"/>
    <n v="0.53"/>
    <n v="5.68"/>
    <n v="0.46"/>
    <n v="0"/>
    <n v="0"/>
    <n v="0"/>
    <n v="0.01"/>
    <n v="8.07"/>
    <n v="15.17"/>
    <n v="2.0299999999999998"/>
    <n v="0"/>
    <n v="6.55"/>
    <n v="70.400000000000006"/>
    <n v="5.68"/>
    <n v="0"/>
    <n v="0"/>
    <n v="0"/>
    <n v="0.17"/>
    <n v="4"/>
    <x v="0"/>
  </r>
  <r>
    <x v="1"/>
    <x v="219"/>
    <x v="11"/>
    <x v="51"/>
    <n v="113"/>
    <n v="5"/>
    <n v="4"/>
    <n v="3"/>
    <n v="0"/>
    <n v="0"/>
    <n v="79"/>
    <s v="Derice Warnsley"/>
    <s v="Collections Group"/>
    <d v="2025-03-19T00:00:00"/>
    <d v="1899-12-30T12:57:49"/>
    <d v="1899-12-30T22:00:54"/>
    <n v="9.0500000000000007"/>
    <n v="9.0399999999999991"/>
    <n v="1.68"/>
    <n v="0.08"/>
    <n v="0"/>
    <n v="0.08"/>
    <n v="5.66"/>
    <n v="1.49"/>
    <n v="0.02"/>
    <n v="0"/>
    <n v="0"/>
    <n v="0.04"/>
    <n v="9.0399999999999991"/>
    <n v="18.600000000000001"/>
    <n v="0.87"/>
    <n v="0"/>
    <n v="0.87"/>
    <n v="62.54"/>
    <n v="16.440000000000001"/>
    <n v="0.21"/>
    <n v="0"/>
    <n v="0"/>
    <n v="0.47"/>
    <n v="4"/>
    <x v="0"/>
  </r>
  <r>
    <x v="3"/>
    <x v="219"/>
    <x v="11"/>
    <x v="13"/>
    <n v="1"/>
    <n v="0"/>
    <n v="0"/>
    <n v="0"/>
    <n v="0"/>
    <n v="0"/>
    <n v="0"/>
    <m/>
    <m/>
    <m/>
    <m/>
    <m/>
    <m/>
    <m/>
    <m/>
    <m/>
    <m/>
    <m/>
    <m/>
    <m/>
    <m/>
    <m/>
    <m/>
    <m/>
    <m/>
    <m/>
    <m/>
    <m/>
    <m/>
    <m/>
    <m/>
    <m/>
    <m/>
    <m/>
    <m/>
    <n v="4"/>
    <x v="0"/>
  </r>
  <r>
    <x v="5"/>
    <x v="219"/>
    <x v="11"/>
    <x v="18"/>
    <n v="89"/>
    <n v="5"/>
    <n v="4"/>
    <n v="10"/>
    <n v="1"/>
    <n v="2"/>
    <n v="49"/>
    <s v="Sabigh Masood"/>
    <s v="Collections Group"/>
    <d v="2025-03-19T00:00:00"/>
    <d v="1899-12-30T13:00:04"/>
    <d v="1899-12-30T22:01:55"/>
    <n v="9.02"/>
    <n v="9.0299999999999994"/>
    <n v="1.67"/>
    <n v="0.05"/>
    <n v="0"/>
    <n v="0.38"/>
    <n v="5.24"/>
    <n v="1.45"/>
    <n v="0.24"/>
    <n v="0"/>
    <n v="0"/>
    <n v="0"/>
    <n v="9.0299999999999994"/>
    <n v="18.489999999999998"/>
    <n v="0.5"/>
    <n v="0"/>
    <n v="4.22"/>
    <n v="58"/>
    <n v="16.11"/>
    <n v="2.64"/>
    <n v="0"/>
    <n v="0"/>
    <n v="0.04"/>
    <n v="4"/>
    <x v="0"/>
  </r>
  <r>
    <x v="6"/>
    <x v="219"/>
    <x v="11"/>
    <x v="289"/>
    <n v="0"/>
    <n v="0"/>
    <n v="0"/>
    <n v="0"/>
    <n v="0"/>
    <n v="0"/>
    <n v="0"/>
    <m/>
    <m/>
    <m/>
    <m/>
    <m/>
    <m/>
    <m/>
    <m/>
    <m/>
    <m/>
    <m/>
    <m/>
    <m/>
    <m/>
    <m/>
    <m/>
    <m/>
    <m/>
    <m/>
    <m/>
    <m/>
    <m/>
    <m/>
    <m/>
    <m/>
    <m/>
    <m/>
    <m/>
    <n v="4"/>
    <x v="0"/>
  </r>
  <r>
    <x v="0"/>
    <x v="220"/>
    <x v="11"/>
    <x v="75"/>
    <n v="79"/>
    <n v="1"/>
    <n v="3"/>
    <n v="4"/>
    <n v="2"/>
    <n v="0"/>
    <n v="50"/>
    <s v="Anais Orozco"/>
    <s v="Collections Group"/>
    <d v="2025-03-18T00:00:00"/>
    <d v="1899-12-30T13:01:44"/>
    <d v="1899-12-30T22:00:16"/>
    <n v="8.98"/>
    <n v="8.07"/>
    <n v="1.47"/>
    <n v="0.31"/>
    <n v="0"/>
    <n v="0.3"/>
    <n v="5.54"/>
    <n v="0.43"/>
    <n v="0"/>
    <n v="0"/>
    <n v="0"/>
    <n v="0.04"/>
    <n v="8.07"/>
    <n v="18.149999999999999"/>
    <n v="3.78"/>
    <n v="0"/>
    <n v="3.7"/>
    <n v="68.55"/>
    <n v="5.27"/>
    <n v="0"/>
    <n v="0"/>
    <n v="0"/>
    <n v="0.55000000000000004"/>
    <n v="3"/>
    <x v="1"/>
  </r>
  <r>
    <x v="1"/>
    <x v="220"/>
    <x v="11"/>
    <x v="56"/>
    <n v="124"/>
    <n v="12"/>
    <n v="22"/>
    <n v="2"/>
    <n v="0"/>
    <n v="0"/>
    <n v="60"/>
    <s v="Derice Warnsley"/>
    <s v="Collections Group"/>
    <d v="2025-03-18T00:00:00"/>
    <d v="1899-12-30T12:55:18"/>
    <d v="1899-12-30T22:00:03"/>
    <n v="9.08"/>
    <n v="8.98"/>
    <n v="1.41"/>
    <n v="0.11"/>
    <n v="0"/>
    <n v="0.09"/>
    <n v="5.88"/>
    <n v="1.41"/>
    <n v="0.05"/>
    <n v="0"/>
    <n v="0"/>
    <n v="0.04"/>
    <n v="8.98"/>
    <n v="15.66"/>
    <n v="1.23"/>
    <n v="0"/>
    <n v="0.95"/>
    <n v="65.47"/>
    <n v="15.71"/>
    <n v="0.53"/>
    <n v="0"/>
    <n v="0"/>
    <n v="0.46"/>
    <n v="3"/>
    <x v="1"/>
  </r>
  <r>
    <x v="3"/>
    <x v="220"/>
    <x v="11"/>
    <x v="56"/>
    <n v="91"/>
    <n v="7"/>
    <n v="4"/>
    <n v="4"/>
    <n v="0"/>
    <n v="2"/>
    <n v="57"/>
    <s v="Jerrod Coleman"/>
    <s v="Collections Group"/>
    <d v="2025-03-18T00:00:00"/>
    <d v="1899-12-30T13:01:01"/>
    <d v="1899-12-30T21:59:52"/>
    <n v="8.9700000000000006"/>
    <n v="8.98"/>
    <n v="0.79"/>
    <n v="0.11"/>
    <n v="0"/>
    <n v="0.15"/>
    <n v="5.49"/>
    <n v="1.49"/>
    <n v="0.95"/>
    <n v="0"/>
    <n v="0"/>
    <n v="0"/>
    <n v="8.98"/>
    <n v="8.83"/>
    <n v="1.26"/>
    <n v="0"/>
    <n v="1.65"/>
    <n v="61.09"/>
    <n v="16.579999999999998"/>
    <n v="10.55"/>
    <n v="0"/>
    <n v="0"/>
    <n v="0.04"/>
    <n v="3"/>
    <x v="1"/>
  </r>
  <r>
    <x v="13"/>
    <x v="220"/>
    <x v="11"/>
    <x v="13"/>
    <n v="3"/>
    <n v="1"/>
    <n v="0"/>
    <n v="1"/>
    <n v="0"/>
    <n v="0"/>
    <n v="0"/>
    <m/>
    <m/>
    <m/>
    <m/>
    <m/>
    <m/>
    <m/>
    <m/>
    <m/>
    <m/>
    <m/>
    <m/>
    <m/>
    <m/>
    <m/>
    <m/>
    <m/>
    <m/>
    <m/>
    <m/>
    <m/>
    <m/>
    <m/>
    <m/>
    <m/>
    <m/>
    <m/>
    <m/>
    <n v="3"/>
    <x v="1"/>
  </r>
  <r>
    <x v="5"/>
    <x v="220"/>
    <x v="11"/>
    <x v="110"/>
    <n v="57"/>
    <n v="12"/>
    <n v="1"/>
    <n v="9"/>
    <n v="0"/>
    <n v="0"/>
    <n v="22"/>
    <s v="Sabigh Masood"/>
    <s v="Collections Group"/>
    <d v="2025-03-18T00:00:00"/>
    <d v="1899-12-30T13:01:55"/>
    <d v="1899-12-30T22:08:41"/>
    <n v="9.1199999999999992"/>
    <n v="8.94"/>
    <n v="1.71"/>
    <n v="0.16"/>
    <n v="0"/>
    <n v="0.3"/>
    <n v="3.96"/>
    <n v="2.16"/>
    <n v="0"/>
    <n v="0"/>
    <n v="0.63"/>
    <n v="0.02"/>
    <n v="8.94"/>
    <n v="19.18"/>
    <n v="1.77"/>
    <n v="0"/>
    <n v="3.34"/>
    <n v="44.28"/>
    <n v="24.17"/>
    <n v="0"/>
    <n v="0"/>
    <n v="7.08"/>
    <n v="0.19"/>
    <n v="3"/>
    <x v="1"/>
  </r>
  <r>
    <x v="6"/>
    <x v="220"/>
    <x v="11"/>
    <x v="290"/>
    <n v="0"/>
    <n v="0"/>
    <n v="0"/>
    <n v="0"/>
    <n v="0"/>
    <n v="0"/>
    <n v="0"/>
    <m/>
    <m/>
    <m/>
    <m/>
    <m/>
    <m/>
    <m/>
    <m/>
    <m/>
    <m/>
    <m/>
    <m/>
    <m/>
    <m/>
    <m/>
    <m/>
    <m/>
    <m/>
    <m/>
    <m/>
    <m/>
    <m/>
    <m/>
    <m/>
    <m/>
    <m/>
    <m/>
    <m/>
    <n v="3"/>
    <x v="1"/>
  </r>
  <r>
    <x v="0"/>
    <x v="221"/>
    <x v="11"/>
    <x v="118"/>
    <n v="55"/>
    <n v="4"/>
    <n v="3"/>
    <n v="2"/>
    <n v="2"/>
    <n v="0"/>
    <n v="29"/>
    <s v="Anais Orozco"/>
    <s v="Collections Group"/>
    <d v="2025-03-17T00:00:00"/>
    <d v="1899-12-30T13:02:11"/>
    <d v="1899-12-30T22:06:43"/>
    <n v="9.07"/>
    <n v="7.98"/>
    <n v="1.95"/>
    <n v="0.38"/>
    <n v="0"/>
    <n v="0.38"/>
    <n v="4.67"/>
    <n v="0.41"/>
    <n v="0.17"/>
    <n v="0"/>
    <n v="0"/>
    <n v="0.02"/>
    <n v="7.98"/>
    <n v="24.41"/>
    <n v="4.8099999999999996"/>
    <n v="0"/>
    <n v="4.75"/>
    <n v="58.51"/>
    <n v="5.18"/>
    <n v="2.11"/>
    <n v="0"/>
    <n v="0"/>
    <n v="0.23"/>
    <n v="2"/>
    <x v="2"/>
  </r>
  <r>
    <x v="1"/>
    <x v="221"/>
    <x v="11"/>
    <x v="52"/>
    <n v="70"/>
    <n v="4"/>
    <n v="5"/>
    <n v="10"/>
    <n v="0"/>
    <n v="1"/>
    <n v="32"/>
    <s v="Derice Warnsley"/>
    <s v="Collections Group"/>
    <d v="2025-03-17T00:00:00"/>
    <d v="1899-12-30T12:54:20"/>
    <d v="1899-12-30T22:00:06"/>
    <n v="9.1"/>
    <n v="9.02"/>
    <n v="2.15"/>
    <n v="0.02"/>
    <n v="0"/>
    <n v="0.02"/>
    <n v="5.1100000000000003"/>
    <n v="1.49"/>
    <n v="0.19"/>
    <n v="0"/>
    <n v="0"/>
    <n v="0.04"/>
    <n v="9.02"/>
    <n v="23.8"/>
    <n v="0.22"/>
    <n v="0"/>
    <n v="0.23"/>
    <n v="56.65"/>
    <n v="16.559999999999999"/>
    <n v="2.12"/>
    <n v="0"/>
    <n v="0"/>
    <n v="0.41"/>
    <n v="2"/>
    <x v="2"/>
  </r>
  <r>
    <x v="3"/>
    <x v="221"/>
    <x v="11"/>
    <x v="42"/>
    <n v="103"/>
    <n v="4"/>
    <n v="3"/>
    <n v="11"/>
    <n v="0"/>
    <n v="0"/>
    <n v="70"/>
    <s v="Jerrod Coleman"/>
    <s v="Collections Group"/>
    <d v="2025-03-17T00:00:00"/>
    <d v="1899-12-30T13:00:17"/>
    <d v="1899-12-30T21:59:17"/>
    <n v="8.98"/>
    <n v="8.98"/>
    <n v="1.56"/>
    <n v="0.08"/>
    <n v="0"/>
    <n v="0.2"/>
    <n v="5.43"/>
    <n v="1.48"/>
    <n v="0.22"/>
    <n v="0"/>
    <n v="0"/>
    <n v="0.01"/>
    <n v="8.98"/>
    <n v="17.38"/>
    <n v="0.87"/>
    <n v="0"/>
    <n v="2.2400000000000002"/>
    <n v="60.51"/>
    <n v="16.510000000000002"/>
    <n v="2.41"/>
    <n v="0"/>
    <n v="0"/>
    <n v="0.08"/>
    <n v="2"/>
    <x v="2"/>
  </r>
  <r>
    <x v="5"/>
    <x v="221"/>
    <x v="11"/>
    <x v="53"/>
    <n v="107"/>
    <n v="6"/>
    <n v="5"/>
    <n v="8"/>
    <n v="1"/>
    <n v="0"/>
    <n v="64"/>
    <s v="Sabigh Masood"/>
    <s v="Collections Group"/>
    <d v="2025-03-17T00:00:00"/>
    <d v="1899-12-30T12:58:27"/>
    <d v="1899-12-30T22:01:46"/>
    <n v="9.0500000000000007"/>
    <n v="9.01"/>
    <n v="1.74"/>
    <n v="0.04"/>
    <n v="0"/>
    <n v="0.27"/>
    <n v="4.9800000000000004"/>
    <n v="1.47"/>
    <n v="0.41"/>
    <n v="0"/>
    <n v="0.09"/>
    <n v="0.02"/>
    <n v="9.01"/>
    <n v="19.27"/>
    <n v="0.5"/>
    <n v="0"/>
    <n v="2.98"/>
    <n v="55.25"/>
    <n v="16.260000000000002"/>
    <n v="4.51"/>
    <n v="0"/>
    <n v="1.01"/>
    <n v="0.23"/>
    <n v="2"/>
    <x v="2"/>
  </r>
  <r>
    <x v="6"/>
    <x v="221"/>
    <x v="11"/>
    <x v="280"/>
    <n v="0"/>
    <n v="0"/>
    <n v="0"/>
    <n v="0"/>
    <n v="0"/>
    <n v="0"/>
    <n v="0"/>
    <m/>
    <m/>
    <m/>
    <m/>
    <m/>
    <m/>
    <m/>
    <m/>
    <m/>
    <m/>
    <m/>
    <m/>
    <m/>
    <m/>
    <m/>
    <m/>
    <m/>
    <m/>
    <m/>
    <m/>
    <m/>
    <m/>
    <m/>
    <m/>
    <m/>
    <m/>
    <m/>
    <m/>
    <n v="2"/>
    <x v="2"/>
  </r>
  <r>
    <x v="0"/>
    <x v="222"/>
    <x v="11"/>
    <x v="75"/>
    <n v="73"/>
    <n v="2"/>
    <n v="7"/>
    <n v="10"/>
    <n v="0"/>
    <n v="6"/>
    <n v="26"/>
    <s v="Anais Orozco"/>
    <s v="Collections Group"/>
    <d v="2025-03-14T00:00:00"/>
    <d v="1899-12-30T13:00:58"/>
    <d v="1899-12-30T22:00:34"/>
    <n v="9"/>
    <n v="8.07"/>
    <n v="1.98"/>
    <n v="0.16"/>
    <n v="0"/>
    <n v="0.33"/>
    <n v="5.01"/>
    <n v="0.34"/>
    <n v="0.22"/>
    <n v="0"/>
    <n v="0"/>
    <n v="0.03"/>
    <n v="8.07"/>
    <n v="24.52"/>
    <n v="2.04"/>
    <n v="0"/>
    <n v="4.03"/>
    <n v="62.03"/>
    <n v="4.21"/>
    <n v="2.75"/>
    <n v="0"/>
    <n v="0"/>
    <n v="0.42"/>
    <n v="6"/>
    <x v="3"/>
  </r>
  <r>
    <x v="3"/>
    <x v="222"/>
    <x v="11"/>
    <x v="42"/>
    <n v="88"/>
    <n v="5"/>
    <n v="10"/>
    <n v="14"/>
    <n v="0"/>
    <n v="0"/>
    <n v="30"/>
    <s v="Jerrod Coleman"/>
    <s v="Collections Group"/>
    <d v="2025-03-14T00:00:00"/>
    <d v="1899-12-30T13:00:21"/>
    <d v="1899-12-30T21:59:02"/>
    <n v="8.98"/>
    <n v="8.98"/>
    <n v="1.23"/>
    <n v="0"/>
    <n v="0"/>
    <n v="0.25"/>
    <n v="6.04"/>
    <n v="1.46"/>
    <n v="0"/>
    <n v="0"/>
    <n v="0"/>
    <n v="0"/>
    <n v="8.98"/>
    <n v="13.66"/>
    <n v="0"/>
    <n v="0"/>
    <n v="2.76"/>
    <n v="67.25"/>
    <n v="16.28"/>
    <n v="0"/>
    <n v="0"/>
    <n v="0"/>
    <n v="0.05"/>
    <n v="6"/>
    <x v="3"/>
  </r>
  <r>
    <x v="4"/>
    <x v="222"/>
    <x v="11"/>
    <x v="13"/>
    <n v="1"/>
    <n v="0"/>
    <n v="0"/>
    <n v="0"/>
    <n v="0"/>
    <n v="0"/>
    <n v="0"/>
    <s v="Rosette Rwabugahya"/>
    <s v="Collections Group"/>
    <d v="2025-03-14T00:00:00"/>
    <d v="1899-12-30T15:19:12"/>
    <d v="1899-12-30T22:23:44"/>
    <n v="7.07"/>
    <n v="7.08"/>
    <n v="0.03"/>
    <n v="0"/>
    <n v="0"/>
    <n v="0"/>
    <n v="0"/>
    <n v="1.44"/>
    <n v="5.59"/>
    <n v="0"/>
    <n v="0"/>
    <n v="0.01"/>
    <n v="7.08"/>
    <n v="0.46"/>
    <n v="0"/>
    <n v="0"/>
    <n v="0.05"/>
    <n v="0"/>
    <n v="20.37"/>
    <n v="79.010000000000005"/>
    <n v="0"/>
    <n v="0"/>
    <n v="0.11"/>
    <n v="6"/>
    <x v="3"/>
  </r>
  <r>
    <x v="5"/>
    <x v="222"/>
    <x v="11"/>
    <x v="52"/>
    <n v="74"/>
    <n v="5"/>
    <n v="6"/>
    <n v="5"/>
    <n v="2"/>
    <n v="2"/>
    <n v="25"/>
    <s v="Sabigh Masood"/>
    <s v="Collections Group"/>
    <d v="2025-03-14T00:00:00"/>
    <d v="1899-12-30T12:59:17"/>
    <d v="1899-12-30T22:01:14"/>
    <n v="9.0299999999999994"/>
    <n v="9.0299999999999994"/>
    <n v="2.16"/>
    <n v="0.2"/>
    <n v="0"/>
    <n v="0.31"/>
    <n v="3.37"/>
    <n v="1.81"/>
    <n v="1.18"/>
    <n v="0"/>
    <n v="0"/>
    <n v="0"/>
    <n v="9.0299999999999994"/>
    <n v="23.87"/>
    <n v="2.2200000000000002"/>
    <n v="0"/>
    <n v="3.45"/>
    <n v="37.28"/>
    <n v="20.05"/>
    <n v="13.09"/>
    <n v="0"/>
    <n v="0"/>
    <n v="0.05"/>
    <n v="6"/>
    <x v="3"/>
  </r>
  <r>
    <x v="6"/>
    <x v="222"/>
    <x v="11"/>
    <x v="291"/>
    <n v="0"/>
    <n v="0"/>
    <n v="0"/>
    <n v="0"/>
    <n v="0"/>
    <n v="0"/>
    <n v="0"/>
    <m/>
    <m/>
    <m/>
    <m/>
    <m/>
    <m/>
    <m/>
    <m/>
    <m/>
    <m/>
    <m/>
    <m/>
    <m/>
    <m/>
    <m/>
    <m/>
    <m/>
    <m/>
    <m/>
    <m/>
    <m/>
    <m/>
    <m/>
    <m/>
    <m/>
    <m/>
    <m/>
    <m/>
    <n v="6"/>
    <x v="3"/>
  </r>
  <r>
    <x v="0"/>
    <x v="223"/>
    <x v="11"/>
    <x v="51"/>
    <n v="91"/>
    <n v="3"/>
    <n v="7"/>
    <n v="6"/>
    <n v="0"/>
    <n v="0"/>
    <n v="47"/>
    <s v="Anais Orozco"/>
    <s v="Collections Group"/>
    <d v="2025-03-13T00:00:00"/>
    <d v="1899-12-30T13:00:23"/>
    <d v="1899-12-30T22:00:13"/>
    <n v="9"/>
    <n v="8.1300000000000008"/>
    <n v="1.77"/>
    <n v="0.2"/>
    <n v="0"/>
    <n v="0.5"/>
    <n v="5.03"/>
    <n v="0.32"/>
    <n v="0.31"/>
    <n v="0"/>
    <n v="0"/>
    <n v="0.01"/>
    <n v="8.1300000000000008"/>
    <n v="21.76"/>
    <n v="2.5"/>
    <n v="0"/>
    <n v="6.09"/>
    <n v="61.84"/>
    <n v="3.9"/>
    <n v="3.77"/>
    <n v="0"/>
    <n v="0"/>
    <n v="0.13"/>
    <n v="5"/>
    <x v="4"/>
  </r>
  <r>
    <x v="3"/>
    <x v="223"/>
    <x v="11"/>
    <x v="34"/>
    <n v="136"/>
    <n v="7"/>
    <n v="7"/>
    <n v="9"/>
    <n v="1"/>
    <n v="3"/>
    <n v="78"/>
    <s v="Jerrod Coleman"/>
    <s v="Collections Group"/>
    <d v="2025-03-13T00:00:00"/>
    <d v="1899-12-30T13:00:20"/>
    <d v="1899-12-30T22:00:36"/>
    <n v="9"/>
    <n v="9"/>
    <n v="1.74"/>
    <n v="0"/>
    <n v="0"/>
    <n v="0.45"/>
    <n v="5.07"/>
    <n v="1.44"/>
    <n v="0.3"/>
    <n v="0"/>
    <n v="0"/>
    <n v="0"/>
    <n v="9"/>
    <n v="19.29"/>
    <n v="0"/>
    <n v="0"/>
    <n v="4.96"/>
    <n v="56.31"/>
    <n v="16.04"/>
    <n v="3.37"/>
    <n v="0"/>
    <n v="0"/>
    <n v="0.04"/>
    <n v="5"/>
    <x v="4"/>
  </r>
  <r>
    <x v="6"/>
    <x v="223"/>
    <x v="11"/>
    <x v="292"/>
    <n v="0"/>
    <n v="0"/>
    <n v="0"/>
    <n v="0"/>
    <n v="0"/>
    <n v="0"/>
    <n v="0"/>
    <m/>
    <m/>
    <m/>
    <m/>
    <m/>
    <m/>
    <m/>
    <m/>
    <m/>
    <m/>
    <m/>
    <m/>
    <m/>
    <m/>
    <m/>
    <m/>
    <m/>
    <m/>
    <m/>
    <m/>
    <m/>
    <m/>
    <m/>
    <m/>
    <m/>
    <m/>
    <m/>
    <m/>
    <n v="5"/>
    <x v="4"/>
  </r>
  <r>
    <x v="0"/>
    <x v="224"/>
    <x v="11"/>
    <x v="104"/>
    <n v="54"/>
    <n v="2"/>
    <n v="10"/>
    <n v="3"/>
    <n v="0"/>
    <n v="0"/>
    <n v="22"/>
    <s v="Anais Orozco"/>
    <s v="Collections Group"/>
    <d v="2025-03-12T00:00:00"/>
    <d v="1899-12-30T13:01:02"/>
    <d v="1899-12-30T22:00:51"/>
    <n v="8.98"/>
    <n v="8.07"/>
    <n v="2.57"/>
    <n v="7.0000000000000007E-2"/>
    <n v="0"/>
    <n v="0.36"/>
    <n v="4.9800000000000004"/>
    <n v="7.0000000000000007E-2"/>
    <n v="0"/>
    <n v="0"/>
    <n v="0"/>
    <n v="0.01"/>
    <n v="8.07"/>
    <n v="31.83"/>
    <n v="0.88"/>
    <n v="0"/>
    <n v="4.5199999999999996"/>
    <n v="61.7"/>
    <n v="0.89"/>
    <n v="0.01"/>
    <n v="0"/>
    <n v="0.02"/>
    <n v="0.16"/>
    <n v="4"/>
    <x v="0"/>
  </r>
  <r>
    <x v="1"/>
    <x v="224"/>
    <x v="11"/>
    <x v="75"/>
    <n v="71"/>
    <n v="4"/>
    <n v="8"/>
    <n v="10"/>
    <n v="0"/>
    <n v="1"/>
    <n v="35"/>
    <s v="Derice Warnsley"/>
    <s v="Collections Group"/>
    <d v="2025-03-12T00:00:00"/>
    <d v="1899-12-30T13:00:19"/>
    <d v="1899-12-30T22:00:07"/>
    <n v="9"/>
    <n v="9"/>
    <n v="1.7"/>
    <n v="0.17"/>
    <n v="0"/>
    <n v="0.03"/>
    <n v="5.63"/>
    <n v="1.47"/>
    <n v="0"/>
    <n v="0"/>
    <n v="0"/>
    <n v="0"/>
    <n v="9"/>
    <n v="18.86"/>
    <n v="1.91"/>
    <n v="0"/>
    <n v="0.32"/>
    <n v="62.55"/>
    <n v="16.32"/>
    <n v="0"/>
    <n v="0"/>
    <n v="0"/>
    <n v="0.05"/>
    <n v="4"/>
    <x v="0"/>
  </r>
  <r>
    <x v="3"/>
    <x v="224"/>
    <x v="11"/>
    <x v="40"/>
    <n v="90"/>
    <n v="7"/>
    <n v="5"/>
    <n v="11"/>
    <n v="0"/>
    <n v="0"/>
    <n v="51"/>
    <s v="Jerrod Coleman"/>
    <s v="Collections Group"/>
    <d v="2025-03-12T00:00:00"/>
    <d v="1899-12-30T13:00:58"/>
    <d v="1899-12-30T21:59:59"/>
    <n v="8.98"/>
    <n v="8.99"/>
    <n v="1.32"/>
    <n v="0"/>
    <n v="0"/>
    <n v="0.25"/>
    <n v="5.94"/>
    <n v="1.46"/>
    <n v="0"/>
    <n v="0"/>
    <n v="0"/>
    <n v="0.01"/>
    <n v="8.99"/>
    <n v="14.68"/>
    <n v="0"/>
    <n v="0"/>
    <n v="2.81"/>
    <n v="66.06"/>
    <n v="16.29"/>
    <n v="0"/>
    <n v="0"/>
    <n v="0"/>
    <n v="0.16"/>
    <n v="4"/>
    <x v="0"/>
  </r>
  <r>
    <x v="4"/>
    <x v="224"/>
    <x v="11"/>
    <x v="13"/>
    <n v="1"/>
    <n v="0"/>
    <n v="0"/>
    <n v="0"/>
    <n v="0"/>
    <n v="1"/>
    <n v="0"/>
    <s v="Rosette Rwabugahya"/>
    <s v="Collections Group"/>
    <d v="2025-03-12T00:00:00"/>
    <d v="1899-12-30T12:59:15"/>
    <d v="1899-12-30T22:02:11"/>
    <n v="9.0500000000000007"/>
    <n v="8.66"/>
    <n v="0.27"/>
    <n v="0"/>
    <n v="0"/>
    <n v="0"/>
    <n v="0"/>
    <n v="1.37"/>
    <n v="7.01"/>
    <n v="0"/>
    <n v="0"/>
    <n v="0.01"/>
    <n v="8.66"/>
    <n v="3.17"/>
    <n v="0"/>
    <n v="0"/>
    <n v="0.02"/>
    <n v="0"/>
    <n v="15.77"/>
    <n v="80.94"/>
    <n v="0"/>
    <n v="0"/>
    <n v="0.12"/>
    <n v="4"/>
    <x v="0"/>
  </r>
  <r>
    <x v="5"/>
    <x v="224"/>
    <x v="11"/>
    <x v="18"/>
    <n v="91"/>
    <n v="4"/>
    <n v="7"/>
    <n v="13"/>
    <n v="0"/>
    <n v="1"/>
    <n v="53"/>
    <s v="Sabigh Masood"/>
    <s v="Collections Group"/>
    <d v="2025-03-12T00:00:00"/>
    <d v="1899-12-30T12:59:26"/>
    <d v="1899-12-30T22:00:13"/>
    <n v="9.02"/>
    <n v="8.93"/>
    <n v="0.56000000000000005"/>
    <n v="0"/>
    <n v="0"/>
    <n v="0.24"/>
    <n v="6.15"/>
    <n v="1.23"/>
    <n v="0.59"/>
    <n v="0"/>
    <n v="0.14000000000000001"/>
    <n v="0.02"/>
    <n v="8.93"/>
    <n v="6.32"/>
    <n v="0"/>
    <n v="0"/>
    <n v="2.64"/>
    <n v="68.86"/>
    <n v="13.77"/>
    <n v="6.56"/>
    <n v="0"/>
    <n v="1.6"/>
    <n v="0.26"/>
    <n v="4"/>
    <x v="0"/>
  </r>
  <r>
    <x v="6"/>
    <x v="224"/>
    <x v="11"/>
    <x v="293"/>
    <n v="0"/>
    <n v="0"/>
    <n v="0"/>
    <n v="0"/>
    <n v="0"/>
    <n v="0"/>
    <n v="0"/>
    <m/>
    <m/>
    <m/>
    <m/>
    <m/>
    <m/>
    <m/>
    <m/>
    <m/>
    <m/>
    <m/>
    <m/>
    <m/>
    <m/>
    <m/>
    <m/>
    <m/>
    <m/>
    <m/>
    <m/>
    <m/>
    <m/>
    <m/>
    <m/>
    <m/>
    <m/>
    <m/>
    <m/>
    <n v="4"/>
    <x v="0"/>
  </r>
  <r>
    <x v="0"/>
    <x v="225"/>
    <x v="11"/>
    <x v="42"/>
    <n v="113"/>
    <n v="5"/>
    <n v="5"/>
    <n v="4"/>
    <n v="0"/>
    <n v="2"/>
    <n v="68"/>
    <s v="Anais Orozco"/>
    <s v="Collections Group"/>
    <d v="2025-03-11T00:00:00"/>
    <d v="1899-12-30T13:02:19"/>
    <d v="1899-12-30T22:00:21"/>
    <n v="8.9700000000000006"/>
    <n v="8.06"/>
    <n v="1.4"/>
    <n v="0.11"/>
    <n v="0"/>
    <n v="0.28999999999999998"/>
    <n v="5.77"/>
    <n v="0.42"/>
    <n v="0"/>
    <n v="0"/>
    <n v="0"/>
    <n v="0.08"/>
    <n v="8.06"/>
    <n v="17.34"/>
    <n v="1.32"/>
    <n v="0"/>
    <n v="3.6"/>
    <n v="71.59"/>
    <n v="5.17"/>
    <n v="0"/>
    <n v="0"/>
    <n v="0"/>
    <n v="0.98"/>
    <n v="3"/>
    <x v="1"/>
  </r>
  <r>
    <x v="1"/>
    <x v="225"/>
    <x v="11"/>
    <x v="99"/>
    <n v="115"/>
    <n v="13"/>
    <n v="11"/>
    <n v="17"/>
    <n v="0"/>
    <n v="7"/>
    <n v="45"/>
    <s v="Derice Warnsley"/>
    <s v="Collections Group"/>
    <d v="2025-03-11T00:00:00"/>
    <d v="1899-12-30T12:59:56"/>
    <d v="1899-12-30T22:00:13"/>
    <n v="9.02"/>
    <n v="9"/>
    <n v="2.35"/>
    <n v="0.17"/>
    <n v="0"/>
    <n v="0.03"/>
    <n v="4.95"/>
    <n v="1.48"/>
    <n v="0"/>
    <n v="0"/>
    <n v="0"/>
    <n v="0.01"/>
    <n v="9"/>
    <n v="26.12"/>
    <n v="1.93"/>
    <n v="0"/>
    <n v="0.39"/>
    <n v="54.99"/>
    <n v="16.489999999999998"/>
    <n v="0"/>
    <n v="0"/>
    <n v="0"/>
    <n v="0.08"/>
    <n v="3"/>
    <x v="1"/>
  </r>
  <r>
    <x v="17"/>
    <x v="225"/>
    <x v="11"/>
    <x v="13"/>
    <n v="2"/>
    <n v="1"/>
    <n v="0"/>
    <n v="0"/>
    <n v="0"/>
    <n v="0"/>
    <n v="0"/>
    <m/>
    <m/>
    <m/>
    <m/>
    <m/>
    <m/>
    <m/>
    <m/>
    <m/>
    <m/>
    <m/>
    <m/>
    <m/>
    <m/>
    <m/>
    <m/>
    <m/>
    <m/>
    <m/>
    <m/>
    <m/>
    <m/>
    <m/>
    <m/>
    <m/>
    <m/>
    <m/>
    <m/>
    <n v="3"/>
    <x v="1"/>
  </r>
  <r>
    <x v="4"/>
    <x v="225"/>
    <x v="11"/>
    <x v="13"/>
    <n v="1"/>
    <n v="0"/>
    <n v="0"/>
    <n v="0"/>
    <n v="0"/>
    <n v="0"/>
    <n v="0"/>
    <s v="Rosette Rwabugahya"/>
    <s v="Collections Group"/>
    <d v="2025-03-11T00:00:00"/>
    <d v="1899-12-30T12:59:02"/>
    <d v="1899-12-30T22:02:05"/>
    <n v="9.0500000000000007"/>
    <n v="9.0500000000000007"/>
    <n v="0.05"/>
    <n v="0"/>
    <n v="0"/>
    <n v="0"/>
    <n v="0"/>
    <n v="1.45"/>
    <n v="7.55"/>
    <n v="0"/>
    <n v="0"/>
    <n v="0.01"/>
    <n v="9.0500000000000007"/>
    <n v="0.5"/>
    <n v="0"/>
    <n v="0"/>
    <n v="0.01"/>
    <n v="0"/>
    <n v="16.059999999999999"/>
    <n v="83.36"/>
    <n v="0"/>
    <n v="0"/>
    <n v="0.06"/>
    <n v="3"/>
    <x v="1"/>
  </r>
  <r>
    <x v="5"/>
    <x v="225"/>
    <x v="11"/>
    <x v="41"/>
    <n v="178"/>
    <n v="9"/>
    <n v="4"/>
    <n v="33"/>
    <n v="1"/>
    <n v="1"/>
    <n v="98"/>
    <s v="Sabigh Masood"/>
    <s v="Collections Group"/>
    <d v="2025-03-11T00:00:00"/>
    <d v="1899-12-30T12:59:09"/>
    <d v="1899-12-30T22:01:03"/>
    <n v="9.0299999999999994"/>
    <n v="9.0299999999999994"/>
    <n v="1.72"/>
    <n v="0.16"/>
    <n v="0"/>
    <n v="0.59"/>
    <n v="4.92"/>
    <n v="1.38"/>
    <n v="0.26"/>
    <n v="0"/>
    <n v="0"/>
    <n v="0"/>
    <n v="9.0299999999999994"/>
    <n v="19"/>
    <n v="1.75"/>
    <n v="0"/>
    <n v="6.58"/>
    <n v="54.5"/>
    <n v="15.27"/>
    <n v="2.85"/>
    <n v="0"/>
    <n v="0"/>
    <n v="0.04"/>
    <n v="3"/>
    <x v="1"/>
  </r>
  <r>
    <x v="9"/>
    <x v="225"/>
    <x v="11"/>
    <x v="13"/>
    <n v="2"/>
    <n v="0"/>
    <n v="1"/>
    <n v="0"/>
    <n v="0"/>
    <n v="0"/>
    <n v="0"/>
    <m/>
    <m/>
    <m/>
    <m/>
    <m/>
    <m/>
    <m/>
    <m/>
    <m/>
    <m/>
    <m/>
    <m/>
    <m/>
    <m/>
    <m/>
    <m/>
    <m/>
    <m/>
    <m/>
    <m/>
    <m/>
    <m/>
    <m/>
    <m/>
    <m/>
    <m/>
    <m/>
    <m/>
    <n v="3"/>
    <x v="1"/>
  </r>
  <r>
    <x v="6"/>
    <x v="225"/>
    <x v="11"/>
    <x v="294"/>
    <n v="0"/>
    <n v="0"/>
    <n v="0"/>
    <n v="0"/>
    <n v="0"/>
    <n v="0"/>
    <n v="0"/>
    <m/>
    <m/>
    <m/>
    <m/>
    <m/>
    <m/>
    <m/>
    <m/>
    <m/>
    <m/>
    <m/>
    <m/>
    <m/>
    <m/>
    <m/>
    <m/>
    <m/>
    <m/>
    <m/>
    <m/>
    <m/>
    <m/>
    <m/>
    <m/>
    <m/>
    <m/>
    <m/>
    <m/>
    <n v="3"/>
    <x v="1"/>
  </r>
  <r>
    <x v="0"/>
    <x v="226"/>
    <x v="11"/>
    <x v="90"/>
    <n v="63"/>
    <n v="0"/>
    <n v="5"/>
    <n v="5"/>
    <n v="0"/>
    <n v="0"/>
    <n v="38"/>
    <s v="Anais Orozco"/>
    <s v="Collections Group"/>
    <d v="2025-03-10T00:00:00"/>
    <d v="1899-12-30T13:02:28"/>
    <d v="1899-12-30T22:00:03"/>
    <n v="8.9700000000000006"/>
    <n v="8.07"/>
    <n v="2.17"/>
    <n v="0.39"/>
    <n v="0"/>
    <n v="0.2"/>
    <n v="4.88"/>
    <n v="0.38"/>
    <n v="0"/>
    <n v="0"/>
    <n v="0"/>
    <n v="0.05"/>
    <n v="8.07"/>
    <n v="26.86"/>
    <n v="4.83"/>
    <n v="0"/>
    <n v="2.54"/>
    <n v="60.38"/>
    <n v="4.74"/>
    <n v="0"/>
    <n v="0"/>
    <n v="0"/>
    <n v="0.66"/>
    <n v="2"/>
    <x v="2"/>
  </r>
  <r>
    <x v="1"/>
    <x v="226"/>
    <x v="11"/>
    <x v="116"/>
    <n v="48"/>
    <n v="6"/>
    <n v="3"/>
    <n v="11"/>
    <n v="0"/>
    <n v="0"/>
    <n v="17"/>
    <s v="Derice Warnsley"/>
    <s v="Collections Group"/>
    <d v="2025-03-10T00:00:00"/>
    <d v="1899-12-30T13:00:09"/>
    <d v="1899-12-30T22:00:07"/>
    <n v="9"/>
    <n v="9"/>
    <n v="2.58"/>
    <n v="0"/>
    <n v="0"/>
    <n v="0.02"/>
    <n v="4.3899999999999997"/>
    <n v="1.49"/>
    <n v="0.52"/>
    <n v="0"/>
    <n v="0"/>
    <n v="0"/>
    <n v="9"/>
    <n v="28.62"/>
    <n v="0"/>
    <n v="0"/>
    <n v="0.27"/>
    <n v="48.75"/>
    <n v="16.53"/>
    <n v="5.79"/>
    <n v="0"/>
    <n v="0"/>
    <n v="0.04"/>
    <n v="2"/>
    <x v="2"/>
  </r>
  <r>
    <x v="3"/>
    <x v="226"/>
    <x v="11"/>
    <x v="52"/>
    <n v="81"/>
    <n v="0"/>
    <n v="5"/>
    <n v="5"/>
    <n v="0"/>
    <n v="0"/>
    <n v="54"/>
    <s v="Jerrod Coleman"/>
    <s v="Collections Group"/>
    <d v="2025-03-10T00:00:00"/>
    <d v="1899-12-30T13:14:49"/>
    <d v="1899-12-30T21:59:11"/>
    <n v="8.75"/>
    <n v="8.6199999999999992"/>
    <n v="0.75"/>
    <n v="0.11"/>
    <n v="0"/>
    <n v="0.12"/>
    <n v="5.53"/>
    <n v="1.44"/>
    <n v="0.66"/>
    <n v="0"/>
    <n v="0"/>
    <n v="0.01"/>
    <n v="8.6199999999999992"/>
    <n v="8.67"/>
    <n v="1.23"/>
    <n v="0"/>
    <n v="1.34"/>
    <n v="64.19"/>
    <n v="16.72"/>
    <n v="7.68"/>
    <n v="0"/>
    <n v="0"/>
    <n v="0.17"/>
    <n v="2"/>
    <x v="2"/>
  </r>
  <r>
    <x v="4"/>
    <x v="226"/>
    <x v="11"/>
    <x v="13"/>
    <n v="1"/>
    <n v="0"/>
    <n v="0"/>
    <n v="0"/>
    <n v="0"/>
    <n v="0"/>
    <n v="0"/>
    <s v="Rosette Rwabugahya"/>
    <s v="Collections Group"/>
    <d v="2025-03-10T00:00:00"/>
    <d v="1899-12-30T13:00:09"/>
    <d v="1899-12-30T22:02:20"/>
    <n v="9.0299999999999994"/>
    <n v="9.0399999999999991"/>
    <n v="0.01"/>
    <n v="0"/>
    <n v="0"/>
    <n v="0.01"/>
    <n v="0"/>
    <n v="1.47"/>
    <n v="7.54"/>
    <n v="0"/>
    <n v="0"/>
    <n v="0.01"/>
    <n v="9.0399999999999991"/>
    <n v="0.16"/>
    <n v="0"/>
    <n v="0"/>
    <n v="0.09"/>
    <n v="0"/>
    <n v="16.3"/>
    <n v="83.4"/>
    <n v="0"/>
    <n v="0"/>
    <n v="0.06"/>
    <n v="2"/>
    <x v="2"/>
  </r>
  <r>
    <x v="5"/>
    <x v="226"/>
    <x v="11"/>
    <x v="51"/>
    <n v="119"/>
    <n v="5"/>
    <n v="7"/>
    <n v="7"/>
    <n v="0"/>
    <n v="0"/>
    <n v="69"/>
    <s v="Sabigh Masood"/>
    <s v="Collections Group"/>
    <d v="2025-03-10T00:00:00"/>
    <d v="1899-12-30T12:59:11"/>
    <d v="1899-12-30T22:00:15"/>
    <n v="9.02"/>
    <n v="9.02"/>
    <n v="1.28"/>
    <n v="0"/>
    <n v="0"/>
    <n v="0.38"/>
    <n v="5.64"/>
    <n v="1.47"/>
    <n v="0.25"/>
    <n v="0"/>
    <n v="0"/>
    <n v="0"/>
    <n v="9.02"/>
    <n v="14.15"/>
    <n v="0"/>
    <n v="0"/>
    <n v="4.24"/>
    <n v="62.56"/>
    <n v="16.28"/>
    <n v="2.73"/>
    <n v="0"/>
    <n v="0"/>
    <n v="0.05"/>
    <n v="2"/>
    <x v="2"/>
  </r>
  <r>
    <x v="6"/>
    <x v="226"/>
    <x v="11"/>
    <x v="295"/>
    <n v="0"/>
    <n v="0"/>
    <n v="0"/>
    <n v="0"/>
    <n v="0"/>
    <n v="0"/>
    <n v="0"/>
    <m/>
    <m/>
    <m/>
    <m/>
    <m/>
    <m/>
    <m/>
    <m/>
    <m/>
    <m/>
    <m/>
    <m/>
    <m/>
    <m/>
    <m/>
    <m/>
    <m/>
    <m/>
    <m/>
    <m/>
    <m/>
    <m/>
    <m/>
    <m/>
    <m/>
    <m/>
    <m/>
    <m/>
    <n v="2"/>
    <x v="2"/>
  </r>
  <r>
    <x v="0"/>
    <x v="227"/>
    <x v="11"/>
    <x v="52"/>
    <n v="85"/>
    <n v="2"/>
    <n v="4"/>
    <n v="1"/>
    <n v="0"/>
    <n v="0"/>
    <n v="58"/>
    <s v="Anais Orozco"/>
    <s v="Collections Group"/>
    <d v="2025-03-07T00:00:00"/>
    <d v="1899-12-30T14:00:28"/>
    <d v="1899-12-30T23:00:45"/>
    <n v="9"/>
    <n v="8.14"/>
    <n v="1.0900000000000001"/>
    <n v="0.25"/>
    <n v="0"/>
    <n v="0.12"/>
    <n v="4.8"/>
    <n v="0.36"/>
    <n v="1.42"/>
    <n v="0"/>
    <n v="0"/>
    <n v="0.09"/>
    <n v="8.14"/>
    <n v="13.42"/>
    <n v="3.12"/>
    <n v="0"/>
    <n v="1.53"/>
    <n v="58.98"/>
    <n v="4.37"/>
    <n v="17.440000000000001"/>
    <n v="0"/>
    <n v="0"/>
    <n v="1.1499999999999999"/>
    <n v="6"/>
    <x v="3"/>
  </r>
  <r>
    <x v="1"/>
    <x v="227"/>
    <x v="11"/>
    <x v="56"/>
    <n v="90"/>
    <n v="11"/>
    <n v="4"/>
    <n v="3"/>
    <n v="6"/>
    <n v="1"/>
    <n v="50"/>
    <s v="Derice Warnsley"/>
    <s v="Collections Group"/>
    <d v="2025-03-07T00:00:00"/>
    <d v="1899-12-30T14:00:08"/>
    <d v="1899-12-30T23:00:34"/>
    <n v="9"/>
    <n v="8.3800000000000008"/>
    <n v="1.47"/>
    <n v="0"/>
    <n v="0"/>
    <n v="0.04"/>
    <n v="4.8499999999999996"/>
    <n v="0.87"/>
    <n v="1.1299999999999999"/>
    <n v="0"/>
    <n v="0"/>
    <n v="0.02"/>
    <n v="8.3800000000000008"/>
    <n v="17.48"/>
    <n v="0"/>
    <n v="0"/>
    <n v="0.48"/>
    <n v="57.91"/>
    <n v="10.44"/>
    <n v="13.43"/>
    <n v="0"/>
    <n v="0"/>
    <n v="0.26"/>
    <n v="6"/>
    <x v="3"/>
  </r>
  <r>
    <x v="3"/>
    <x v="227"/>
    <x v="11"/>
    <x v="18"/>
    <n v="72"/>
    <n v="4"/>
    <n v="7"/>
    <n v="4"/>
    <n v="0"/>
    <n v="1"/>
    <n v="39"/>
    <s v="Jerrod Coleman"/>
    <s v="Collections Group"/>
    <d v="2025-03-07T00:00:00"/>
    <d v="1899-12-30T14:01:39"/>
    <d v="1899-12-30T23:01:41"/>
    <n v="9"/>
    <n v="8.98"/>
    <n v="0.99"/>
    <n v="0"/>
    <n v="0"/>
    <n v="0.16"/>
    <n v="5.69"/>
    <n v="1.46"/>
    <n v="0.66"/>
    <n v="0"/>
    <n v="0"/>
    <n v="0.01"/>
    <n v="8.98"/>
    <n v="11.04"/>
    <n v="0"/>
    <n v="0"/>
    <n v="1.81"/>
    <n v="63.41"/>
    <n v="16.28"/>
    <n v="7.38"/>
    <n v="0"/>
    <n v="0"/>
    <n v="7.0000000000000007E-2"/>
    <n v="6"/>
    <x v="3"/>
  </r>
  <r>
    <x v="8"/>
    <x v="227"/>
    <x v="11"/>
    <x v="13"/>
    <n v="1"/>
    <n v="0"/>
    <n v="0"/>
    <n v="0"/>
    <n v="0"/>
    <n v="0"/>
    <n v="0"/>
    <m/>
    <m/>
    <m/>
    <m/>
    <m/>
    <m/>
    <m/>
    <m/>
    <m/>
    <m/>
    <m/>
    <m/>
    <m/>
    <m/>
    <m/>
    <m/>
    <m/>
    <m/>
    <m/>
    <m/>
    <m/>
    <m/>
    <m/>
    <m/>
    <m/>
    <m/>
    <m/>
    <m/>
    <n v="6"/>
    <x v="3"/>
  </r>
  <r>
    <x v="5"/>
    <x v="227"/>
    <x v="11"/>
    <x v="109"/>
    <n v="68"/>
    <n v="8"/>
    <n v="3"/>
    <n v="7"/>
    <n v="0"/>
    <n v="0"/>
    <n v="40"/>
    <s v="Sabigh Masood"/>
    <s v="Collections Group"/>
    <d v="2025-03-07T00:00:00"/>
    <d v="1899-12-30T13:58:13"/>
    <d v="1899-12-30T23:00:48"/>
    <n v="9.0299999999999994"/>
    <n v="9.0399999999999991"/>
    <n v="0.91"/>
    <n v="0.03"/>
    <n v="0"/>
    <n v="0.28999999999999998"/>
    <n v="4.46"/>
    <n v="1.89"/>
    <n v="1.46"/>
    <n v="0"/>
    <n v="0"/>
    <n v="0.01"/>
    <n v="9.0399999999999991"/>
    <n v="10.08"/>
    <n v="0.28999999999999998"/>
    <n v="0"/>
    <n v="3.15"/>
    <n v="49.37"/>
    <n v="20.95"/>
    <n v="16.100000000000001"/>
    <n v="0"/>
    <n v="0"/>
    <n v="0.06"/>
    <n v="6"/>
    <x v="3"/>
  </r>
  <r>
    <x v="6"/>
    <x v="227"/>
    <x v="11"/>
    <x v="296"/>
    <n v="0"/>
    <n v="0"/>
    <n v="0"/>
    <n v="0"/>
    <n v="0"/>
    <n v="0"/>
    <n v="0"/>
    <m/>
    <m/>
    <m/>
    <m/>
    <m/>
    <m/>
    <m/>
    <m/>
    <m/>
    <m/>
    <m/>
    <m/>
    <m/>
    <m/>
    <m/>
    <m/>
    <m/>
    <m/>
    <m/>
    <m/>
    <m/>
    <m/>
    <m/>
    <m/>
    <m/>
    <m/>
    <m/>
    <m/>
    <n v="6"/>
    <x v="3"/>
  </r>
  <r>
    <x v="0"/>
    <x v="228"/>
    <x v="11"/>
    <x v="51"/>
    <n v="91"/>
    <n v="2"/>
    <n v="5"/>
    <n v="7"/>
    <n v="0"/>
    <n v="1"/>
    <n v="55"/>
    <s v="Anais Orozco"/>
    <s v="Collections Group"/>
    <d v="2025-03-06T00:00:00"/>
    <d v="1899-12-30T14:00:45"/>
    <d v="1899-12-30T23:00:03"/>
    <n v="9"/>
    <n v="8.11"/>
    <n v="1.24"/>
    <n v="0.03"/>
    <n v="0"/>
    <n v="0.37"/>
    <n v="5.23"/>
    <n v="0.56999999999999995"/>
    <n v="0.61"/>
    <n v="0"/>
    <n v="0"/>
    <n v="0.05"/>
    <n v="8.11"/>
    <n v="15.32"/>
    <n v="0.42"/>
    <n v="0"/>
    <n v="4.59"/>
    <n v="64.53"/>
    <n v="6.97"/>
    <n v="7.57"/>
    <n v="0"/>
    <n v="0"/>
    <n v="0.59"/>
    <n v="5"/>
    <x v="4"/>
  </r>
  <r>
    <x v="1"/>
    <x v="228"/>
    <x v="11"/>
    <x v="108"/>
    <n v="68"/>
    <n v="3"/>
    <n v="6"/>
    <n v="5"/>
    <n v="1"/>
    <n v="2"/>
    <n v="38"/>
    <s v="Derice Warnsley"/>
    <s v="Collections Group"/>
    <d v="2025-03-06T00:00:00"/>
    <d v="1899-12-30T14:00:08"/>
    <d v="1899-12-30T23:00:04"/>
    <n v="9"/>
    <n v="9"/>
    <n v="2.02"/>
    <n v="0.09"/>
    <n v="0"/>
    <n v="0.04"/>
    <n v="4.76"/>
    <n v="1.49"/>
    <n v="0.6"/>
    <n v="0"/>
    <n v="0"/>
    <n v="0"/>
    <n v="9"/>
    <n v="22.47"/>
    <n v="0.97"/>
    <n v="0"/>
    <n v="0.43"/>
    <n v="52.9"/>
    <n v="16.52"/>
    <n v="6.67"/>
    <n v="0"/>
    <n v="0"/>
    <n v="0.05"/>
    <n v="5"/>
    <x v="4"/>
  </r>
  <r>
    <x v="3"/>
    <x v="228"/>
    <x v="11"/>
    <x v="40"/>
    <n v="111"/>
    <n v="2"/>
    <n v="12"/>
    <n v="0"/>
    <n v="0"/>
    <n v="4"/>
    <n v="62"/>
    <s v="Jerrod Coleman"/>
    <s v="Collections Group"/>
    <d v="2025-03-06T00:00:00"/>
    <d v="1899-12-30T14:00:15"/>
    <d v="1899-12-30T22:59:25"/>
    <n v="8.98"/>
    <n v="8.99"/>
    <n v="1.26"/>
    <n v="0"/>
    <n v="0"/>
    <n v="0.19"/>
    <n v="5.16"/>
    <n v="1.43"/>
    <n v="0.95"/>
    <n v="0"/>
    <n v="0"/>
    <n v="0.01"/>
    <n v="8.99"/>
    <n v="13.97"/>
    <n v="0"/>
    <n v="0"/>
    <n v="2.17"/>
    <n v="57.38"/>
    <n v="15.9"/>
    <n v="10.52"/>
    <n v="0"/>
    <n v="0"/>
    <n v="0.06"/>
    <n v="5"/>
    <x v="4"/>
  </r>
  <r>
    <x v="4"/>
    <x v="228"/>
    <x v="11"/>
    <x v="13"/>
    <n v="1"/>
    <n v="1"/>
    <n v="0"/>
    <n v="0"/>
    <n v="0"/>
    <n v="0"/>
    <n v="0"/>
    <s v="Rosette Rwabugahya"/>
    <s v="Collections Group"/>
    <d v="2025-03-06T00:00:00"/>
    <d v="1899-12-30T14:00:31"/>
    <d v="1899-12-30T22:57:04"/>
    <n v="8.9499999999999993"/>
    <n v="7.91"/>
    <n v="0.13"/>
    <n v="0"/>
    <n v="0"/>
    <n v="0"/>
    <n v="0"/>
    <n v="0"/>
    <n v="7.75"/>
    <n v="0"/>
    <n v="0"/>
    <n v="0.03"/>
    <n v="7.91"/>
    <n v="1.6"/>
    <n v="0"/>
    <n v="0"/>
    <n v="0.04"/>
    <n v="0"/>
    <n v="0"/>
    <n v="98.03"/>
    <n v="0"/>
    <n v="0"/>
    <n v="0.33"/>
    <n v="5"/>
    <x v="4"/>
  </r>
  <r>
    <x v="5"/>
    <x v="228"/>
    <x v="11"/>
    <x v="113"/>
    <n v="66"/>
    <n v="1"/>
    <n v="8"/>
    <n v="15"/>
    <n v="1"/>
    <n v="0"/>
    <n v="30"/>
    <s v="Sabigh Masood"/>
    <s v="Collections Group"/>
    <d v="2025-03-06T00:00:00"/>
    <d v="1899-12-30T13:59:12"/>
    <d v="1899-12-30T23:01:23"/>
    <n v="9.0299999999999994"/>
    <n v="9.0399999999999991"/>
    <n v="1.81"/>
    <n v="0.31"/>
    <n v="0"/>
    <n v="0.64"/>
    <n v="4.0999999999999996"/>
    <n v="1.41"/>
    <n v="0.77"/>
    <n v="0"/>
    <n v="0"/>
    <n v="0"/>
    <n v="9.0399999999999991"/>
    <n v="19.989999999999998"/>
    <n v="3.45"/>
    <n v="0"/>
    <n v="7.09"/>
    <n v="45.31"/>
    <n v="15.62"/>
    <n v="8.49"/>
    <n v="0"/>
    <n v="0"/>
    <n v="0.04"/>
    <n v="5"/>
    <x v="4"/>
  </r>
  <r>
    <x v="6"/>
    <x v="228"/>
    <x v="11"/>
    <x v="297"/>
    <n v="0"/>
    <n v="0"/>
    <n v="0"/>
    <n v="0"/>
    <n v="0"/>
    <n v="0"/>
    <n v="0"/>
    <m/>
    <m/>
    <m/>
    <m/>
    <m/>
    <m/>
    <m/>
    <m/>
    <m/>
    <m/>
    <m/>
    <m/>
    <m/>
    <m/>
    <m/>
    <m/>
    <m/>
    <m/>
    <m/>
    <m/>
    <m/>
    <m/>
    <m/>
    <m/>
    <m/>
    <m/>
    <m/>
    <m/>
    <n v="5"/>
    <x v="4"/>
  </r>
  <r>
    <x v="0"/>
    <x v="229"/>
    <x v="11"/>
    <x v="69"/>
    <n v="79"/>
    <n v="11"/>
    <n v="2"/>
    <n v="7"/>
    <n v="0"/>
    <n v="2"/>
    <n v="45"/>
    <s v="Anais Orozco"/>
    <s v="Collections Group"/>
    <d v="2025-03-05T00:00:00"/>
    <d v="1899-12-30T14:00:06"/>
    <d v="1899-12-30T23:00:03"/>
    <n v="9"/>
    <n v="8.18"/>
    <n v="1.96"/>
    <n v="0.05"/>
    <n v="0"/>
    <n v="0.26"/>
    <n v="5.7"/>
    <n v="0.19"/>
    <n v="0"/>
    <n v="0"/>
    <n v="0"/>
    <n v="0.03"/>
    <n v="8.18"/>
    <n v="23.94"/>
    <n v="0.56000000000000005"/>
    <n v="0"/>
    <n v="3.14"/>
    <n v="69.650000000000006"/>
    <n v="2.3199999999999998"/>
    <n v="0"/>
    <n v="0"/>
    <n v="0"/>
    <n v="0.39"/>
    <n v="4"/>
    <x v="0"/>
  </r>
  <r>
    <x v="1"/>
    <x v="229"/>
    <x v="11"/>
    <x v="56"/>
    <n v="109"/>
    <n v="7"/>
    <n v="3"/>
    <n v="7"/>
    <n v="0"/>
    <n v="1"/>
    <n v="66"/>
    <s v="Derice Warnsley"/>
    <s v="Collections Group"/>
    <d v="2025-03-05T00:00:00"/>
    <d v="1899-12-30T14:00:31"/>
    <d v="1899-12-30T23:00:16"/>
    <n v="9"/>
    <n v="9"/>
    <n v="1.18"/>
    <n v="0.23"/>
    <n v="0"/>
    <n v="0.03"/>
    <n v="6.06"/>
    <n v="1.48"/>
    <n v="0"/>
    <n v="0"/>
    <n v="0"/>
    <n v="0"/>
    <n v="9"/>
    <n v="13.13"/>
    <n v="2.61"/>
    <n v="0"/>
    <n v="0.36"/>
    <n v="67.349999999999994"/>
    <n v="16.5"/>
    <n v="0"/>
    <n v="0"/>
    <n v="0"/>
    <n v="0.04"/>
    <n v="4"/>
    <x v="0"/>
  </r>
  <r>
    <x v="3"/>
    <x v="229"/>
    <x v="11"/>
    <x v="51"/>
    <n v="95"/>
    <n v="8"/>
    <n v="2"/>
    <n v="5"/>
    <n v="0"/>
    <n v="1"/>
    <n v="61"/>
    <s v="Jerrod Coleman"/>
    <s v="Collections Group"/>
    <d v="2025-03-05T00:00:00"/>
    <d v="1899-12-30T14:01:15"/>
    <d v="1899-12-30T22:59:28"/>
    <n v="8.9700000000000006"/>
    <n v="8.9700000000000006"/>
    <n v="1"/>
    <n v="0.04"/>
    <n v="0"/>
    <n v="0.21"/>
    <n v="6.25"/>
    <n v="1.46"/>
    <n v="0"/>
    <n v="0"/>
    <n v="0"/>
    <n v="0.01"/>
    <n v="8.9700000000000006"/>
    <n v="11.14"/>
    <n v="0.47"/>
    <n v="0"/>
    <n v="2.36"/>
    <n v="69.66"/>
    <n v="16.29"/>
    <n v="0"/>
    <n v="0"/>
    <n v="0"/>
    <n v="0.08"/>
    <n v="4"/>
    <x v="0"/>
  </r>
  <r>
    <x v="13"/>
    <x v="229"/>
    <x v="11"/>
    <x v="13"/>
    <n v="2"/>
    <n v="1"/>
    <n v="0"/>
    <n v="0"/>
    <n v="0"/>
    <n v="0"/>
    <n v="0"/>
    <m/>
    <m/>
    <m/>
    <m/>
    <m/>
    <m/>
    <m/>
    <m/>
    <m/>
    <m/>
    <m/>
    <m/>
    <m/>
    <m/>
    <m/>
    <m/>
    <m/>
    <m/>
    <m/>
    <m/>
    <m/>
    <m/>
    <m/>
    <m/>
    <m/>
    <m/>
    <m/>
    <m/>
    <n v="4"/>
    <x v="0"/>
  </r>
  <r>
    <x v="4"/>
    <x v="229"/>
    <x v="11"/>
    <x v="13"/>
    <n v="1"/>
    <n v="0"/>
    <n v="0"/>
    <n v="0"/>
    <n v="1"/>
    <n v="0"/>
    <n v="0"/>
    <s v="Rosette Rwabugahya"/>
    <s v="Collections Group"/>
    <d v="2025-03-05T00:00:00"/>
    <d v="1899-12-30T13:58:31"/>
    <d v="1899-12-30T23:01:59"/>
    <n v="9.0500000000000007"/>
    <n v="8.92"/>
    <n v="0.09"/>
    <n v="1.37"/>
    <n v="0"/>
    <n v="0"/>
    <n v="0"/>
    <n v="0.49"/>
    <n v="6.96"/>
    <n v="0"/>
    <n v="0"/>
    <n v="0.01"/>
    <n v="8.92"/>
    <n v="1.04"/>
    <n v="15.3"/>
    <n v="0"/>
    <n v="0.02"/>
    <n v="0.01"/>
    <n v="5.51"/>
    <n v="78"/>
    <n v="0"/>
    <n v="0"/>
    <n v="0.12"/>
    <n v="4"/>
    <x v="0"/>
  </r>
  <r>
    <x v="5"/>
    <x v="229"/>
    <x v="11"/>
    <x v="118"/>
    <n v="75"/>
    <n v="1"/>
    <n v="4"/>
    <n v="9"/>
    <n v="1"/>
    <n v="1"/>
    <n v="45"/>
    <s v="Sabigh Masood"/>
    <s v="Collections Group"/>
    <d v="2025-03-05T00:00:00"/>
    <d v="1899-12-30T13:58:53"/>
    <d v="1899-12-30T23:01:15"/>
    <n v="9.0500000000000007"/>
    <n v="9.0399999999999991"/>
    <n v="1.73"/>
    <n v="0.17"/>
    <n v="0"/>
    <n v="0.28000000000000003"/>
    <n v="5.15"/>
    <n v="1.49"/>
    <n v="0.21"/>
    <n v="0"/>
    <n v="0"/>
    <n v="0"/>
    <n v="9.0399999999999991"/>
    <n v="19.16"/>
    <n v="1.9"/>
    <n v="0"/>
    <n v="3.11"/>
    <n v="56.97"/>
    <n v="16.489999999999998"/>
    <n v="2.3199999999999998"/>
    <n v="0"/>
    <n v="0"/>
    <n v="0.05"/>
    <n v="4"/>
    <x v="0"/>
  </r>
  <r>
    <x v="6"/>
    <x v="229"/>
    <x v="11"/>
    <x v="298"/>
    <n v="0"/>
    <n v="0"/>
    <n v="0"/>
    <n v="0"/>
    <n v="0"/>
    <n v="0"/>
    <n v="0"/>
    <m/>
    <m/>
    <m/>
    <m/>
    <m/>
    <m/>
    <m/>
    <m/>
    <m/>
    <m/>
    <m/>
    <m/>
    <m/>
    <m/>
    <m/>
    <m/>
    <m/>
    <m/>
    <m/>
    <m/>
    <m/>
    <m/>
    <m/>
    <m/>
    <m/>
    <m/>
    <m/>
    <m/>
    <n v="4"/>
    <x v="0"/>
  </r>
  <r>
    <x v="0"/>
    <x v="230"/>
    <x v="11"/>
    <x v="21"/>
    <n v="104"/>
    <n v="11"/>
    <n v="18"/>
    <n v="3"/>
    <n v="0"/>
    <n v="0"/>
    <n v="56"/>
    <s v="Anais Orozco"/>
    <s v="Collections Group"/>
    <d v="2025-03-04T00:00:00"/>
    <d v="1899-12-30T13:54:56"/>
    <d v="1899-12-30T23:00:06"/>
    <n v="9.1"/>
    <n v="9.0299999999999994"/>
    <n v="1.74"/>
    <n v="0.2"/>
    <n v="0"/>
    <n v="0.66"/>
    <n v="5.15"/>
    <n v="1.2"/>
    <n v="0"/>
    <n v="0"/>
    <n v="0"/>
    <n v="0.08"/>
    <n v="9.0299999999999994"/>
    <n v="19.32"/>
    <n v="2.21"/>
    <n v="0"/>
    <n v="7.33"/>
    <n v="57.01"/>
    <n v="13.29"/>
    <n v="0"/>
    <n v="0"/>
    <n v="0"/>
    <n v="0.84"/>
    <n v="3"/>
    <x v="1"/>
  </r>
  <r>
    <x v="1"/>
    <x v="230"/>
    <x v="11"/>
    <x v="21"/>
    <n v="116"/>
    <n v="7"/>
    <n v="7"/>
    <n v="13"/>
    <n v="0"/>
    <n v="0"/>
    <n v="66"/>
    <s v="Derice Warnsley"/>
    <s v="Collections Group"/>
    <d v="2025-03-04T00:00:00"/>
    <d v="1899-12-30T14:00:14"/>
    <d v="1899-12-30T23:00:18"/>
    <n v="9"/>
    <n v="8.99"/>
    <n v="1.72"/>
    <n v="0.28000000000000003"/>
    <n v="0"/>
    <n v="7.0000000000000007E-2"/>
    <n v="5.43"/>
    <n v="1.49"/>
    <n v="0"/>
    <n v="0"/>
    <n v="0"/>
    <n v="0.01"/>
    <n v="8.99"/>
    <n v="19.100000000000001"/>
    <n v="3.07"/>
    <n v="0"/>
    <n v="0.83"/>
    <n v="60.39"/>
    <n v="16.52"/>
    <n v="0"/>
    <n v="0"/>
    <n v="0"/>
    <n v="0.09"/>
    <n v="3"/>
    <x v="1"/>
  </r>
  <r>
    <x v="3"/>
    <x v="230"/>
    <x v="11"/>
    <x v="41"/>
    <n v="151"/>
    <n v="12"/>
    <n v="7"/>
    <n v="3"/>
    <n v="1"/>
    <n v="3"/>
    <n v="96"/>
    <s v="Jerrod Coleman"/>
    <s v="Collections Group"/>
    <d v="2025-03-04T00:00:00"/>
    <d v="1899-12-30T14:03:43"/>
    <d v="1899-12-30T22:58:59"/>
    <n v="8.92"/>
    <n v="8.92"/>
    <n v="1.46"/>
    <n v="0.09"/>
    <n v="0"/>
    <n v="0.24"/>
    <n v="5.69"/>
    <n v="1.43"/>
    <n v="0"/>
    <n v="0"/>
    <n v="0"/>
    <n v="0.01"/>
    <n v="8.92"/>
    <n v="16.38"/>
    <n v="0.97"/>
    <n v="0"/>
    <n v="2.72"/>
    <n v="63.75"/>
    <n v="16.059999999999999"/>
    <n v="0"/>
    <n v="0"/>
    <n v="0"/>
    <n v="0.13"/>
    <n v="3"/>
    <x v="1"/>
  </r>
  <r>
    <x v="5"/>
    <x v="230"/>
    <x v="11"/>
    <x v="31"/>
    <n v="138"/>
    <n v="3"/>
    <n v="8"/>
    <n v="4"/>
    <n v="0"/>
    <n v="4"/>
    <n v="93"/>
    <s v="Sabigh Masood"/>
    <s v="Collections Group"/>
    <d v="2025-03-04T00:00:00"/>
    <d v="1899-12-30T13:59:00"/>
    <d v="1899-12-30T23:00:32"/>
    <n v="9.02"/>
    <n v="9.02"/>
    <n v="0.72"/>
    <n v="0"/>
    <n v="0"/>
    <n v="0.25"/>
    <n v="5.73"/>
    <n v="1.48"/>
    <n v="0.83"/>
    <n v="0"/>
    <n v="0"/>
    <n v="0"/>
    <n v="9.02"/>
    <n v="8.02"/>
    <n v="0"/>
    <n v="0"/>
    <n v="2.82"/>
    <n v="63.53"/>
    <n v="16.37"/>
    <n v="9.2200000000000006"/>
    <n v="0"/>
    <n v="0"/>
    <n v="0.04"/>
    <n v="3"/>
    <x v="1"/>
  </r>
  <r>
    <x v="6"/>
    <x v="230"/>
    <x v="11"/>
    <x v="299"/>
    <n v="0"/>
    <n v="0"/>
    <n v="0"/>
    <n v="0"/>
    <n v="0"/>
    <n v="0"/>
    <n v="0"/>
    <m/>
    <m/>
    <m/>
    <m/>
    <m/>
    <m/>
    <m/>
    <m/>
    <m/>
    <m/>
    <m/>
    <m/>
    <m/>
    <m/>
    <m/>
    <m/>
    <m/>
    <m/>
    <m/>
    <m/>
    <m/>
    <m/>
    <m/>
    <m/>
    <m/>
    <m/>
    <m/>
    <m/>
    <n v="3"/>
    <x v="1"/>
  </r>
  <r>
    <x v="0"/>
    <x v="231"/>
    <x v="11"/>
    <x v="39"/>
    <n v="93"/>
    <n v="3"/>
    <n v="14"/>
    <n v="0"/>
    <n v="2"/>
    <n v="2"/>
    <n v="46"/>
    <s v="Anais Orozco"/>
    <s v="Collections Group"/>
    <d v="2025-03-03T00:00:00"/>
    <d v="1899-12-30T14:02:11"/>
    <d v="1899-12-30T23:00:29"/>
    <n v="8.9700000000000006"/>
    <n v="8.0299999999999994"/>
    <n v="2.1800000000000002"/>
    <n v="0.28000000000000003"/>
    <n v="0"/>
    <n v="0.66"/>
    <n v="4.72"/>
    <n v="0.06"/>
    <n v="0"/>
    <n v="0"/>
    <n v="0"/>
    <n v="0.12"/>
    <n v="8.0299999999999994"/>
    <n v="27.08"/>
    <n v="3.52"/>
    <n v="0"/>
    <n v="8.27"/>
    <n v="58.82"/>
    <n v="0.8"/>
    <n v="0"/>
    <n v="0"/>
    <n v="0"/>
    <n v="1.52"/>
    <n v="2"/>
    <x v="2"/>
  </r>
  <r>
    <x v="1"/>
    <x v="231"/>
    <x v="11"/>
    <x v="18"/>
    <n v="91"/>
    <n v="9"/>
    <n v="8"/>
    <n v="11"/>
    <n v="3"/>
    <n v="1"/>
    <n v="38"/>
    <s v="Derice Warnsley"/>
    <s v="Collections Group"/>
    <d v="2025-03-03T00:00:00"/>
    <d v="1899-12-30T14:00:07"/>
    <d v="1899-12-30T23:00:16"/>
    <n v="9"/>
    <n v="9"/>
    <n v="2.3199999999999998"/>
    <n v="0.08"/>
    <n v="0"/>
    <n v="7.0000000000000007E-2"/>
    <n v="5"/>
    <n v="1.49"/>
    <n v="0.04"/>
    <n v="0"/>
    <n v="0"/>
    <n v="0.01"/>
    <n v="9"/>
    <n v="25.75"/>
    <n v="0.84"/>
    <n v="0"/>
    <n v="0.74"/>
    <n v="55.62"/>
    <n v="16.559999999999999"/>
    <n v="0.39"/>
    <n v="0"/>
    <n v="0"/>
    <n v="0.09"/>
    <n v="2"/>
    <x v="2"/>
  </r>
  <r>
    <x v="3"/>
    <x v="231"/>
    <x v="11"/>
    <x v="41"/>
    <n v="133"/>
    <n v="8"/>
    <n v="10"/>
    <n v="14"/>
    <n v="0"/>
    <n v="3"/>
    <n v="71"/>
    <s v="Jerrod Coleman"/>
    <s v="Collections Group"/>
    <d v="2025-03-03T00:00:00"/>
    <d v="1899-12-30T14:01:28"/>
    <d v="1899-12-30T22:59:18"/>
    <n v="8.9700000000000006"/>
    <n v="8.9700000000000006"/>
    <n v="1.91"/>
    <n v="0"/>
    <n v="0"/>
    <n v="0.24"/>
    <n v="5.33"/>
    <n v="1.48"/>
    <n v="0"/>
    <n v="0"/>
    <n v="0"/>
    <n v="0.01"/>
    <n v="8.9700000000000006"/>
    <n v="21.31"/>
    <n v="0"/>
    <n v="0"/>
    <n v="2.66"/>
    <n v="59.43"/>
    <n v="16.52"/>
    <n v="0"/>
    <n v="0"/>
    <n v="0"/>
    <n v="0.08"/>
    <n v="2"/>
    <x v="2"/>
  </r>
  <r>
    <x v="4"/>
    <x v="231"/>
    <x v="11"/>
    <x v="104"/>
    <n v="30"/>
    <n v="2"/>
    <n v="4"/>
    <n v="6"/>
    <n v="1"/>
    <n v="2"/>
    <n v="11"/>
    <s v="Rosette Rwabugahya"/>
    <s v="Collections Group"/>
    <d v="2025-03-03T00:00:00"/>
    <d v="1899-12-30T14:00:53"/>
    <d v="1899-12-30T23:12:29"/>
    <n v="9.1999999999999993"/>
    <n v="9.19"/>
    <n v="1.4"/>
    <n v="0.84"/>
    <n v="0"/>
    <n v="0.39"/>
    <n v="2.1"/>
    <n v="1.46"/>
    <n v="2.99"/>
    <n v="0"/>
    <n v="0"/>
    <n v="0.01"/>
    <n v="9.19"/>
    <n v="15.18"/>
    <n v="9.1300000000000008"/>
    <n v="0"/>
    <n v="4.28"/>
    <n v="22.82"/>
    <n v="15.89"/>
    <n v="32.57"/>
    <n v="0"/>
    <n v="0"/>
    <n v="0.13"/>
    <n v="2"/>
    <x v="2"/>
  </r>
  <r>
    <x v="5"/>
    <x v="231"/>
    <x v="11"/>
    <x v="9"/>
    <n v="157"/>
    <n v="13"/>
    <n v="6"/>
    <n v="2"/>
    <n v="0"/>
    <n v="0"/>
    <n v="100"/>
    <s v="Sabigh Masood"/>
    <s v="Collections Group"/>
    <d v="2025-03-03T00:00:00"/>
    <d v="1899-12-30T13:58:09"/>
    <d v="1899-12-30T23:02:11"/>
    <n v="9.07"/>
    <n v="8.7799999999999994"/>
    <n v="1.39"/>
    <n v="0"/>
    <n v="0"/>
    <n v="0.55000000000000004"/>
    <n v="4.78"/>
    <n v="1.49"/>
    <n v="0.24"/>
    <n v="0"/>
    <n v="0.32"/>
    <n v="0.01"/>
    <n v="8.7799999999999994"/>
    <n v="15.82"/>
    <n v="0"/>
    <n v="0"/>
    <n v="6.23"/>
    <n v="54.44"/>
    <n v="17.010000000000002"/>
    <n v="2.72"/>
    <n v="0"/>
    <n v="3.62"/>
    <n v="0.16"/>
    <n v="2"/>
    <x v="2"/>
  </r>
  <r>
    <x v="6"/>
    <x v="231"/>
    <x v="11"/>
    <x v="300"/>
    <n v="0"/>
    <n v="0"/>
    <n v="0"/>
    <n v="0"/>
    <n v="0"/>
    <n v="0"/>
    <n v="0"/>
    <m/>
    <m/>
    <m/>
    <m/>
    <m/>
    <m/>
    <m/>
    <m/>
    <m/>
    <m/>
    <m/>
    <m/>
    <m/>
    <m/>
    <m/>
    <m/>
    <m/>
    <m/>
    <m/>
    <m/>
    <m/>
    <m/>
    <m/>
    <m/>
    <m/>
    <m/>
    <m/>
    <m/>
    <n v="2"/>
    <x v="2"/>
  </r>
  <r>
    <x v="0"/>
    <x v="232"/>
    <x v="12"/>
    <x v="113"/>
    <n v="75"/>
    <n v="13"/>
    <n v="2"/>
    <n v="7"/>
    <n v="0"/>
    <n v="1"/>
    <n v="50"/>
    <s v="Anais Orozco"/>
    <s v="Collections Group"/>
    <d v="2025-02-28T00:00:00"/>
    <d v="1899-12-30T14:00:22"/>
    <d v="1899-12-30T23:00:06"/>
    <n v="9"/>
    <n v="8.0500000000000007"/>
    <n v="0.84"/>
    <n v="0"/>
    <n v="0"/>
    <n v="0.28999999999999998"/>
    <n v="6.52"/>
    <n v="0.3"/>
    <n v="0"/>
    <n v="0"/>
    <n v="0"/>
    <n v="0.1"/>
    <n v="8.0500000000000007"/>
    <n v="10.41"/>
    <n v="0"/>
    <n v="0"/>
    <n v="3.61"/>
    <n v="80.95"/>
    <n v="3.76"/>
    <n v="0"/>
    <n v="0"/>
    <n v="0"/>
    <n v="1.27"/>
    <n v="6"/>
    <x v="3"/>
  </r>
  <r>
    <x v="1"/>
    <x v="232"/>
    <x v="12"/>
    <x v="21"/>
    <n v="72"/>
    <n v="8"/>
    <n v="2"/>
    <n v="4"/>
    <n v="0"/>
    <n v="0"/>
    <n v="44"/>
    <s v="Derice Warnsley"/>
    <s v="Collections Group"/>
    <d v="2025-02-28T00:00:00"/>
    <d v="1899-12-30T14:00:07"/>
    <d v="1899-12-30T23:00:56"/>
    <n v="9"/>
    <n v="9.01"/>
    <n v="1.65"/>
    <n v="0.16"/>
    <n v="0"/>
    <n v="0.04"/>
    <n v="5.69"/>
    <n v="1.47"/>
    <n v="0"/>
    <n v="0"/>
    <n v="0"/>
    <n v="0"/>
    <n v="9.01"/>
    <n v="18.329999999999998"/>
    <n v="1.72"/>
    <n v="0"/>
    <n v="0.42"/>
    <n v="63.13"/>
    <n v="16.350000000000001"/>
    <n v="0"/>
    <n v="0"/>
    <n v="0"/>
    <n v="0.05"/>
    <n v="6"/>
    <x v="3"/>
  </r>
  <r>
    <x v="3"/>
    <x v="232"/>
    <x v="12"/>
    <x v="18"/>
    <n v="87"/>
    <n v="9"/>
    <n v="5"/>
    <n v="8"/>
    <n v="0"/>
    <n v="2"/>
    <n v="49"/>
    <s v="Jerrod Coleman"/>
    <s v="Collections Group"/>
    <d v="2025-02-28T00:00:00"/>
    <d v="1899-12-30T14:02:16"/>
    <d v="1899-12-30T22:59:19"/>
    <n v="8.9499999999999993"/>
    <n v="8.9499999999999993"/>
    <n v="0.93"/>
    <n v="0"/>
    <n v="0"/>
    <n v="0.26"/>
    <n v="6.32"/>
    <n v="1.45"/>
    <n v="0"/>
    <n v="0"/>
    <n v="0"/>
    <n v="0"/>
    <n v="8.9499999999999993"/>
    <n v="10.35"/>
    <n v="0"/>
    <n v="0"/>
    <n v="2.86"/>
    <n v="70.56"/>
    <n v="16.190000000000001"/>
    <n v="0"/>
    <n v="0"/>
    <n v="0"/>
    <n v="0.04"/>
    <n v="6"/>
    <x v="3"/>
  </r>
  <r>
    <x v="4"/>
    <x v="232"/>
    <x v="12"/>
    <x v="178"/>
    <n v="22"/>
    <n v="1"/>
    <n v="0"/>
    <n v="0"/>
    <n v="0"/>
    <n v="0"/>
    <n v="16"/>
    <s v="Rosette Rwabugahya"/>
    <s v="Collections Group"/>
    <d v="2025-02-28T00:00:00"/>
    <d v="1899-12-30T13:59:31"/>
    <d v="1899-12-30T23:08:13"/>
    <n v="9.15"/>
    <n v="9.15"/>
    <n v="0.7"/>
    <n v="0.63"/>
    <n v="0"/>
    <n v="0.14000000000000001"/>
    <n v="4.74"/>
    <n v="1.48"/>
    <n v="1.45"/>
    <n v="0"/>
    <n v="0"/>
    <n v="0"/>
    <n v="9.15"/>
    <n v="7.68"/>
    <n v="6.88"/>
    <n v="0"/>
    <n v="1.55"/>
    <n v="51.81"/>
    <n v="16.190000000000001"/>
    <n v="15.84"/>
    <n v="0"/>
    <n v="0"/>
    <n v="0.05"/>
    <n v="6"/>
    <x v="3"/>
  </r>
  <r>
    <x v="5"/>
    <x v="232"/>
    <x v="12"/>
    <x v="52"/>
    <n v="87"/>
    <n v="9"/>
    <n v="5"/>
    <n v="23"/>
    <n v="0"/>
    <n v="0"/>
    <n v="41"/>
    <s v="Sabigh Masood"/>
    <s v="Collections Group"/>
    <d v="2025-02-28T00:00:00"/>
    <d v="1899-12-30T13:59:48"/>
    <d v="1899-12-30T23:00:11"/>
    <n v="9.02"/>
    <n v="8.99"/>
    <n v="1.32"/>
    <n v="0.33"/>
    <n v="0"/>
    <n v="0.35"/>
    <n v="4.67"/>
    <n v="1.91"/>
    <n v="0.24"/>
    <n v="0"/>
    <n v="0.16"/>
    <n v="0.01"/>
    <n v="8.99"/>
    <n v="14.71"/>
    <n v="3.69"/>
    <n v="0"/>
    <n v="3.88"/>
    <n v="51.98"/>
    <n v="21.25"/>
    <n v="2.67"/>
    <n v="0"/>
    <n v="1.72"/>
    <n v="0.1"/>
    <n v="6"/>
    <x v="3"/>
  </r>
  <r>
    <x v="6"/>
    <x v="232"/>
    <x v="12"/>
    <x v="301"/>
    <n v="0"/>
    <n v="0"/>
    <n v="0"/>
    <n v="0"/>
    <n v="0"/>
    <n v="0"/>
    <n v="0"/>
    <m/>
    <m/>
    <m/>
    <m/>
    <m/>
    <m/>
    <m/>
    <m/>
    <m/>
    <m/>
    <m/>
    <m/>
    <m/>
    <m/>
    <m/>
    <m/>
    <m/>
    <m/>
    <m/>
    <m/>
    <m/>
    <m/>
    <m/>
    <m/>
    <m/>
    <m/>
    <m/>
    <m/>
    <n v="6"/>
    <x v="3"/>
  </r>
  <r>
    <x v="0"/>
    <x v="233"/>
    <x v="12"/>
    <x v="51"/>
    <n v="93"/>
    <n v="5"/>
    <n v="4"/>
    <n v="2"/>
    <n v="0"/>
    <n v="2"/>
    <n v="58"/>
    <s v="Anais Orozco"/>
    <s v="Collections Group"/>
    <d v="2025-02-27T00:00:00"/>
    <d v="1899-12-30T14:00:47"/>
    <d v="1899-12-30T23:00:05"/>
    <n v="9"/>
    <n v="8.99"/>
    <n v="1.76"/>
    <n v="0.3"/>
    <n v="0"/>
    <n v="0.38"/>
    <n v="4.91"/>
    <n v="1.24"/>
    <n v="0.4"/>
    <n v="0"/>
    <n v="0"/>
    <n v="0.01"/>
    <n v="8.99"/>
    <n v="19.57"/>
    <n v="3.34"/>
    <n v="0"/>
    <n v="4.24"/>
    <n v="54.59"/>
    <n v="13.76"/>
    <n v="4.4400000000000004"/>
    <n v="0"/>
    <n v="0"/>
    <n v="0.06"/>
    <n v="5"/>
    <x v="4"/>
  </r>
  <r>
    <x v="1"/>
    <x v="233"/>
    <x v="12"/>
    <x v="61"/>
    <n v="98"/>
    <n v="13"/>
    <n v="3"/>
    <n v="13"/>
    <n v="0"/>
    <n v="0"/>
    <n v="46"/>
    <s v="Derice Warnsley"/>
    <s v="Collections Group"/>
    <d v="2025-02-27T00:00:00"/>
    <d v="1899-12-30T14:00:41"/>
    <d v="1899-12-30T23:00:04"/>
    <n v="9"/>
    <n v="8.99"/>
    <n v="2.2200000000000002"/>
    <n v="0.13"/>
    <n v="0"/>
    <n v="0.05"/>
    <n v="4.8"/>
    <n v="1.47"/>
    <n v="0.32"/>
    <n v="0"/>
    <n v="0"/>
    <n v="0"/>
    <n v="8.99"/>
    <n v="24.67"/>
    <n v="1.44"/>
    <n v="0"/>
    <n v="0.6"/>
    <n v="53.35"/>
    <n v="16.32"/>
    <n v="3.58"/>
    <n v="0"/>
    <n v="0"/>
    <n v="0.05"/>
    <n v="5"/>
    <x v="4"/>
  </r>
  <r>
    <x v="4"/>
    <x v="233"/>
    <x v="12"/>
    <x v="56"/>
    <n v="49"/>
    <n v="3"/>
    <n v="1"/>
    <n v="2"/>
    <n v="0"/>
    <n v="1"/>
    <n v="27"/>
    <s v="Rosette Rwabugahya"/>
    <s v="Collections Group"/>
    <d v="2025-02-27T00:00:00"/>
    <d v="1899-12-30T13:59:14"/>
    <d v="1899-12-30T23:03:31"/>
    <n v="9.07"/>
    <n v="9.07"/>
    <n v="1.57"/>
    <n v="0.83"/>
    <n v="0"/>
    <n v="0.3"/>
    <n v="3.63"/>
    <n v="1.47"/>
    <n v="1.26"/>
    <n v="0"/>
    <n v="0"/>
    <n v="0.01"/>
    <n v="9.07"/>
    <n v="17.309999999999999"/>
    <n v="9.17"/>
    <n v="0"/>
    <n v="3.28"/>
    <n v="40.020000000000003"/>
    <n v="16.25"/>
    <n v="13.9"/>
    <n v="0"/>
    <n v="0"/>
    <n v="7.0000000000000007E-2"/>
    <n v="5"/>
    <x v="4"/>
  </r>
  <r>
    <x v="5"/>
    <x v="233"/>
    <x v="12"/>
    <x v="16"/>
    <n v="139"/>
    <n v="3"/>
    <n v="7"/>
    <n v="10"/>
    <n v="0"/>
    <n v="0"/>
    <n v="79"/>
    <s v="Sabigh Masood"/>
    <s v="Collections Group"/>
    <d v="2025-02-27T00:00:00"/>
    <d v="1899-12-30T14:00:07"/>
    <d v="1899-12-30T23:05:50"/>
    <n v="9.08"/>
    <n v="9.1"/>
    <n v="1.06"/>
    <n v="0.26"/>
    <n v="0"/>
    <n v="0.71"/>
    <n v="4.88"/>
    <n v="1.48"/>
    <n v="0.71"/>
    <n v="0"/>
    <n v="0"/>
    <n v="0"/>
    <n v="9.1"/>
    <n v="11.64"/>
    <n v="2.9"/>
    <n v="0"/>
    <n v="7.76"/>
    <n v="53.62"/>
    <n v="16.27"/>
    <n v="7.76"/>
    <n v="0"/>
    <n v="0.03"/>
    <n v="0.04"/>
    <n v="5"/>
    <x v="4"/>
  </r>
  <r>
    <x v="6"/>
    <x v="233"/>
    <x v="12"/>
    <x v="302"/>
    <n v="0"/>
    <n v="0"/>
    <n v="0"/>
    <n v="0"/>
    <n v="0"/>
    <n v="0"/>
    <n v="0"/>
    <m/>
    <m/>
    <m/>
    <m/>
    <m/>
    <m/>
    <m/>
    <m/>
    <m/>
    <m/>
    <m/>
    <m/>
    <m/>
    <m/>
    <m/>
    <m/>
    <m/>
    <m/>
    <m/>
    <m/>
    <m/>
    <m/>
    <m/>
    <m/>
    <m/>
    <m/>
    <m/>
    <m/>
    <n v="5"/>
    <x v="4"/>
  </r>
  <r>
    <x v="0"/>
    <x v="234"/>
    <x v="12"/>
    <x v="56"/>
    <n v="80"/>
    <n v="8"/>
    <n v="6"/>
    <n v="1"/>
    <n v="0"/>
    <n v="2"/>
    <n v="39"/>
    <s v="Anais Orozco"/>
    <s v="Collections Group"/>
    <d v="2025-02-26T00:00:00"/>
    <d v="1899-12-30T14:00:57"/>
    <d v="1899-12-30T23:05:44"/>
    <n v="9.08"/>
    <n v="8.14"/>
    <n v="1.57"/>
    <n v="0.08"/>
    <n v="0"/>
    <n v="0.34"/>
    <n v="5.83"/>
    <n v="7.0000000000000007E-2"/>
    <n v="0.17"/>
    <n v="0"/>
    <n v="0"/>
    <n v="0.09"/>
    <n v="8.14"/>
    <n v="19.309999999999999"/>
    <n v="1.01"/>
    <n v="0"/>
    <n v="4.12"/>
    <n v="71.62"/>
    <n v="0.81"/>
    <n v="2.0699999999999998"/>
    <n v="0"/>
    <n v="0"/>
    <n v="1.06"/>
    <n v="4"/>
    <x v="0"/>
  </r>
  <r>
    <x v="1"/>
    <x v="234"/>
    <x v="12"/>
    <x v="89"/>
    <n v="66"/>
    <n v="3"/>
    <n v="9"/>
    <n v="7"/>
    <n v="0"/>
    <n v="2"/>
    <n v="31"/>
    <s v="Derice Warnsley"/>
    <s v="Collections Group"/>
    <d v="2025-02-26T00:00:00"/>
    <d v="1899-12-30T14:00:10"/>
    <d v="1899-12-30T23:00:10"/>
    <n v="9"/>
    <n v="8.9700000000000006"/>
    <n v="2.33"/>
    <n v="7.0000000000000007E-2"/>
    <n v="0"/>
    <n v="0.06"/>
    <n v="5.01"/>
    <n v="1.48"/>
    <n v="0"/>
    <n v="0"/>
    <n v="0"/>
    <n v="0.01"/>
    <n v="8.9700000000000006"/>
    <n v="26"/>
    <n v="0.82"/>
    <n v="0"/>
    <n v="0.67"/>
    <n v="55.86"/>
    <n v="16.55"/>
    <n v="0"/>
    <n v="0"/>
    <n v="0"/>
    <n v="0.1"/>
    <n v="4"/>
    <x v="0"/>
  </r>
  <r>
    <x v="3"/>
    <x v="234"/>
    <x v="12"/>
    <x v="56"/>
    <n v="81"/>
    <n v="3"/>
    <n v="7"/>
    <n v="5"/>
    <n v="0"/>
    <n v="2"/>
    <n v="41"/>
    <s v="Jerrod Coleman"/>
    <s v="Collections Group"/>
    <d v="2025-02-26T00:00:00"/>
    <d v="1899-12-30T14:01:36"/>
    <d v="1899-12-30T18:59:35"/>
    <n v="4.97"/>
    <n v="4.97"/>
    <n v="0.81"/>
    <n v="0.06"/>
    <n v="0"/>
    <n v="0.2"/>
    <n v="3.4"/>
    <n v="0.49"/>
    <n v="0"/>
    <n v="0"/>
    <n v="0"/>
    <n v="0"/>
    <n v="4.97"/>
    <n v="16.39"/>
    <n v="1.1299999999999999"/>
    <n v="0"/>
    <n v="4.13"/>
    <n v="68.38"/>
    <n v="9.89"/>
    <n v="0"/>
    <n v="0"/>
    <n v="0"/>
    <n v="0.08"/>
    <n v="4"/>
    <x v="0"/>
  </r>
  <r>
    <x v="4"/>
    <x v="234"/>
    <x v="12"/>
    <x v="90"/>
    <n v="35"/>
    <n v="2"/>
    <n v="2"/>
    <n v="3"/>
    <n v="0"/>
    <n v="1"/>
    <n v="22"/>
    <s v="Rosette Rwabugahya"/>
    <s v="Collections Group"/>
    <d v="2025-02-26T00:00:00"/>
    <d v="1899-12-30T14:00:25"/>
    <d v="1899-12-30T23:00:50"/>
    <n v="9"/>
    <n v="9.01"/>
    <n v="0.73"/>
    <n v="0.82"/>
    <n v="0"/>
    <n v="0.18"/>
    <n v="4.18"/>
    <n v="1.46"/>
    <n v="1.64"/>
    <n v="0"/>
    <n v="0"/>
    <n v="0.01"/>
    <n v="9.01"/>
    <n v="8.07"/>
    <n v="9.08"/>
    <n v="0"/>
    <n v="2.0299999999999998"/>
    <n v="46.37"/>
    <n v="16.22"/>
    <n v="18.16"/>
    <n v="0"/>
    <n v="0"/>
    <n v="0.06"/>
    <n v="4"/>
    <x v="0"/>
  </r>
  <r>
    <x v="5"/>
    <x v="234"/>
    <x v="12"/>
    <x v="56"/>
    <n v="126"/>
    <n v="4"/>
    <n v="5"/>
    <n v="27"/>
    <n v="0"/>
    <n v="1"/>
    <n v="57"/>
    <s v="Sabigh Masood"/>
    <s v="Collections Group"/>
    <d v="2025-02-26T00:00:00"/>
    <d v="1899-12-30T13:58:27"/>
    <d v="1899-12-30T23:03:25"/>
    <n v="9.08"/>
    <n v="9.08"/>
    <n v="1.17"/>
    <n v="0.26"/>
    <n v="0"/>
    <n v="0.5"/>
    <n v="5.44"/>
    <n v="1.49"/>
    <n v="0.23"/>
    <n v="0"/>
    <n v="0"/>
    <n v="0"/>
    <n v="9.08"/>
    <n v="12.9"/>
    <n v="2.83"/>
    <n v="0"/>
    <n v="5.45"/>
    <n v="59.93"/>
    <n v="16.36"/>
    <n v="2.48"/>
    <n v="0"/>
    <n v="0"/>
    <n v="0.04"/>
    <n v="4"/>
    <x v="0"/>
  </r>
  <r>
    <x v="6"/>
    <x v="234"/>
    <x v="12"/>
    <x v="303"/>
    <n v="0"/>
    <n v="0"/>
    <n v="0"/>
    <n v="0"/>
    <n v="0"/>
    <n v="0"/>
    <n v="0"/>
    <m/>
    <m/>
    <m/>
    <m/>
    <m/>
    <m/>
    <m/>
    <m/>
    <m/>
    <m/>
    <m/>
    <m/>
    <m/>
    <m/>
    <m/>
    <m/>
    <m/>
    <m/>
    <m/>
    <m/>
    <m/>
    <m/>
    <m/>
    <m/>
    <m/>
    <m/>
    <m/>
    <m/>
    <n v="4"/>
    <x v="0"/>
  </r>
  <r>
    <x v="0"/>
    <x v="235"/>
    <x v="12"/>
    <x v="56"/>
    <n v="75"/>
    <n v="3"/>
    <n v="2"/>
    <n v="10"/>
    <n v="3"/>
    <n v="0"/>
    <n v="37"/>
    <s v="Anais Orozco"/>
    <s v="Collections Group"/>
    <d v="2025-02-25T00:00:00"/>
    <d v="1899-12-30T14:01:10"/>
    <d v="1899-12-30T23:00:57"/>
    <n v="8.98"/>
    <n v="7.9"/>
    <n v="1.87"/>
    <n v="0.78"/>
    <n v="0"/>
    <n v="0.46"/>
    <n v="4.32"/>
    <n v="0.16"/>
    <n v="0.14000000000000001"/>
    <n v="0"/>
    <n v="0"/>
    <n v="0.17"/>
    <n v="7.9"/>
    <n v="23.69"/>
    <n v="9.84"/>
    <n v="0"/>
    <n v="5.8"/>
    <n v="54.72"/>
    <n v="2.06"/>
    <n v="1.71"/>
    <n v="0"/>
    <n v="0"/>
    <n v="2.1800000000000002"/>
    <n v="3"/>
    <x v="1"/>
  </r>
  <r>
    <x v="1"/>
    <x v="235"/>
    <x v="12"/>
    <x v="42"/>
    <n v="90"/>
    <n v="16"/>
    <n v="11"/>
    <n v="5"/>
    <n v="4"/>
    <n v="1"/>
    <n v="44"/>
    <s v="Derice Warnsley"/>
    <s v="Collections Group"/>
    <d v="2025-02-25T00:00:00"/>
    <d v="1899-12-30T14:00:07"/>
    <d v="1899-12-30T23:00:06"/>
    <n v="9"/>
    <n v="9"/>
    <n v="2.7"/>
    <n v="0.1"/>
    <n v="0"/>
    <n v="0.05"/>
    <n v="4.6500000000000004"/>
    <n v="1.5"/>
    <n v="0"/>
    <n v="0"/>
    <n v="0"/>
    <n v="0"/>
    <n v="9"/>
    <n v="30.02"/>
    <n v="1.0900000000000001"/>
    <n v="0"/>
    <n v="0.51"/>
    <n v="51.69"/>
    <n v="16.649999999999999"/>
    <n v="0"/>
    <n v="0"/>
    <n v="0"/>
    <n v="0.04"/>
    <n v="3"/>
    <x v="1"/>
  </r>
  <r>
    <x v="3"/>
    <x v="235"/>
    <x v="12"/>
    <x v="40"/>
    <n v="94"/>
    <n v="9"/>
    <n v="2"/>
    <n v="2"/>
    <n v="0"/>
    <n v="2"/>
    <n v="50"/>
    <s v="Jerrod Coleman"/>
    <s v="Collections Group"/>
    <d v="2025-02-25T00:00:00"/>
    <d v="1899-12-30T15:19:46"/>
    <d v="1899-12-30T23:00:58"/>
    <n v="7.68"/>
    <n v="7.69"/>
    <n v="1"/>
    <n v="0"/>
    <n v="0"/>
    <n v="0.23"/>
    <n v="4.97"/>
    <n v="1.47"/>
    <n v="0"/>
    <n v="0"/>
    <n v="0.02"/>
    <n v="0"/>
    <n v="7.69"/>
    <n v="13.05"/>
    <n v="0"/>
    <n v="0"/>
    <n v="2.96"/>
    <n v="64.61"/>
    <n v="19.05"/>
    <n v="0"/>
    <n v="0"/>
    <n v="0.27"/>
    <n v="0.05"/>
    <n v="3"/>
    <x v="1"/>
  </r>
  <r>
    <x v="4"/>
    <x v="235"/>
    <x v="12"/>
    <x v="109"/>
    <n v="27"/>
    <n v="4"/>
    <n v="1"/>
    <n v="1"/>
    <n v="1"/>
    <n v="1"/>
    <n v="15"/>
    <s v="Rosette Rwabugahya"/>
    <s v="Collections Group"/>
    <d v="2025-02-25T00:00:00"/>
    <d v="1899-12-30T14:00:33"/>
    <d v="1899-12-30T23:00:07"/>
    <n v="9"/>
    <n v="8.99"/>
    <n v="1.1599999999999999"/>
    <n v="0.34"/>
    <n v="0"/>
    <n v="0.35"/>
    <n v="3.66"/>
    <n v="1.46"/>
    <n v="2.0099999999999998"/>
    <n v="0"/>
    <n v="0"/>
    <n v="0.01"/>
    <n v="8.99"/>
    <n v="12.92"/>
    <n v="3.79"/>
    <n v="0"/>
    <n v="3.9"/>
    <n v="40.729999999999997"/>
    <n v="16.25"/>
    <n v="22.36"/>
    <n v="0"/>
    <n v="0"/>
    <n v="0.06"/>
    <n v="3"/>
    <x v="1"/>
  </r>
  <r>
    <x v="5"/>
    <x v="235"/>
    <x v="12"/>
    <x v="41"/>
    <n v="127"/>
    <n v="8"/>
    <n v="0"/>
    <n v="4"/>
    <n v="0"/>
    <n v="1"/>
    <n v="77"/>
    <s v="Sabigh Masood"/>
    <s v="Collections Group"/>
    <d v="2025-02-25T00:00:00"/>
    <d v="1899-12-30T13:59:26"/>
    <d v="1899-12-30T23:01:05"/>
    <n v="9.0299999999999994"/>
    <n v="9.02"/>
    <n v="0.99"/>
    <n v="0.39"/>
    <n v="0"/>
    <n v="0.59"/>
    <n v="5.18"/>
    <n v="1.45"/>
    <n v="0.41"/>
    <n v="0"/>
    <n v="0"/>
    <n v="0"/>
    <n v="9.02"/>
    <n v="11"/>
    <n v="4.32"/>
    <n v="0"/>
    <n v="6.53"/>
    <n v="57.45"/>
    <n v="16.11"/>
    <n v="4.55"/>
    <n v="0"/>
    <n v="0"/>
    <n v="0.04"/>
    <n v="3"/>
    <x v="1"/>
  </r>
  <r>
    <x v="6"/>
    <x v="235"/>
    <x v="12"/>
    <x v="304"/>
    <n v="0"/>
    <n v="0"/>
    <n v="0"/>
    <n v="0"/>
    <n v="0"/>
    <n v="0"/>
    <n v="0"/>
    <m/>
    <m/>
    <m/>
    <m/>
    <m/>
    <m/>
    <m/>
    <m/>
    <m/>
    <m/>
    <m/>
    <m/>
    <m/>
    <m/>
    <m/>
    <m/>
    <m/>
    <m/>
    <m/>
    <m/>
    <m/>
    <m/>
    <m/>
    <m/>
    <m/>
    <m/>
    <m/>
    <m/>
    <n v="3"/>
    <x v="1"/>
  </r>
  <r>
    <x v="0"/>
    <x v="236"/>
    <x v="12"/>
    <x v="78"/>
    <n v="92"/>
    <n v="3"/>
    <n v="8"/>
    <n v="6"/>
    <n v="0"/>
    <n v="0"/>
    <n v="52"/>
    <s v="Anais Orozco"/>
    <s v="Collections Group"/>
    <d v="2025-02-24T00:00:00"/>
    <d v="1899-12-30T14:01:25"/>
    <d v="1899-12-30T23:02:12"/>
    <n v="9.02"/>
    <n v="8.07"/>
    <n v="2.0499999999999998"/>
    <n v="0.13"/>
    <n v="0"/>
    <n v="0.23"/>
    <n v="5.12"/>
    <n v="0.53"/>
    <n v="0"/>
    <n v="0"/>
    <n v="0"/>
    <n v="0.01"/>
    <n v="8.07"/>
    <n v="25.44"/>
    <n v="1.57"/>
    <n v="0"/>
    <n v="2.82"/>
    <n v="63.47"/>
    <n v="6.58"/>
    <n v="0"/>
    <n v="0"/>
    <n v="0"/>
    <n v="0.11"/>
    <n v="2"/>
    <x v="2"/>
  </r>
  <r>
    <x v="1"/>
    <x v="236"/>
    <x v="12"/>
    <x v="89"/>
    <n v="67"/>
    <n v="6"/>
    <n v="5"/>
    <n v="3"/>
    <n v="0"/>
    <n v="2"/>
    <n v="31"/>
    <s v="Derice Warnsley"/>
    <s v="Collections Group"/>
    <d v="2025-02-24T00:00:00"/>
    <d v="1899-12-30T14:00:45"/>
    <d v="1899-12-30T23:00:10"/>
    <n v="9"/>
    <n v="8.99"/>
    <n v="1.32"/>
    <n v="0.19"/>
    <n v="0"/>
    <n v="0.09"/>
    <n v="5.48"/>
    <n v="1.47"/>
    <n v="0.45"/>
    <n v="0"/>
    <n v="0"/>
    <n v="0"/>
    <n v="8.99"/>
    <n v="14.64"/>
    <n v="2.12"/>
    <n v="0"/>
    <n v="0.95"/>
    <n v="60.94"/>
    <n v="16.32"/>
    <n v="4.9800000000000004"/>
    <n v="0"/>
    <n v="0"/>
    <n v="0.05"/>
    <n v="2"/>
    <x v="2"/>
  </r>
  <r>
    <x v="3"/>
    <x v="236"/>
    <x v="12"/>
    <x v="64"/>
    <n v="82"/>
    <n v="2"/>
    <n v="2"/>
    <n v="2"/>
    <n v="0"/>
    <n v="0"/>
    <n v="59"/>
    <s v="Jerrod Coleman"/>
    <s v="Collections Group"/>
    <d v="2025-02-24T00:00:00"/>
    <d v="1899-12-30T14:02:43"/>
    <d v="1899-12-30T23:00:11"/>
    <n v="8.9700000000000006"/>
    <n v="8.94"/>
    <n v="0.95"/>
    <n v="0.12"/>
    <n v="0"/>
    <n v="0.28999999999999998"/>
    <n v="6.06"/>
    <n v="1.47"/>
    <n v="0"/>
    <n v="0"/>
    <n v="0.01"/>
    <n v="0.04"/>
    <n v="8.94"/>
    <n v="10.65"/>
    <n v="1.33"/>
    <n v="0"/>
    <n v="3.25"/>
    <n v="67.75"/>
    <n v="16.489999999999998"/>
    <n v="0"/>
    <n v="0"/>
    <n v="0.09"/>
    <n v="0.44"/>
    <n v="2"/>
    <x v="2"/>
  </r>
  <r>
    <x v="4"/>
    <x v="236"/>
    <x v="12"/>
    <x v="73"/>
    <n v="28"/>
    <n v="2"/>
    <n v="0"/>
    <n v="2"/>
    <n v="0"/>
    <n v="0"/>
    <n v="19"/>
    <s v="Rosette Rwabugahya"/>
    <s v="Collections Group"/>
    <d v="2025-02-24T00:00:00"/>
    <d v="1899-12-30T13:59:30"/>
    <d v="1899-12-30T23:01:17"/>
    <n v="9.0299999999999994"/>
    <n v="9.0299999999999994"/>
    <n v="1.33"/>
    <n v="0.24"/>
    <n v="0"/>
    <n v="0.23"/>
    <n v="3.64"/>
    <n v="1.48"/>
    <n v="2.11"/>
    <n v="0"/>
    <n v="0"/>
    <n v="0.01"/>
    <n v="9.0299999999999994"/>
    <n v="14.73"/>
    <n v="2.68"/>
    <n v="0"/>
    <n v="2.56"/>
    <n v="40.26"/>
    <n v="16.37"/>
    <n v="23.33"/>
    <n v="0"/>
    <n v="0"/>
    <n v="0.08"/>
    <n v="2"/>
    <x v="2"/>
  </r>
  <r>
    <x v="5"/>
    <x v="236"/>
    <x v="12"/>
    <x v="23"/>
    <n v="92"/>
    <n v="6"/>
    <n v="4"/>
    <n v="4"/>
    <n v="1"/>
    <n v="0"/>
    <n v="52"/>
    <s v="Sabigh Masood"/>
    <s v="Collections Group"/>
    <d v="2025-02-24T00:00:00"/>
    <d v="1899-12-30T13:59:10"/>
    <d v="1899-12-30T23:01:18"/>
    <n v="9.0299999999999994"/>
    <n v="9.0399999999999991"/>
    <n v="1.49"/>
    <n v="0.28999999999999998"/>
    <n v="0"/>
    <n v="0.28999999999999998"/>
    <n v="5.35"/>
    <n v="1.44"/>
    <n v="0.17"/>
    <n v="0"/>
    <n v="0"/>
    <n v="0"/>
    <n v="9.0399999999999991"/>
    <n v="16.48"/>
    <n v="3.26"/>
    <n v="0"/>
    <n v="3.21"/>
    <n v="59.17"/>
    <n v="15.97"/>
    <n v="1.87"/>
    <n v="0"/>
    <n v="0"/>
    <n v="0.04"/>
    <n v="2"/>
    <x v="2"/>
  </r>
  <r>
    <x v="6"/>
    <x v="236"/>
    <x v="12"/>
    <x v="305"/>
    <n v="0"/>
    <n v="0"/>
    <n v="0"/>
    <n v="0"/>
    <n v="0"/>
    <n v="0"/>
    <n v="0"/>
    <m/>
    <m/>
    <m/>
    <m/>
    <m/>
    <m/>
    <m/>
    <m/>
    <m/>
    <m/>
    <m/>
    <m/>
    <m/>
    <m/>
    <m/>
    <m/>
    <m/>
    <m/>
    <m/>
    <m/>
    <m/>
    <m/>
    <m/>
    <m/>
    <m/>
    <m/>
    <m/>
    <m/>
    <n v="2"/>
    <x v="2"/>
  </r>
  <r>
    <x v="0"/>
    <x v="237"/>
    <x v="12"/>
    <x v="108"/>
    <n v="47"/>
    <n v="5"/>
    <n v="2"/>
    <n v="0"/>
    <n v="0"/>
    <n v="2"/>
    <n v="27"/>
    <s v="Anais Orozco"/>
    <s v="Collections Group"/>
    <d v="2025-02-21T00:00:00"/>
    <d v="1899-12-30T13:59:21"/>
    <d v="1899-12-30T23:00:08"/>
    <n v="9.02"/>
    <n v="8.09"/>
    <n v="0.77"/>
    <n v="0.06"/>
    <n v="0"/>
    <n v="0.2"/>
    <n v="5.8"/>
    <n v="0.06"/>
    <n v="1.1499999999999999"/>
    <n v="0"/>
    <n v="0"/>
    <n v="0.04"/>
    <n v="8.09"/>
    <n v="9.56"/>
    <n v="0.72"/>
    <n v="0"/>
    <n v="2.4900000000000002"/>
    <n v="71.72"/>
    <n v="0.77"/>
    <n v="14.22"/>
    <n v="0"/>
    <n v="0"/>
    <n v="0.53"/>
    <n v="6"/>
    <x v="3"/>
  </r>
  <r>
    <x v="1"/>
    <x v="237"/>
    <x v="12"/>
    <x v="75"/>
    <n v="60"/>
    <n v="6"/>
    <n v="4"/>
    <n v="4"/>
    <n v="0"/>
    <n v="0"/>
    <n v="35"/>
    <s v="Derice Warnsley"/>
    <s v="Collections Group"/>
    <d v="2025-02-21T00:00:00"/>
    <d v="1899-12-30T14:00:23"/>
    <d v="1899-12-30T23:00:47"/>
    <n v="9"/>
    <n v="9.01"/>
    <n v="1.59"/>
    <n v="0.1"/>
    <n v="0"/>
    <n v="0.06"/>
    <n v="5.79"/>
    <n v="1.46"/>
    <n v="0"/>
    <n v="0"/>
    <n v="0"/>
    <n v="0"/>
    <n v="9.01"/>
    <n v="17.66"/>
    <n v="1.1499999999999999"/>
    <n v="0"/>
    <n v="0.62"/>
    <n v="64.3"/>
    <n v="16.22"/>
    <n v="0"/>
    <n v="0"/>
    <n v="0"/>
    <n v="0.05"/>
    <n v="6"/>
    <x v="3"/>
  </r>
  <r>
    <x v="3"/>
    <x v="237"/>
    <x v="12"/>
    <x v="40"/>
    <n v="82"/>
    <n v="1"/>
    <n v="3"/>
    <n v="1"/>
    <n v="0"/>
    <n v="0"/>
    <n v="49"/>
    <s v="Jerrod Coleman"/>
    <s v="Collections Group"/>
    <d v="2025-02-21T00:00:00"/>
    <d v="1899-12-30T14:03:58"/>
    <d v="1899-12-30T22:58:36"/>
    <n v="8.92"/>
    <n v="8.91"/>
    <n v="0.72"/>
    <n v="0.05"/>
    <n v="0"/>
    <n v="0.15"/>
    <n v="6.5"/>
    <n v="1.48"/>
    <n v="0"/>
    <n v="0"/>
    <n v="0"/>
    <n v="0"/>
    <n v="8.91"/>
    <n v="8.11"/>
    <n v="0.59"/>
    <n v="0"/>
    <n v="1.72"/>
    <n v="72.95"/>
    <n v="16.579999999999998"/>
    <n v="0"/>
    <n v="0"/>
    <n v="0"/>
    <n v="0.04"/>
    <n v="6"/>
    <x v="3"/>
  </r>
  <r>
    <x v="4"/>
    <x v="237"/>
    <x v="12"/>
    <x v="109"/>
    <n v="29"/>
    <n v="4"/>
    <n v="0"/>
    <n v="1"/>
    <n v="0"/>
    <n v="0"/>
    <n v="18"/>
    <s v="Rosette Rwabugahya"/>
    <s v="Collections Group"/>
    <d v="2025-02-21T00:00:00"/>
    <d v="1899-12-30T14:01:09"/>
    <d v="1899-12-30T23:03:07"/>
    <n v="9.0299999999999994"/>
    <n v="9.0299999999999994"/>
    <n v="1.49"/>
    <n v="0.28999999999999998"/>
    <n v="0"/>
    <n v="0.26"/>
    <n v="4.25"/>
    <n v="1.5"/>
    <n v="1.24"/>
    <n v="0"/>
    <n v="0"/>
    <n v="0.01"/>
    <n v="9.0299999999999994"/>
    <n v="16.47"/>
    <n v="3.2"/>
    <n v="0"/>
    <n v="2.88"/>
    <n v="47.05"/>
    <n v="16.63"/>
    <n v="13.7"/>
    <n v="0"/>
    <n v="0"/>
    <n v="0.06"/>
    <n v="6"/>
    <x v="3"/>
  </r>
  <r>
    <x v="5"/>
    <x v="237"/>
    <x v="12"/>
    <x v="69"/>
    <n v="70"/>
    <n v="3"/>
    <n v="1"/>
    <n v="13"/>
    <n v="0"/>
    <n v="1"/>
    <n v="36"/>
    <s v="Sabigh Masood"/>
    <s v="Collections Group"/>
    <d v="2025-02-21T00:00:00"/>
    <d v="1899-12-30T14:01:24"/>
    <d v="1899-12-30T23:01:18"/>
    <n v="9"/>
    <n v="9"/>
    <n v="0.69"/>
    <n v="0.15"/>
    <n v="0"/>
    <n v="0.3"/>
    <n v="5.66"/>
    <n v="1.97"/>
    <n v="0.22"/>
    <n v="0"/>
    <n v="0"/>
    <n v="0"/>
    <n v="9"/>
    <n v="7.7"/>
    <n v="1.64"/>
    <n v="0"/>
    <n v="3.33"/>
    <n v="62.87"/>
    <n v="21.91"/>
    <n v="2.5"/>
    <n v="0"/>
    <n v="0"/>
    <n v="0.05"/>
    <n v="6"/>
    <x v="3"/>
  </r>
  <r>
    <x v="6"/>
    <x v="237"/>
    <x v="12"/>
    <x v="306"/>
    <n v="0"/>
    <n v="0"/>
    <n v="0"/>
    <n v="0"/>
    <n v="0"/>
    <n v="0"/>
    <n v="0"/>
    <m/>
    <m/>
    <m/>
    <m/>
    <m/>
    <m/>
    <m/>
    <m/>
    <m/>
    <m/>
    <m/>
    <m/>
    <m/>
    <m/>
    <m/>
    <m/>
    <m/>
    <m/>
    <m/>
    <m/>
    <m/>
    <m/>
    <m/>
    <m/>
    <m/>
    <m/>
    <m/>
    <m/>
    <n v="6"/>
    <x v="3"/>
  </r>
  <r>
    <x v="0"/>
    <x v="238"/>
    <x v="12"/>
    <x v="118"/>
    <n v="70"/>
    <n v="9"/>
    <n v="5"/>
    <n v="3"/>
    <n v="0"/>
    <n v="0"/>
    <n v="39"/>
    <s v="Anais Orozco"/>
    <s v="Collections Group"/>
    <d v="2025-02-20T00:00:00"/>
    <d v="1899-12-30T14:00:35"/>
    <d v="1899-12-30T23:00:26"/>
    <n v="9"/>
    <n v="8.07"/>
    <n v="1.19"/>
    <n v="0.33"/>
    <n v="0"/>
    <n v="0.25"/>
    <n v="5.18"/>
    <n v="0.24"/>
    <n v="0.84"/>
    <n v="0"/>
    <n v="0"/>
    <n v="0.04"/>
    <n v="8.07"/>
    <n v="14.76"/>
    <n v="4.0999999999999996"/>
    <n v="0"/>
    <n v="3.1"/>
    <n v="64.150000000000006"/>
    <n v="2.93"/>
    <n v="10.43"/>
    <n v="0"/>
    <n v="0"/>
    <n v="0.52"/>
    <n v="5"/>
    <x v="4"/>
  </r>
  <r>
    <x v="1"/>
    <x v="238"/>
    <x v="12"/>
    <x v="75"/>
    <n v="64"/>
    <n v="8"/>
    <n v="5"/>
    <n v="0"/>
    <n v="0"/>
    <n v="0"/>
    <n v="34"/>
    <s v="Derice Warnsley"/>
    <s v="Collections Group"/>
    <d v="2025-02-20T00:00:00"/>
    <d v="1899-12-30T14:00:13"/>
    <d v="1899-12-30T23:00:03"/>
    <n v="9"/>
    <n v="9"/>
    <n v="1.42"/>
    <n v="0"/>
    <n v="0"/>
    <n v="0.03"/>
    <n v="5.0999999999999996"/>
    <n v="1.49"/>
    <n v="0.94"/>
    <n v="0"/>
    <n v="0"/>
    <n v="0.01"/>
    <n v="9"/>
    <n v="15.79"/>
    <n v="0"/>
    <n v="0"/>
    <n v="0.34"/>
    <n v="56.75"/>
    <n v="16.62"/>
    <n v="10.46"/>
    <n v="0"/>
    <n v="0"/>
    <n v="0.06"/>
    <n v="5"/>
    <x v="4"/>
  </r>
  <r>
    <x v="3"/>
    <x v="238"/>
    <x v="12"/>
    <x v="39"/>
    <n v="106"/>
    <n v="5"/>
    <n v="9"/>
    <n v="4"/>
    <n v="0"/>
    <n v="0"/>
    <n v="67"/>
    <s v="Jerrod Coleman"/>
    <s v="Collections Group"/>
    <d v="2025-02-20T00:00:00"/>
    <d v="1899-12-30T14:03:13"/>
    <d v="1899-12-30T22:58:51"/>
    <n v="8.92"/>
    <n v="8.93"/>
    <n v="1.18"/>
    <n v="0"/>
    <n v="0"/>
    <n v="0.18"/>
    <n v="4.54"/>
    <n v="1.46"/>
    <n v="1.56"/>
    <n v="0"/>
    <n v="0"/>
    <n v="0"/>
    <n v="8.93"/>
    <n v="13.22"/>
    <n v="0"/>
    <n v="0"/>
    <n v="2.0499999999999998"/>
    <n v="50.85"/>
    <n v="16.39"/>
    <n v="17.45"/>
    <n v="0"/>
    <n v="0"/>
    <n v="0.04"/>
    <n v="5"/>
    <x v="4"/>
  </r>
  <r>
    <x v="4"/>
    <x v="238"/>
    <x v="12"/>
    <x v="90"/>
    <n v="31"/>
    <n v="2"/>
    <n v="2"/>
    <n v="4"/>
    <n v="1"/>
    <n v="0"/>
    <n v="13"/>
    <s v="Rosette Rwabugahya"/>
    <s v="Collections Group"/>
    <d v="2025-02-20T00:00:00"/>
    <d v="1899-12-30T14:01:13"/>
    <d v="1899-12-30T23:01:34"/>
    <n v="9"/>
    <n v="9.01"/>
    <n v="1.21"/>
    <n v="0.49"/>
    <n v="0"/>
    <n v="0.28999999999999998"/>
    <n v="3.4"/>
    <n v="1.46"/>
    <n v="2.15"/>
    <n v="0"/>
    <n v="0"/>
    <n v="0.01"/>
    <n v="9.01"/>
    <n v="13.45"/>
    <n v="5.46"/>
    <n v="0"/>
    <n v="3.19"/>
    <n v="37.72"/>
    <n v="16.239999999999998"/>
    <n v="23.88"/>
    <n v="0"/>
    <n v="0"/>
    <n v="0.06"/>
    <n v="5"/>
    <x v="4"/>
  </r>
  <r>
    <x v="5"/>
    <x v="238"/>
    <x v="12"/>
    <x v="18"/>
    <n v="80"/>
    <n v="4"/>
    <n v="5"/>
    <n v="0"/>
    <n v="0"/>
    <n v="0"/>
    <n v="49"/>
    <s v="Sabigh Masood"/>
    <s v="Collections Group"/>
    <d v="2025-02-20T00:00:00"/>
    <d v="1899-12-30T13:58:12"/>
    <d v="1899-12-30T19:00:02"/>
    <n v="5.03"/>
    <n v="5.03"/>
    <n v="0.59"/>
    <n v="0.08"/>
    <n v="0"/>
    <n v="0.15"/>
    <n v="3.13"/>
    <n v="0.23"/>
    <n v="0.85"/>
    <n v="0"/>
    <n v="0"/>
    <n v="0.01"/>
    <n v="5.03"/>
    <n v="11.75"/>
    <n v="1.5"/>
    <n v="0"/>
    <n v="2.96"/>
    <n v="62.22"/>
    <n v="4.55"/>
    <n v="16.920000000000002"/>
    <n v="0"/>
    <n v="0"/>
    <n v="0.1"/>
    <n v="5"/>
    <x v="4"/>
  </r>
  <r>
    <x v="6"/>
    <x v="238"/>
    <x v="12"/>
    <x v="307"/>
    <n v="0"/>
    <n v="0"/>
    <n v="0"/>
    <n v="0"/>
    <n v="0"/>
    <n v="0"/>
    <n v="0"/>
    <m/>
    <m/>
    <m/>
    <m/>
    <m/>
    <m/>
    <m/>
    <m/>
    <m/>
    <m/>
    <m/>
    <m/>
    <m/>
    <m/>
    <m/>
    <m/>
    <m/>
    <m/>
    <m/>
    <m/>
    <m/>
    <m/>
    <m/>
    <m/>
    <m/>
    <m/>
    <m/>
    <m/>
    <n v="5"/>
    <x v="4"/>
  </r>
  <r>
    <x v="0"/>
    <x v="239"/>
    <x v="12"/>
    <x v="41"/>
    <n v="117"/>
    <n v="1"/>
    <n v="11"/>
    <n v="10"/>
    <n v="1"/>
    <n v="1"/>
    <n v="64"/>
    <s v="Anais Orozco"/>
    <s v="Collections Group"/>
    <d v="2025-02-19T00:00:00"/>
    <d v="1899-12-30T13:59:29"/>
    <d v="1899-12-30T23:00:17"/>
    <n v="9.02"/>
    <n v="8.07"/>
    <n v="1.41"/>
    <n v="0.06"/>
    <n v="0"/>
    <n v="0.32"/>
    <n v="5.12"/>
    <n v="0.08"/>
    <n v="1.03"/>
    <n v="0"/>
    <n v="0"/>
    <n v="0.03"/>
    <n v="8.07"/>
    <n v="17.5"/>
    <n v="0.78"/>
    <n v="0"/>
    <n v="3.99"/>
    <n v="63.47"/>
    <n v="1.02"/>
    <n v="12.8"/>
    <n v="0"/>
    <n v="0"/>
    <n v="0.43"/>
    <n v="4"/>
    <x v="0"/>
  </r>
  <r>
    <x v="1"/>
    <x v="239"/>
    <x v="12"/>
    <x v="18"/>
    <n v="86"/>
    <n v="3"/>
    <n v="10"/>
    <n v="18"/>
    <n v="0"/>
    <n v="2"/>
    <n v="31"/>
    <s v="Derice Warnsley"/>
    <s v="Collections Group"/>
    <d v="2025-02-19T00:00:00"/>
    <d v="1899-12-30T14:00:54"/>
    <d v="1899-12-30T23:00:04"/>
    <n v="9"/>
    <n v="8.99"/>
    <n v="2.64"/>
    <n v="0.17"/>
    <n v="0"/>
    <n v="7.0000000000000007E-2"/>
    <n v="3.59"/>
    <n v="1.47"/>
    <n v="1.03"/>
    <n v="0"/>
    <n v="0"/>
    <n v="0"/>
    <n v="8.99"/>
    <n v="29.42"/>
    <n v="1.92"/>
    <n v="0"/>
    <n v="0.83"/>
    <n v="39.99"/>
    <n v="16.36"/>
    <n v="11.43"/>
    <n v="0"/>
    <n v="0"/>
    <n v="0.04"/>
    <n v="4"/>
    <x v="0"/>
  </r>
  <r>
    <x v="18"/>
    <x v="239"/>
    <x v="12"/>
    <x v="13"/>
    <n v="3"/>
    <n v="0"/>
    <n v="0"/>
    <n v="3"/>
    <n v="0"/>
    <n v="0"/>
    <n v="0"/>
    <s v="Jam Henderson"/>
    <s v="Collections Group"/>
    <d v="2025-02-19T00:00:00"/>
    <d v="1899-12-30T14:14:29"/>
    <d v="1899-12-30T19:07:41"/>
    <n v="4.88"/>
    <n v="4.8899999999999997"/>
    <n v="0.53"/>
    <n v="0"/>
    <n v="0"/>
    <n v="0.09"/>
    <n v="7.0000000000000007E-2"/>
    <n v="0"/>
    <n v="0"/>
    <n v="0"/>
    <n v="4.1500000000000004"/>
    <n v="0.05"/>
    <n v="4.8899999999999997"/>
    <n v="10.9"/>
    <n v="0"/>
    <n v="0"/>
    <n v="1.76"/>
    <n v="1.5"/>
    <n v="0"/>
    <n v="0"/>
    <n v="0"/>
    <n v="84.87"/>
    <n v="0.98"/>
    <n v="4"/>
    <x v="0"/>
  </r>
  <r>
    <x v="3"/>
    <x v="239"/>
    <x v="12"/>
    <x v="31"/>
    <n v="134"/>
    <n v="2"/>
    <n v="10"/>
    <n v="11"/>
    <n v="2"/>
    <n v="1"/>
    <n v="91"/>
    <s v="Jerrod Coleman"/>
    <s v="Collections Group"/>
    <d v="2025-02-19T00:00:00"/>
    <d v="1899-12-30T14:01:39"/>
    <d v="1899-12-30T22:58:47"/>
    <n v="8.9499999999999993"/>
    <n v="8.9499999999999993"/>
    <n v="1.57"/>
    <n v="0"/>
    <n v="0"/>
    <n v="0.18"/>
    <n v="4.41"/>
    <n v="1.45"/>
    <n v="1.34"/>
    <n v="0"/>
    <n v="0"/>
    <n v="0"/>
    <n v="8.9499999999999993"/>
    <n v="17.5"/>
    <n v="0"/>
    <n v="0"/>
    <n v="2.0299999999999998"/>
    <n v="49.28"/>
    <n v="16.170000000000002"/>
    <n v="14.99"/>
    <n v="0"/>
    <n v="0"/>
    <n v="0.05"/>
    <n v="4"/>
    <x v="0"/>
  </r>
  <r>
    <x v="4"/>
    <x v="239"/>
    <x v="12"/>
    <x v="18"/>
    <n v="52"/>
    <n v="2"/>
    <n v="2"/>
    <n v="3"/>
    <n v="1"/>
    <n v="2"/>
    <n v="28"/>
    <s v="Rosette Rwabugahya"/>
    <s v="Collections Group"/>
    <d v="2025-02-19T00:00:00"/>
    <d v="1899-12-30T14:01:14"/>
    <d v="1899-12-30T23:00:01"/>
    <n v="8.98"/>
    <n v="8.98"/>
    <n v="1.85"/>
    <n v="0.59"/>
    <n v="0"/>
    <n v="0.4"/>
    <n v="3.53"/>
    <n v="1.5"/>
    <n v="1.1000000000000001"/>
    <n v="0"/>
    <n v="0"/>
    <n v="0.01"/>
    <n v="8.98"/>
    <n v="20.64"/>
    <n v="6.54"/>
    <n v="0"/>
    <n v="4.49"/>
    <n v="39.29"/>
    <n v="16.739999999999998"/>
    <n v="12.25"/>
    <n v="0"/>
    <n v="0"/>
    <n v="0.06"/>
    <n v="4"/>
    <x v="0"/>
  </r>
  <r>
    <x v="5"/>
    <x v="239"/>
    <x v="12"/>
    <x v="56"/>
    <n v="79"/>
    <n v="0"/>
    <n v="16"/>
    <n v="15"/>
    <n v="0"/>
    <n v="2"/>
    <n v="34"/>
    <s v="Sabigh Masood"/>
    <s v="Collections Group"/>
    <d v="2025-02-19T00:00:00"/>
    <d v="1899-12-30T13:59:16"/>
    <d v="1899-12-30T23:10:32"/>
    <n v="9.18"/>
    <n v="9.18"/>
    <n v="2.13"/>
    <n v="0"/>
    <n v="0"/>
    <n v="0.73"/>
    <n v="2.86"/>
    <n v="1.52"/>
    <n v="1.92"/>
    <n v="0"/>
    <n v="0"/>
    <n v="0.02"/>
    <n v="9.18"/>
    <n v="23.21"/>
    <n v="0"/>
    <n v="0"/>
    <n v="7.97"/>
    <n v="31.15"/>
    <n v="16.53"/>
    <n v="20.97"/>
    <n v="0"/>
    <n v="0"/>
    <n v="0.17"/>
    <n v="4"/>
    <x v="0"/>
  </r>
  <r>
    <x v="6"/>
    <x v="239"/>
    <x v="12"/>
    <x v="308"/>
    <n v="0"/>
    <n v="0"/>
    <n v="0"/>
    <n v="0"/>
    <n v="0"/>
    <n v="0"/>
    <n v="0"/>
    <m/>
    <m/>
    <m/>
    <m/>
    <m/>
    <m/>
    <m/>
    <m/>
    <m/>
    <m/>
    <m/>
    <m/>
    <m/>
    <m/>
    <m/>
    <m/>
    <m/>
    <m/>
    <m/>
    <m/>
    <m/>
    <m/>
    <m/>
    <m/>
    <m/>
    <m/>
    <m/>
    <m/>
    <n v="4"/>
    <x v="0"/>
  </r>
  <r>
    <x v="0"/>
    <x v="240"/>
    <x v="12"/>
    <x v="75"/>
    <n v="81"/>
    <n v="5"/>
    <n v="4"/>
    <n v="4"/>
    <n v="0"/>
    <n v="1"/>
    <n v="52"/>
    <s v="Anais Orozco"/>
    <s v="Collections Group"/>
    <d v="2025-02-18T00:00:00"/>
    <d v="1899-12-30T14:00:27"/>
    <d v="1899-12-30T23:00:06"/>
    <n v="9"/>
    <n v="9"/>
    <n v="1.37"/>
    <n v="0.14000000000000001"/>
    <n v="0"/>
    <n v="0.19"/>
    <n v="5.55"/>
    <n v="1.29"/>
    <n v="0.36"/>
    <n v="0"/>
    <n v="0"/>
    <n v="0.1"/>
    <n v="9"/>
    <n v="15.27"/>
    <n v="1.57"/>
    <n v="0"/>
    <n v="2.08"/>
    <n v="61.64"/>
    <n v="14.37"/>
    <n v="3.99"/>
    <n v="0"/>
    <n v="0"/>
    <n v="1.08"/>
    <n v="3"/>
    <x v="1"/>
  </r>
  <r>
    <x v="1"/>
    <x v="240"/>
    <x v="12"/>
    <x v="39"/>
    <n v="100"/>
    <n v="7"/>
    <n v="8"/>
    <n v="8"/>
    <n v="0"/>
    <n v="3"/>
    <n v="52"/>
    <s v="Derice Warnsley"/>
    <s v="Collections Group"/>
    <d v="2025-02-18T00:00:00"/>
    <d v="1899-12-30T14:00:31"/>
    <d v="1899-12-30T23:00:15"/>
    <n v="9"/>
    <n v="8.99"/>
    <n v="1.47"/>
    <n v="0.05"/>
    <n v="0"/>
    <n v="0.04"/>
    <n v="5.78"/>
    <n v="1.49"/>
    <n v="0.16"/>
    <n v="0"/>
    <n v="0"/>
    <n v="0"/>
    <n v="8.99"/>
    <n v="16.309999999999999"/>
    <n v="0.53"/>
    <n v="0"/>
    <n v="0.48"/>
    <n v="64.319999999999993"/>
    <n v="16.57"/>
    <n v="1.75"/>
    <n v="0"/>
    <n v="0"/>
    <n v="0.04"/>
    <n v="3"/>
    <x v="1"/>
  </r>
  <r>
    <x v="3"/>
    <x v="240"/>
    <x v="12"/>
    <x v="23"/>
    <n v="107"/>
    <n v="4"/>
    <n v="8"/>
    <n v="8"/>
    <n v="0"/>
    <n v="1"/>
    <n v="62"/>
    <s v="Jerrod Coleman"/>
    <s v="Collections Group"/>
    <d v="2025-02-18T00:00:00"/>
    <d v="1899-12-30T14:01:32"/>
    <d v="1899-12-30T22:59:40"/>
    <n v="8.9700000000000006"/>
    <n v="8.9700000000000006"/>
    <n v="1.03"/>
    <n v="0.04"/>
    <n v="0"/>
    <n v="0.19"/>
    <n v="6.25"/>
    <n v="1.46"/>
    <n v="0"/>
    <n v="0"/>
    <n v="0"/>
    <n v="0"/>
    <n v="8.9700000000000006"/>
    <n v="11.43"/>
    <n v="0.42"/>
    <n v="0"/>
    <n v="2.08"/>
    <n v="69.709999999999994"/>
    <n v="16.309999999999999"/>
    <n v="0"/>
    <n v="0"/>
    <n v="0"/>
    <n v="0.04"/>
    <n v="3"/>
    <x v="1"/>
  </r>
  <r>
    <x v="4"/>
    <x v="240"/>
    <x v="12"/>
    <x v="90"/>
    <n v="41"/>
    <n v="2"/>
    <n v="4"/>
    <n v="5"/>
    <n v="0"/>
    <n v="0"/>
    <n v="22"/>
    <s v="Rosette Rwabugahya"/>
    <s v="Collections Group"/>
    <d v="2025-02-18T00:00:00"/>
    <d v="1899-12-30T14:01:31"/>
    <d v="1899-12-30T23:07:59"/>
    <n v="9.1"/>
    <n v="9.11"/>
    <n v="2.15"/>
    <n v="0.46"/>
    <n v="0"/>
    <n v="0.4"/>
    <n v="4.6100000000000003"/>
    <n v="1.48"/>
    <n v="0"/>
    <n v="0"/>
    <n v="0"/>
    <n v="0.01"/>
    <n v="9.11"/>
    <n v="23.6"/>
    <n v="5.03"/>
    <n v="0"/>
    <n v="4.3899999999999997"/>
    <n v="50.63"/>
    <n v="16.28"/>
    <n v="0"/>
    <n v="0"/>
    <n v="0"/>
    <n v="0.06"/>
    <n v="3"/>
    <x v="1"/>
  </r>
  <r>
    <x v="5"/>
    <x v="240"/>
    <x v="12"/>
    <x v="42"/>
    <n v="105"/>
    <n v="3"/>
    <n v="5"/>
    <n v="9"/>
    <n v="0"/>
    <n v="1"/>
    <n v="60"/>
    <s v="Sabigh Masood"/>
    <s v="Collections Group"/>
    <d v="2025-02-18T00:00:00"/>
    <d v="1899-12-30T13:59:51"/>
    <d v="1899-12-30T23:02:51"/>
    <n v="9.0500000000000007"/>
    <n v="9.0500000000000007"/>
    <n v="1.82"/>
    <n v="0.17"/>
    <n v="0"/>
    <n v="0.36"/>
    <n v="4.97"/>
    <n v="1.49"/>
    <n v="0.23"/>
    <n v="0"/>
    <n v="0"/>
    <n v="0"/>
    <n v="9.0500000000000007"/>
    <n v="20.12"/>
    <n v="1.9"/>
    <n v="0"/>
    <n v="3.99"/>
    <n v="54.92"/>
    <n v="16.47"/>
    <n v="2.56"/>
    <n v="0"/>
    <n v="0"/>
    <n v="0.04"/>
    <n v="3"/>
    <x v="1"/>
  </r>
  <r>
    <x v="6"/>
    <x v="240"/>
    <x v="12"/>
    <x v="309"/>
    <n v="0"/>
    <n v="0"/>
    <n v="0"/>
    <n v="0"/>
    <n v="0"/>
    <n v="0"/>
    <n v="0"/>
    <m/>
    <m/>
    <m/>
    <m/>
    <m/>
    <m/>
    <m/>
    <m/>
    <m/>
    <m/>
    <m/>
    <m/>
    <m/>
    <m/>
    <m/>
    <m/>
    <m/>
    <m/>
    <m/>
    <m/>
    <m/>
    <m/>
    <m/>
    <m/>
    <m/>
    <m/>
    <m/>
    <m/>
    <n v="3"/>
    <x v="1"/>
  </r>
  <r>
    <x v="0"/>
    <x v="241"/>
    <x v="12"/>
    <x v="116"/>
    <n v="58"/>
    <n v="4"/>
    <n v="6"/>
    <n v="0"/>
    <n v="0"/>
    <n v="0"/>
    <n v="35"/>
    <s v="Anais Orozco"/>
    <s v="Collections Group"/>
    <d v="2025-02-14T00:00:00"/>
    <d v="1899-12-30T14:00:50"/>
    <d v="1899-12-30T23:00:26"/>
    <n v="9"/>
    <n v="8.08"/>
    <n v="1.36"/>
    <n v="0"/>
    <n v="0"/>
    <n v="0.18"/>
    <n v="6.4"/>
    <n v="0.08"/>
    <n v="0"/>
    <n v="0"/>
    <n v="0"/>
    <n v="0.05"/>
    <n v="8.08"/>
    <n v="16.87"/>
    <n v="0"/>
    <n v="0"/>
    <n v="2.21"/>
    <n v="79.3"/>
    <n v="0.99"/>
    <n v="0"/>
    <n v="0"/>
    <n v="0"/>
    <n v="0.63"/>
    <n v="6"/>
    <x v="3"/>
  </r>
  <r>
    <x v="1"/>
    <x v="241"/>
    <x v="12"/>
    <x v="52"/>
    <n v="70"/>
    <n v="4"/>
    <n v="2"/>
    <n v="4"/>
    <n v="0"/>
    <n v="0"/>
    <n v="45"/>
    <s v="Derice Warnsley"/>
    <s v="Collections Group"/>
    <d v="2025-02-14T00:00:00"/>
    <d v="1899-12-30T14:00:04"/>
    <d v="1899-12-30T23:00:02"/>
    <n v="9"/>
    <n v="9"/>
    <n v="1.44"/>
    <n v="0"/>
    <n v="0"/>
    <n v="0.05"/>
    <n v="6.03"/>
    <n v="1.47"/>
    <n v="0"/>
    <n v="0"/>
    <n v="0"/>
    <n v="0"/>
    <n v="9"/>
    <n v="16.03"/>
    <n v="0"/>
    <n v="0"/>
    <n v="0.56000000000000005"/>
    <n v="67.02"/>
    <n v="16.350000000000001"/>
    <n v="0"/>
    <n v="0"/>
    <n v="0"/>
    <n v="0.05"/>
    <n v="6"/>
    <x v="3"/>
  </r>
  <r>
    <x v="3"/>
    <x v="241"/>
    <x v="12"/>
    <x v="116"/>
    <n v="73"/>
    <n v="2"/>
    <n v="2"/>
    <n v="1"/>
    <n v="0"/>
    <n v="1"/>
    <n v="54"/>
    <s v="Jerrod Coleman"/>
    <s v="Collections Group"/>
    <d v="2025-02-14T00:00:00"/>
    <d v="1899-12-30T14:04:15"/>
    <d v="1899-12-30T19:58:19"/>
    <n v="5.9"/>
    <n v="5.9"/>
    <n v="0.59"/>
    <n v="0"/>
    <n v="0"/>
    <n v="0.08"/>
    <n v="4.4800000000000004"/>
    <n v="0.74"/>
    <n v="0"/>
    <n v="0"/>
    <n v="0"/>
    <n v="0.01"/>
    <n v="5.9"/>
    <n v="10.050000000000001"/>
    <n v="0"/>
    <n v="0"/>
    <n v="1.42"/>
    <n v="75.87"/>
    <n v="12.5"/>
    <n v="0"/>
    <n v="0"/>
    <n v="0"/>
    <n v="0.16"/>
    <n v="6"/>
    <x v="3"/>
  </r>
  <r>
    <x v="4"/>
    <x v="241"/>
    <x v="12"/>
    <x v="224"/>
    <n v="6"/>
    <n v="2"/>
    <n v="0"/>
    <n v="0"/>
    <n v="0"/>
    <n v="0"/>
    <n v="3"/>
    <s v="Rosette Rwabugahya"/>
    <s v="Collections Group"/>
    <d v="2025-02-14T00:00:00"/>
    <d v="1899-12-30T13:59:58"/>
    <d v="1899-12-30T17:00:40"/>
    <n v="3.02"/>
    <n v="3.01"/>
    <n v="0.56000000000000005"/>
    <n v="0.46"/>
    <n v="0"/>
    <n v="0.1"/>
    <n v="1.88"/>
    <n v="0"/>
    <n v="0"/>
    <n v="0"/>
    <n v="0"/>
    <n v="0"/>
    <n v="3.01"/>
    <n v="18.53"/>
    <n v="15.43"/>
    <n v="0"/>
    <n v="3.41"/>
    <n v="62.47"/>
    <n v="0"/>
    <n v="0"/>
    <n v="0"/>
    <n v="0"/>
    <n v="0.16"/>
    <n v="6"/>
    <x v="3"/>
  </r>
  <r>
    <x v="5"/>
    <x v="241"/>
    <x v="12"/>
    <x v="73"/>
    <n v="48"/>
    <n v="6"/>
    <n v="1"/>
    <n v="9"/>
    <n v="0"/>
    <n v="0"/>
    <n v="19"/>
    <s v="Sabigh Masood"/>
    <s v="Collections Group"/>
    <d v="2025-02-14T00:00:00"/>
    <d v="1899-12-30T13:59:38"/>
    <d v="1899-12-30T23:01:09"/>
    <n v="9.0299999999999994"/>
    <n v="9.0299999999999994"/>
    <n v="1.1499999999999999"/>
    <n v="0.23"/>
    <n v="0"/>
    <n v="0.38"/>
    <n v="5.05"/>
    <n v="1.93"/>
    <n v="0.28000000000000003"/>
    <n v="0"/>
    <n v="0.01"/>
    <n v="0"/>
    <n v="9.0299999999999994"/>
    <n v="12.74"/>
    <n v="2.5299999999999998"/>
    <n v="0"/>
    <n v="4.17"/>
    <n v="55.97"/>
    <n v="21.39"/>
    <n v="3.11"/>
    <n v="0"/>
    <n v="0.06"/>
    <n v="0.04"/>
    <n v="6"/>
    <x v="3"/>
  </r>
  <r>
    <x v="6"/>
    <x v="241"/>
    <x v="12"/>
    <x v="310"/>
    <n v="0"/>
    <n v="0"/>
    <n v="0"/>
    <n v="0"/>
    <n v="0"/>
    <n v="0"/>
    <n v="0"/>
    <m/>
    <m/>
    <m/>
    <m/>
    <m/>
    <m/>
    <m/>
    <m/>
    <m/>
    <m/>
    <m/>
    <m/>
    <m/>
    <m/>
    <m/>
    <m/>
    <m/>
    <m/>
    <m/>
    <m/>
    <m/>
    <m/>
    <m/>
    <m/>
    <m/>
    <m/>
    <m/>
    <m/>
    <n v="6"/>
    <x v="3"/>
  </r>
  <r>
    <x v="0"/>
    <x v="242"/>
    <x v="12"/>
    <x v="18"/>
    <n v="91"/>
    <n v="5"/>
    <n v="2"/>
    <n v="9"/>
    <n v="0"/>
    <n v="2"/>
    <n v="54"/>
    <s v="Anais Orozco"/>
    <s v="Collections Group"/>
    <d v="2025-02-13T00:00:00"/>
    <d v="1899-12-30T14:00:18"/>
    <d v="1899-12-30T23:00:19"/>
    <n v="9"/>
    <n v="8.08"/>
    <n v="1.1499999999999999"/>
    <n v="0.03"/>
    <n v="0"/>
    <n v="0.26"/>
    <n v="5.97"/>
    <n v="0.32"/>
    <n v="0.35"/>
    <n v="0"/>
    <n v="0"/>
    <n v="0.01"/>
    <n v="8.08"/>
    <n v="14.2"/>
    <n v="0.38"/>
    <n v="0"/>
    <n v="3.17"/>
    <n v="73.84"/>
    <n v="3.92"/>
    <n v="4.3600000000000003"/>
    <n v="0"/>
    <n v="0"/>
    <n v="0.14000000000000001"/>
    <n v="5"/>
    <x v="4"/>
  </r>
  <r>
    <x v="1"/>
    <x v="242"/>
    <x v="12"/>
    <x v="75"/>
    <n v="56"/>
    <n v="3"/>
    <n v="1"/>
    <n v="7"/>
    <n v="0"/>
    <n v="1"/>
    <n v="30"/>
    <s v="Derice Warnsley"/>
    <s v="Collections Group"/>
    <d v="2025-02-13T00:00:00"/>
    <d v="1899-12-30T14:00:10"/>
    <d v="1899-12-30T23:00:10"/>
    <n v="9"/>
    <n v="9.0399999999999991"/>
    <n v="0.85"/>
    <n v="0.13"/>
    <n v="0"/>
    <n v="0.04"/>
    <n v="6.18"/>
    <n v="1.48"/>
    <n v="0.34"/>
    <n v="0"/>
    <n v="0"/>
    <n v="0"/>
    <n v="9.0399999999999991"/>
    <n v="9.4499999999999993"/>
    <n v="1.42"/>
    <n v="0"/>
    <n v="0.45"/>
    <n v="68.430000000000007"/>
    <n v="16.43"/>
    <n v="3.78"/>
    <n v="0"/>
    <n v="0"/>
    <n v="0.05"/>
    <n v="5"/>
    <x v="4"/>
  </r>
  <r>
    <x v="3"/>
    <x v="242"/>
    <x v="12"/>
    <x v="39"/>
    <n v="87"/>
    <n v="3"/>
    <n v="8"/>
    <n v="1"/>
    <n v="0"/>
    <n v="3"/>
    <n v="46"/>
    <s v="Jerrod Coleman"/>
    <s v="Collections Group"/>
    <d v="2025-02-13T00:00:00"/>
    <d v="1899-12-30T14:01:29"/>
    <d v="1899-12-30T22:58:15"/>
    <n v="8.9499999999999993"/>
    <n v="8.9499999999999993"/>
    <n v="1.07"/>
    <n v="0"/>
    <n v="0"/>
    <n v="0.17"/>
    <n v="5.88"/>
    <n v="1.47"/>
    <n v="0.34"/>
    <n v="0"/>
    <n v="0"/>
    <n v="0.01"/>
    <n v="8.9499999999999993"/>
    <n v="11.99"/>
    <n v="0"/>
    <n v="0"/>
    <n v="1.91"/>
    <n v="65.680000000000007"/>
    <n v="16.43"/>
    <n v="3.83"/>
    <n v="0"/>
    <n v="0"/>
    <n v="0.16"/>
    <n v="5"/>
    <x v="4"/>
  </r>
  <r>
    <x v="4"/>
    <x v="242"/>
    <x v="12"/>
    <x v="109"/>
    <n v="28"/>
    <n v="4"/>
    <n v="2"/>
    <n v="1"/>
    <n v="0"/>
    <n v="0"/>
    <n v="14"/>
    <s v="Rosette Rwabugahya"/>
    <s v="Collections Group"/>
    <d v="2025-02-13T00:00:00"/>
    <d v="1899-12-30T14:01:05"/>
    <d v="1899-12-30T23:01:51"/>
    <n v="9"/>
    <n v="9.01"/>
    <n v="1.1000000000000001"/>
    <n v="0.25"/>
    <n v="0"/>
    <n v="0.2"/>
    <n v="5.25"/>
    <n v="1.46"/>
    <n v="0.75"/>
    <n v="0"/>
    <n v="0"/>
    <n v="0.01"/>
    <n v="9.01"/>
    <n v="12.2"/>
    <n v="2.78"/>
    <n v="0"/>
    <n v="2.19"/>
    <n v="58.27"/>
    <n v="16.2"/>
    <n v="8.3000000000000007"/>
    <n v="0"/>
    <n v="0"/>
    <n v="0.06"/>
    <n v="5"/>
    <x v="4"/>
  </r>
  <r>
    <x v="5"/>
    <x v="242"/>
    <x v="12"/>
    <x v="113"/>
    <n v="52"/>
    <n v="4"/>
    <n v="6"/>
    <n v="4"/>
    <n v="0"/>
    <n v="0"/>
    <n v="30"/>
    <s v="Sabigh Masood"/>
    <s v="Collections Group"/>
    <d v="2025-02-13T00:00:00"/>
    <d v="1899-12-30T13:59:16"/>
    <d v="1899-12-30T23:01:50"/>
    <n v="9.0299999999999994"/>
    <n v="8.99"/>
    <n v="1.67"/>
    <n v="0.18"/>
    <n v="0"/>
    <n v="0.4"/>
    <n v="4.01"/>
    <n v="1.46"/>
    <n v="0.76"/>
    <n v="0"/>
    <n v="0.48"/>
    <n v="0.04"/>
    <n v="8.99"/>
    <n v="18.600000000000001"/>
    <n v="1.95"/>
    <n v="0"/>
    <n v="4.5"/>
    <n v="44.58"/>
    <n v="16.25"/>
    <n v="8.43"/>
    <n v="0"/>
    <n v="5.29"/>
    <n v="0.4"/>
    <n v="5"/>
    <x v="4"/>
  </r>
  <r>
    <x v="12"/>
    <x v="242"/>
    <x v="12"/>
    <x v="13"/>
    <n v="1"/>
    <n v="0"/>
    <n v="0"/>
    <n v="0"/>
    <n v="0"/>
    <n v="0"/>
    <n v="0"/>
    <s v="Tiffany Lane-Allen"/>
    <s v="Collections Group"/>
    <d v="2025-02-13T00:00:00"/>
    <d v="1899-12-30T19:42:17"/>
    <d v="1899-12-30T19:43:42"/>
    <n v="0.02"/>
    <n v="0.02"/>
    <n v="0.01"/>
    <n v="0"/>
    <n v="0"/>
    <n v="0.01"/>
    <n v="0"/>
    <n v="0"/>
    <n v="0"/>
    <n v="0"/>
    <n v="0"/>
    <n v="0.01"/>
    <n v="0.02"/>
    <n v="35.29"/>
    <n v="0"/>
    <n v="0"/>
    <n v="37.65"/>
    <n v="0"/>
    <n v="0"/>
    <n v="0"/>
    <n v="0"/>
    <n v="0"/>
    <n v="27.06"/>
    <n v="5"/>
    <x v="4"/>
  </r>
  <r>
    <x v="6"/>
    <x v="242"/>
    <x v="12"/>
    <x v="311"/>
    <n v="0"/>
    <n v="0"/>
    <n v="0"/>
    <n v="0"/>
    <n v="0"/>
    <n v="0"/>
    <n v="0"/>
    <m/>
    <m/>
    <m/>
    <m/>
    <m/>
    <m/>
    <m/>
    <m/>
    <m/>
    <m/>
    <m/>
    <m/>
    <m/>
    <m/>
    <m/>
    <m/>
    <m/>
    <m/>
    <m/>
    <m/>
    <m/>
    <m/>
    <m/>
    <m/>
    <m/>
    <m/>
    <m/>
    <m/>
    <n v="5"/>
    <x v="4"/>
  </r>
  <r>
    <x v="0"/>
    <x v="243"/>
    <x v="12"/>
    <x v="52"/>
    <n v="64"/>
    <n v="6"/>
    <n v="8"/>
    <n v="3"/>
    <n v="0"/>
    <n v="4"/>
    <n v="24"/>
    <s v="Anais Orozco"/>
    <s v="Collections Group"/>
    <d v="2025-02-12T00:00:00"/>
    <d v="1899-12-30T14:02:40"/>
    <d v="1899-12-30T23:00:05"/>
    <n v="8.9700000000000006"/>
    <n v="8.82"/>
    <n v="1.93"/>
    <n v="0.08"/>
    <n v="0"/>
    <n v="0.32"/>
    <n v="5.31"/>
    <n v="1.17"/>
    <n v="0"/>
    <n v="0"/>
    <n v="0"/>
    <n v="0.01"/>
    <n v="8.82"/>
    <n v="21.82"/>
    <n v="0.93"/>
    <n v="0"/>
    <n v="3.65"/>
    <n v="60.22"/>
    <n v="13.25"/>
    <n v="0"/>
    <n v="0"/>
    <n v="0"/>
    <n v="0.13"/>
    <n v="4"/>
    <x v="0"/>
  </r>
  <r>
    <x v="1"/>
    <x v="243"/>
    <x v="12"/>
    <x v="75"/>
    <n v="86"/>
    <n v="3"/>
    <n v="6"/>
    <n v="6"/>
    <n v="0"/>
    <n v="0"/>
    <n v="50"/>
    <s v="Derice Warnsley"/>
    <s v="Collections Group"/>
    <d v="2025-02-12T00:00:00"/>
    <d v="1899-12-30T14:00:04"/>
    <d v="1899-12-30T23:04:02"/>
    <n v="9.07"/>
    <n v="8.9600000000000009"/>
    <n v="1.27"/>
    <n v="0.03"/>
    <n v="0"/>
    <n v="0.06"/>
    <n v="6.1"/>
    <n v="1.5"/>
    <n v="0"/>
    <n v="0"/>
    <n v="0"/>
    <n v="0.01"/>
    <n v="8.9600000000000009"/>
    <n v="14.14"/>
    <n v="0.35"/>
    <n v="0"/>
    <n v="0.63"/>
    <n v="68.040000000000006"/>
    <n v="16.739999999999998"/>
    <n v="0"/>
    <n v="0"/>
    <n v="0"/>
    <n v="0.1"/>
    <n v="4"/>
    <x v="0"/>
  </r>
  <r>
    <x v="3"/>
    <x v="243"/>
    <x v="12"/>
    <x v="75"/>
    <n v="78"/>
    <n v="0"/>
    <n v="12"/>
    <n v="2"/>
    <n v="2"/>
    <n v="3"/>
    <n v="43"/>
    <s v="Jerrod Coleman"/>
    <s v="Collections Group"/>
    <d v="2025-02-12T00:00:00"/>
    <d v="1899-12-30T14:02:35"/>
    <d v="1899-12-30T22:59:22"/>
    <n v="8.9499999999999993"/>
    <n v="8.94"/>
    <n v="1.17"/>
    <n v="0.1"/>
    <n v="0"/>
    <n v="0.2"/>
    <n v="5.57"/>
    <n v="1.43"/>
    <n v="0.48"/>
    <n v="0"/>
    <n v="0"/>
    <n v="0.01"/>
    <n v="8.94"/>
    <n v="13.06"/>
    <n v="1.1000000000000001"/>
    <n v="0"/>
    <n v="2.2000000000000002"/>
    <n v="62.23"/>
    <n v="15.96"/>
    <n v="5.4"/>
    <n v="0"/>
    <n v="0"/>
    <n v="0.06"/>
    <n v="4"/>
    <x v="0"/>
  </r>
  <r>
    <x v="14"/>
    <x v="243"/>
    <x v="12"/>
    <x v="13"/>
    <n v="1"/>
    <n v="0"/>
    <n v="0"/>
    <n v="0"/>
    <n v="0"/>
    <n v="0"/>
    <n v="0"/>
    <m/>
    <m/>
    <m/>
    <m/>
    <m/>
    <m/>
    <m/>
    <m/>
    <m/>
    <m/>
    <m/>
    <m/>
    <m/>
    <m/>
    <m/>
    <m/>
    <m/>
    <m/>
    <m/>
    <m/>
    <m/>
    <m/>
    <m/>
    <m/>
    <m/>
    <m/>
    <m/>
    <m/>
    <n v="4"/>
    <x v="0"/>
  </r>
  <r>
    <x v="4"/>
    <x v="243"/>
    <x v="12"/>
    <x v="74"/>
    <n v="27"/>
    <n v="1"/>
    <n v="3"/>
    <n v="3"/>
    <n v="0"/>
    <n v="0"/>
    <n v="16"/>
    <s v="Rosette Rwabugahya"/>
    <s v="Collections Group"/>
    <d v="2025-02-12T00:00:00"/>
    <d v="1899-12-30T14:01:31"/>
    <d v="1899-12-30T23:01:49"/>
    <n v="9"/>
    <n v="9.01"/>
    <n v="1.99"/>
    <n v="0.3"/>
    <n v="0"/>
    <n v="0.23"/>
    <n v="4.6100000000000003"/>
    <n v="1.47"/>
    <n v="0.4"/>
    <n v="0"/>
    <n v="0"/>
    <n v="0.01"/>
    <n v="9.01"/>
    <n v="22.11"/>
    <n v="3.29"/>
    <n v="0"/>
    <n v="2.5499999999999998"/>
    <n v="51.2"/>
    <n v="16.309999999999999"/>
    <n v="4.4800000000000004"/>
    <n v="0"/>
    <n v="0"/>
    <n v="0.06"/>
    <n v="4"/>
    <x v="0"/>
  </r>
  <r>
    <x v="5"/>
    <x v="243"/>
    <x v="12"/>
    <x v="52"/>
    <n v="104"/>
    <n v="0"/>
    <n v="5"/>
    <n v="16"/>
    <n v="0"/>
    <n v="0"/>
    <n v="69"/>
    <s v="Sabigh Masood"/>
    <s v="Collections Group"/>
    <d v="2025-02-12T00:00:00"/>
    <d v="1899-12-30T13:58:11"/>
    <d v="1899-12-30T23:02:58"/>
    <n v="9.07"/>
    <n v="9.08"/>
    <n v="0.95"/>
    <n v="0.15"/>
    <n v="0"/>
    <n v="0.39"/>
    <n v="5.85"/>
    <n v="1.5"/>
    <n v="0.23"/>
    <n v="0"/>
    <n v="0"/>
    <n v="0"/>
    <n v="9.08"/>
    <n v="10.42"/>
    <n v="1.69"/>
    <n v="0"/>
    <n v="4.3099999999999996"/>
    <n v="64.489999999999995"/>
    <n v="16.489999999999998"/>
    <n v="2.56"/>
    <n v="0"/>
    <n v="0"/>
    <n v="0.04"/>
    <n v="4"/>
    <x v="0"/>
  </r>
  <r>
    <x v="6"/>
    <x v="243"/>
    <x v="12"/>
    <x v="312"/>
    <n v="0"/>
    <n v="0"/>
    <n v="0"/>
    <n v="0"/>
    <n v="0"/>
    <n v="0"/>
    <n v="0"/>
    <m/>
    <m/>
    <m/>
    <m/>
    <m/>
    <m/>
    <m/>
    <m/>
    <m/>
    <m/>
    <m/>
    <m/>
    <m/>
    <m/>
    <m/>
    <m/>
    <m/>
    <m/>
    <m/>
    <m/>
    <m/>
    <m/>
    <m/>
    <m/>
    <m/>
    <m/>
    <m/>
    <m/>
    <n v="4"/>
    <x v="0"/>
  </r>
  <r>
    <x v="0"/>
    <x v="244"/>
    <x v="12"/>
    <x v="64"/>
    <n v="83"/>
    <n v="10"/>
    <n v="9"/>
    <n v="4"/>
    <n v="0"/>
    <n v="0"/>
    <n v="43"/>
    <s v="Anais Orozco"/>
    <s v="Collections Group"/>
    <d v="2025-02-11T00:00:00"/>
    <d v="1899-12-30T13:59:45"/>
    <d v="1899-12-30T23:00:27"/>
    <n v="9.02"/>
    <n v="7.72"/>
    <n v="1.97"/>
    <n v="0.41"/>
    <n v="0"/>
    <n v="0.42"/>
    <n v="4.74"/>
    <n v="0.14000000000000001"/>
    <n v="0"/>
    <n v="0"/>
    <n v="0"/>
    <n v="0.05"/>
    <n v="7.72"/>
    <n v="25.46"/>
    <n v="5.34"/>
    <n v="0"/>
    <n v="5.39"/>
    <n v="61.38"/>
    <n v="1.78"/>
    <n v="0"/>
    <n v="0"/>
    <n v="0"/>
    <n v="0.65"/>
    <n v="3"/>
    <x v="1"/>
  </r>
  <r>
    <x v="1"/>
    <x v="244"/>
    <x v="12"/>
    <x v="21"/>
    <n v="100"/>
    <n v="10"/>
    <n v="4"/>
    <n v="22"/>
    <n v="0"/>
    <n v="0"/>
    <n v="42"/>
    <s v="Derice Warnsley"/>
    <s v="Collections Group"/>
    <d v="2025-02-11T00:00:00"/>
    <d v="1899-12-30T14:00:27"/>
    <d v="1899-12-30T23:00:57"/>
    <n v="9"/>
    <n v="9.01"/>
    <n v="1.83"/>
    <n v="0.15"/>
    <n v="0"/>
    <n v="0.05"/>
    <n v="5.49"/>
    <n v="1.48"/>
    <n v="0"/>
    <n v="0"/>
    <n v="0"/>
    <n v="0"/>
    <n v="9.01"/>
    <n v="20.37"/>
    <n v="1.72"/>
    <n v="0"/>
    <n v="0.51"/>
    <n v="60.91"/>
    <n v="16.45"/>
    <n v="0"/>
    <n v="0"/>
    <n v="0"/>
    <n v="0.05"/>
    <n v="3"/>
    <x v="1"/>
  </r>
  <r>
    <x v="3"/>
    <x v="244"/>
    <x v="12"/>
    <x v="16"/>
    <n v="118"/>
    <n v="4"/>
    <n v="5"/>
    <n v="10"/>
    <n v="0"/>
    <n v="0"/>
    <n v="60"/>
    <s v="Jerrod Coleman"/>
    <s v="Collections Group"/>
    <d v="2025-02-11T00:00:00"/>
    <d v="1899-12-30T14:02:08"/>
    <d v="1899-12-30T22:59:19"/>
    <n v="8.9499999999999993"/>
    <n v="8.9499999999999993"/>
    <n v="0.99"/>
    <n v="0"/>
    <n v="0"/>
    <n v="0.2"/>
    <n v="6.27"/>
    <n v="1.49"/>
    <n v="0"/>
    <n v="0"/>
    <n v="0"/>
    <n v="0"/>
    <n v="8.9499999999999993"/>
    <n v="11.09"/>
    <n v="0"/>
    <n v="0"/>
    <n v="2.2400000000000002"/>
    <n v="69.989999999999995"/>
    <n v="16.63"/>
    <n v="0"/>
    <n v="0"/>
    <n v="0"/>
    <n v="0.05"/>
    <n v="3"/>
    <x v="1"/>
  </r>
  <r>
    <x v="4"/>
    <x v="244"/>
    <x v="12"/>
    <x v="64"/>
    <n v="48"/>
    <n v="6"/>
    <n v="5"/>
    <n v="2"/>
    <n v="0"/>
    <n v="0"/>
    <n v="27"/>
    <s v="Rosette Rwabugahya"/>
    <s v="Collections Group"/>
    <d v="2025-02-11T00:00:00"/>
    <d v="1899-12-30T14:00:37"/>
    <d v="1899-12-30T23:02:59"/>
    <n v="9.0299999999999994"/>
    <n v="9.0399999999999991"/>
    <n v="1.95"/>
    <n v="0.68"/>
    <n v="0"/>
    <n v="0.49"/>
    <n v="4.45"/>
    <n v="1.48"/>
    <n v="0"/>
    <n v="0"/>
    <n v="0"/>
    <n v="0"/>
    <n v="9.0399999999999991"/>
    <n v="21.53"/>
    <n v="7.47"/>
    <n v="0"/>
    <n v="5.4"/>
    <n v="49.19"/>
    <n v="16.36"/>
    <n v="0"/>
    <n v="0"/>
    <n v="0"/>
    <n v="0.05"/>
    <n v="3"/>
    <x v="1"/>
  </r>
  <r>
    <x v="5"/>
    <x v="244"/>
    <x v="12"/>
    <x v="31"/>
    <n v="119"/>
    <n v="4"/>
    <n v="5"/>
    <n v="16"/>
    <n v="0"/>
    <n v="1"/>
    <n v="65"/>
    <s v="Sabigh Masood"/>
    <s v="Collections Group"/>
    <d v="2025-02-11T00:00:00"/>
    <d v="1899-12-30T13:58:59"/>
    <d v="1899-12-30T23:02:52"/>
    <n v="9.07"/>
    <n v="9.07"/>
    <n v="1.33"/>
    <n v="0.25"/>
    <n v="0"/>
    <n v="0.6"/>
    <n v="5.14"/>
    <n v="1.49"/>
    <n v="0.26"/>
    <n v="0"/>
    <n v="0"/>
    <n v="0"/>
    <n v="9.07"/>
    <n v="14.62"/>
    <n v="2.71"/>
    <n v="0"/>
    <n v="6.65"/>
    <n v="56.7"/>
    <n v="16.39"/>
    <n v="2.9"/>
    <n v="0"/>
    <n v="0"/>
    <n v="0.04"/>
    <n v="3"/>
    <x v="1"/>
  </r>
  <r>
    <x v="6"/>
    <x v="244"/>
    <x v="12"/>
    <x v="313"/>
    <n v="0"/>
    <n v="0"/>
    <n v="0"/>
    <n v="0"/>
    <n v="0"/>
    <n v="0"/>
    <n v="0"/>
    <m/>
    <m/>
    <m/>
    <m/>
    <m/>
    <m/>
    <m/>
    <m/>
    <m/>
    <m/>
    <m/>
    <m/>
    <m/>
    <m/>
    <m/>
    <m/>
    <m/>
    <m/>
    <m/>
    <m/>
    <m/>
    <m/>
    <m/>
    <m/>
    <m/>
    <m/>
    <m/>
    <m/>
    <n v="3"/>
    <x v="1"/>
  </r>
  <r>
    <x v="0"/>
    <x v="245"/>
    <x v="12"/>
    <x v="52"/>
    <n v="65"/>
    <n v="5"/>
    <n v="8"/>
    <n v="4"/>
    <n v="0"/>
    <n v="0"/>
    <n v="37"/>
    <s v="Anais Orozco"/>
    <s v="Collections Group"/>
    <d v="2025-02-10T00:00:00"/>
    <d v="1899-12-30T14:01:23"/>
    <d v="1899-12-30T23:00:25"/>
    <n v="8.98"/>
    <n v="8.02"/>
    <n v="0.93"/>
    <n v="0"/>
    <n v="0"/>
    <n v="0.32"/>
    <n v="6.22"/>
    <n v="0.55000000000000004"/>
    <n v="0"/>
    <n v="0"/>
    <n v="0"/>
    <n v="0.01"/>
    <n v="8.02"/>
    <n v="11.61"/>
    <n v="0"/>
    <n v="0"/>
    <n v="3.93"/>
    <n v="77.459999999999994"/>
    <n v="6.83"/>
    <n v="0"/>
    <n v="0"/>
    <n v="0"/>
    <n v="0.16"/>
    <n v="2"/>
    <x v="2"/>
  </r>
  <r>
    <x v="1"/>
    <x v="245"/>
    <x v="12"/>
    <x v="52"/>
    <n v="64"/>
    <n v="3"/>
    <n v="10"/>
    <n v="8"/>
    <n v="0"/>
    <n v="2"/>
    <n v="30"/>
    <s v="Derice Warnsley"/>
    <s v="Collections Group"/>
    <d v="2025-02-10T00:00:00"/>
    <d v="1899-12-30T14:00:07"/>
    <d v="1899-12-30T23:00:13"/>
    <n v="9"/>
    <n v="9"/>
    <n v="1.58"/>
    <n v="0.19"/>
    <n v="0"/>
    <n v="0.05"/>
    <n v="5.2"/>
    <n v="1.49"/>
    <n v="0.49"/>
    <n v="0"/>
    <n v="0"/>
    <n v="0"/>
    <n v="9"/>
    <n v="17.510000000000002"/>
    <n v="2.14"/>
    <n v="0"/>
    <n v="0.5"/>
    <n v="57.76"/>
    <n v="16.559999999999999"/>
    <n v="5.49"/>
    <n v="0"/>
    <n v="0"/>
    <n v="0.04"/>
    <n v="2"/>
    <x v="2"/>
  </r>
  <r>
    <x v="3"/>
    <x v="245"/>
    <x v="12"/>
    <x v="68"/>
    <n v="102"/>
    <n v="4"/>
    <n v="8"/>
    <n v="18"/>
    <n v="0"/>
    <n v="2"/>
    <n v="48"/>
    <s v="Jerrod Coleman"/>
    <s v="Collections Group"/>
    <d v="2025-02-10T00:00:00"/>
    <d v="1899-12-30T14:01:03"/>
    <d v="1899-12-30T22:59:04"/>
    <n v="8.9700000000000006"/>
    <n v="8.9700000000000006"/>
    <n v="1.36"/>
    <n v="0.11"/>
    <n v="0"/>
    <n v="0.39"/>
    <n v="5.62"/>
    <n v="1.48"/>
    <n v="0"/>
    <n v="0"/>
    <n v="0"/>
    <n v="0"/>
    <n v="8.9700000000000006"/>
    <n v="15.13"/>
    <n v="1.25"/>
    <n v="0"/>
    <n v="4.41"/>
    <n v="62.71"/>
    <n v="16.46"/>
    <n v="0"/>
    <n v="0"/>
    <n v="0"/>
    <n v="0.04"/>
    <n v="2"/>
    <x v="2"/>
  </r>
  <r>
    <x v="13"/>
    <x v="245"/>
    <x v="12"/>
    <x v="13"/>
    <n v="1"/>
    <n v="0"/>
    <n v="0"/>
    <n v="0"/>
    <n v="0"/>
    <n v="0"/>
    <n v="0"/>
    <m/>
    <m/>
    <m/>
    <m/>
    <m/>
    <m/>
    <m/>
    <m/>
    <m/>
    <m/>
    <m/>
    <m/>
    <m/>
    <m/>
    <m/>
    <m/>
    <m/>
    <m/>
    <m/>
    <m/>
    <m/>
    <m/>
    <m/>
    <m/>
    <m/>
    <m/>
    <m/>
    <m/>
    <n v="2"/>
    <x v="2"/>
  </r>
  <r>
    <x v="4"/>
    <x v="245"/>
    <x v="12"/>
    <x v="21"/>
    <n v="51"/>
    <n v="2"/>
    <n v="7"/>
    <n v="2"/>
    <n v="0"/>
    <n v="0"/>
    <n v="29"/>
    <s v="Rosette Rwabugahya"/>
    <s v="Collections Group"/>
    <d v="2025-02-10T00:00:00"/>
    <d v="1899-12-30T13:59:46"/>
    <d v="1899-12-30T23:02:40"/>
    <n v="9.0500000000000007"/>
    <n v="9.0500000000000007"/>
    <n v="1.19"/>
    <n v="0.71"/>
    <n v="0"/>
    <n v="0.28999999999999998"/>
    <n v="4.57"/>
    <n v="1.47"/>
    <n v="0.81"/>
    <n v="0"/>
    <n v="0"/>
    <n v="0.01"/>
    <n v="9.0500000000000007"/>
    <n v="13.15"/>
    <n v="7.82"/>
    <n v="0"/>
    <n v="3.21"/>
    <n v="50.5"/>
    <n v="16.3"/>
    <n v="8.9499999999999993"/>
    <n v="0"/>
    <n v="0"/>
    <n v="0.08"/>
    <n v="2"/>
    <x v="2"/>
  </r>
  <r>
    <x v="5"/>
    <x v="245"/>
    <x v="12"/>
    <x v="52"/>
    <n v="86"/>
    <n v="4"/>
    <n v="8"/>
    <n v="8"/>
    <n v="1"/>
    <n v="1"/>
    <n v="51"/>
    <s v="Sabigh Masood"/>
    <s v="Collections Group"/>
    <d v="2025-02-10T00:00:00"/>
    <d v="1899-12-30T14:00:19"/>
    <d v="1899-12-30T23:00:29"/>
    <n v="9"/>
    <n v="9"/>
    <n v="1.67"/>
    <n v="0.13"/>
    <n v="0"/>
    <n v="0.55000000000000004"/>
    <n v="4.99"/>
    <n v="1.51"/>
    <n v="0.13"/>
    <n v="0"/>
    <n v="0.03"/>
    <n v="0"/>
    <n v="9"/>
    <n v="18.55"/>
    <n v="1.44"/>
    <n v="0"/>
    <n v="6.06"/>
    <n v="55.39"/>
    <n v="16.78"/>
    <n v="1.46"/>
    <n v="0"/>
    <n v="0.28999999999999998"/>
    <n v="0.04"/>
    <n v="2"/>
    <x v="2"/>
  </r>
  <r>
    <x v="12"/>
    <x v="245"/>
    <x v="12"/>
    <x v="13"/>
    <n v="1"/>
    <n v="0"/>
    <n v="0"/>
    <n v="0"/>
    <n v="0"/>
    <n v="0"/>
    <n v="0"/>
    <s v="Tiffany Lane-Allen"/>
    <s v="Collections Group"/>
    <d v="2025-02-10T00:00:00"/>
    <d v="1899-12-30T20:35:29"/>
    <d v="1899-12-30T20:42:46"/>
    <n v="0.12"/>
    <n v="0.05"/>
    <n v="0.02"/>
    <n v="0"/>
    <n v="0"/>
    <n v="0.01"/>
    <n v="0"/>
    <n v="0"/>
    <n v="0"/>
    <n v="0"/>
    <n v="0"/>
    <n v="0.02"/>
    <n v="0.05"/>
    <n v="43.24"/>
    <n v="0"/>
    <n v="0"/>
    <n v="26.49"/>
    <n v="0"/>
    <n v="0"/>
    <n v="0"/>
    <n v="0"/>
    <n v="0"/>
    <n v="30.27"/>
    <n v="2"/>
    <x v="2"/>
  </r>
  <r>
    <x v="6"/>
    <x v="245"/>
    <x v="12"/>
    <x v="314"/>
    <n v="0"/>
    <n v="0"/>
    <n v="0"/>
    <n v="0"/>
    <n v="0"/>
    <n v="0"/>
    <n v="0"/>
    <m/>
    <m/>
    <m/>
    <m/>
    <m/>
    <m/>
    <m/>
    <m/>
    <m/>
    <m/>
    <m/>
    <m/>
    <m/>
    <m/>
    <m/>
    <m/>
    <m/>
    <m/>
    <m/>
    <m/>
    <m/>
    <m/>
    <m/>
    <m/>
    <m/>
    <m/>
    <m/>
    <m/>
    <n v="2"/>
    <x v="2"/>
  </r>
  <r>
    <x v="0"/>
    <x v="246"/>
    <x v="12"/>
    <x v="51"/>
    <n v="104"/>
    <n v="4"/>
    <n v="2"/>
    <n v="2"/>
    <n v="0"/>
    <n v="1"/>
    <n v="75"/>
    <s v="Anais Orozco"/>
    <s v="Collections Group"/>
    <d v="2025-02-07T00:00:00"/>
    <d v="1899-12-30T14:01:44"/>
    <d v="1899-12-30T23:00:49"/>
    <n v="8.98"/>
    <n v="8.02"/>
    <n v="0.89"/>
    <n v="0.2"/>
    <n v="0"/>
    <n v="0.35"/>
    <n v="5.08"/>
    <n v="0.3"/>
    <n v="1.2"/>
    <n v="0"/>
    <n v="0"/>
    <n v="0.01"/>
    <n v="8.02"/>
    <n v="11.12"/>
    <n v="2.4500000000000002"/>
    <n v="0"/>
    <n v="4.33"/>
    <n v="63.29"/>
    <n v="3.7"/>
    <n v="14.97"/>
    <n v="0"/>
    <n v="0"/>
    <n v="0.14000000000000001"/>
    <n v="6"/>
    <x v="3"/>
  </r>
  <r>
    <x v="1"/>
    <x v="246"/>
    <x v="12"/>
    <x v="23"/>
    <n v="108"/>
    <n v="10"/>
    <n v="3"/>
    <n v="5"/>
    <n v="0"/>
    <n v="0"/>
    <n v="78"/>
    <s v="Derice Warnsley"/>
    <s v="Collections Group"/>
    <d v="2025-02-07T00:00:00"/>
    <d v="1899-12-30T14:00:18"/>
    <d v="1899-12-30T23:01:08"/>
    <n v="9.02"/>
    <n v="9.01"/>
    <n v="1.69"/>
    <n v="0.18"/>
    <n v="0"/>
    <n v="7.0000000000000007E-2"/>
    <n v="4.0599999999999996"/>
    <n v="1.49"/>
    <n v="1.51"/>
    <n v="0"/>
    <n v="0"/>
    <n v="0"/>
    <n v="9.01"/>
    <n v="18.739999999999998"/>
    <n v="2.0499999999999998"/>
    <n v="0"/>
    <n v="0.75"/>
    <n v="45.07"/>
    <n v="16.579999999999998"/>
    <n v="16.77"/>
    <n v="0"/>
    <n v="0"/>
    <n v="0.05"/>
    <n v="6"/>
    <x v="3"/>
  </r>
  <r>
    <x v="3"/>
    <x v="246"/>
    <x v="12"/>
    <x v="68"/>
    <n v="107"/>
    <n v="2"/>
    <n v="5"/>
    <n v="3"/>
    <n v="0"/>
    <n v="0"/>
    <n v="74"/>
    <s v="Jerrod Coleman"/>
    <s v="Collections Group"/>
    <d v="2025-02-07T00:00:00"/>
    <d v="1899-12-30T14:00:43"/>
    <d v="1899-12-30T22:59:21"/>
    <n v="8.98"/>
    <n v="8.84"/>
    <n v="1.21"/>
    <n v="7.0000000000000007E-2"/>
    <n v="0"/>
    <n v="0.24"/>
    <n v="4.63"/>
    <n v="1.48"/>
    <n v="1.19"/>
    <n v="0"/>
    <n v="0"/>
    <n v="0.01"/>
    <n v="8.84"/>
    <n v="13.69"/>
    <n v="0.81"/>
    <n v="0"/>
    <n v="2.76"/>
    <n v="52.39"/>
    <n v="16.75"/>
    <n v="13.49"/>
    <n v="0"/>
    <n v="0"/>
    <n v="0.1"/>
    <n v="6"/>
    <x v="3"/>
  </r>
  <r>
    <x v="5"/>
    <x v="246"/>
    <x v="12"/>
    <x v="118"/>
    <n v="60"/>
    <n v="5"/>
    <n v="4"/>
    <n v="2"/>
    <n v="0"/>
    <n v="0"/>
    <n v="35"/>
    <s v="Sabigh Masood"/>
    <s v="Collections Group"/>
    <d v="2025-02-07T00:00:00"/>
    <d v="1899-12-30T13:58:49"/>
    <d v="1899-12-30T23:01:15"/>
    <n v="9.0500000000000007"/>
    <n v="9.0399999999999991"/>
    <n v="1.43"/>
    <n v="0"/>
    <n v="0"/>
    <n v="0.77"/>
    <n v="3.16"/>
    <n v="1.87"/>
    <n v="1.81"/>
    <n v="0"/>
    <n v="0"/>
    <n v="0"/>
    <n v="9.0399999999999991"/>
    <n v="15.84"/>
    <n v="0"/>
    <n v="0"/>
    <n v="8.5399999999999991"/>
    <n v="34.92"/>
    <n v="20.67"/>
    <n v="20"/>
    <n v="0"/>
    <n v="0"/>
    <n v="0.04"/>
    <n v="6"/>
    <x v="3"/>
  </r>
  <r>
    <x v="6"/>
    <x v="246"/>
    <x v="12"/>
    <x v="315"/>
    <n v="0"/>
    <n v="0"/>
    <n v="0"/>
    <n v="0"/>
    <n v="0"/>
    <n v="0"/>
    <n v="0"/>
    <m/>
    <m/>
    <m/>
    <m/>
    <m/>
    <m/>
    <m/>
    <m/>
    <m/>
    <m/>
    <m/>
    <m/>
    <m/>
    <m/>
    <m/>
    <m/>
    <m/>
    <m/>
    <m/>
    <m/>
    <m/>
    <m/>
    <m/>
    <m/>
    <m/>
    <m/>
    <m/>
    <m/>
    <n v="6"/>
    <x v="3"/>
  </r>
  <r>
    <x v="0"/>
    <x v="247"/>
    <x v="12"/>
    <x v="73"/>
    <n v="45"/>
    <n v="5"/>
    <n v="1"/>
    <n v="2"/>
    <n v="0"/>
    <n v="1"/>
    <n v="29"/>
    <s v="Anais Orozco"/>
    <s v="Collections Group"/>
    <d v="2025-02-06T00:00:00"/>
    <d v="1899-12-30T14:02:42"/>
    <d v="1899-12-30T23:01:30"/>
    <n v="8.98"/>
    <n v="7.96"/>
    <n v="1.22"/>
    <n v="0.19"/>
    <n v="0"/>
    <n v="0.25"/>
    <n v="5.85"/>
    <n v="0.35"/>
    <n v="0"/>
    <n v="0"/>
    <n v="0"/>
    <n v="0.11"/>
    <n v="7.96"/>
    <n v="15.28"/>
    <n v="2.36"/>
    <n v="0"/>
    <n v="3.18"/>
    <n v="73.489999999999995"/>
    <n v="4.3600000000000003"/>
    <n v="0"/>
    <n v="0"/>
    <n v="0"/>
    <n v="1.32"/>
    <n v="5"/>
    <x v="4"/>
  </r>
  <r>
    <x v="1"/>
    <x v="247"/>
    <x v="12"/>
    <x v="108"/>
    <n v="77"/>
    <n v="2"/>
    <n v="14"/>
    <n v="2"/>
    <n v="0"/>
    <n v="0"/>
    <n v="41"/>
    <s v="Derice Warnsley"/>
    <s v="Collections Group"/>
    <d v="2025-02-06T00:00:00"/>
    <d v="1899-12-30T14:00:13"/>
    <d v="1899-12-30T23:00:28"/>
    <n v="9"/>
    <n v="9"/>
    <n v="0.74"/>
    <n v="0.24"/>
    <n v="0"/>
    <n v="0.05"/>
    <n v="6.47"/>
    <n v="1.49"/>
    <n v="0"/>
    <n v="0"/>
    <n v="0"/>
    <n v="0"/>
    <n v="9"/>
    <n v="8.25"/>
    <n v="2.65"/>
    <n v="0"/>
    <n v="0.56000000000000005"/>
    <n v="71.900000000000006"/>
    <n v="16.600000000000001"/>
    <n v="0"/>
    <n v="0"/>
    <n v="0"/>
    <n v="0.04"/>
    <n v="5"/>
    <x v="4"/>
  </r>
  <r>
    <x v="3"/>
    <x v="247"/>
    <x v="12"/>
    <x v="69"/>
    <n v="72"/>
    <n v="5"/>
    <n v="2"/>
    <n v="4"/>
    <n v="1"/>
    <n v="1"/>
    <n v="44"/>
    <s v="Jerrod Coleman"/>
    <s v="Collections Group"/>
    <d v="2025-02-06T00:00:00"/>
    <d v="1899-12-30T14:04:20"/>
    <d v="1899-12-30T23:00:56"/>
    <n v="8.93"/>
    <n v="8.94"/>
    <n v="0.83"/>
    <n v="0"/>
    <n v="0"/>
    <n v="0.3"/>
    <n v="6.24"/>
    <n v="1.56"/>
    <n v="0"/>
    <n v="0"/>
    <n v="0"/>
    <n v="0.01"/>
    <n v="8.94"/>
    <n v="9.33"/>
    <n v="0"/>
    <n v="0"/>
    <n v="3.31"/>
    <n v="69.8"/>
    <n v="17.46"/>
    <n v="0"/>
    <n v="0"/>
    <n v="0"/>
    <n v="0.1"/>
    <n v="5"/>
    <x v="4"/>
  </r>
  <r>
    <x v="4"/>
    <x v="247"/>
    <x v="12"/>
    <x v="109"/>
    <n v="29"/>
    <n v="2"/>
    <n v="1"/>
    <n v="2"/>
    <n v="0"/>
    <n v="3"/>
    <n v="17"/>
    <s v="Rosette Rwabugahya"/>
    <s v="Collections Group"/>
    <d v="2025-02-06T00:00:00"/>
    <d v="1899-12-30T14:01:29"/>
    <d v="1899-12-30T18:01:14"/>
    <n v="4"/>
    <n v="4"/>
    <n v="0.79"/>
    <n v="0.16"/>
    <n v="0"/>
    <n v="0.19"/>
    <n v="2.44"/>
    <n v="0.27"/>
    <n v="0"/>
    <n v="0"/>
    <n v="0.13"/>
    <n v="0.02"/>
    <n v="4"/>
    <n v="19.829999999999998"/>
    <n v="4.0599999999999996"/>
    <n v="0"/>
    <n v="4.67"/>
    <n v="61.17"/>
    <n v="6.7"/>
    <n v="0"/>
    <n v="0"/>
    <n v="3.2"/>
    <n v="0.38"/>
    <n v="5"/>
    <x v="4"/>
  </r>
  <r>
    <x v="5"/>
    <x v="247"/>
    <x v="12"/>
    <x v="69"/>
    <n v="85"/>
    <n v="11"/>
    <n v="4"/>
    <n v="12"/>
    <n v="0"/>
    <n v="0"/>
    <n v="45"/>
    <s v="Sabigh Masood"/>
    <s v="Collections Group"/>
    <d v="2025-02-06T00:00:00"/>
    <d v="1899-12-30T13:57:57"/>
    <d v="1899-12-30T23:01:15"/>
    <n v="9.07"/>
    <n v="9.0500000000000007"/>
    <n v="0.94"/>
    <n v="0.33"/>
    <n v="0"/>
    <n v="0.39"/>
    <n v="5.51"/>
    <n v="1.45"/>
    <n v="0.24"/>
    <n v="0"/>
    <n v="0.2"/>
    <n v="0"/>
    <n v="9.0500000000000007"/>
    <n v="10.36"/>
    <n v="3.65"/>
    <n v="0"/>
    <n v="4.3099999999999996"/>
    <n v="60.83"/>
    <n v="15.98"/>
    <n v="2.62"/>
    <n v="0"/>
    <n v="2.2000000000000002"/>
    <n v="0.05"/>
    <n v="5"/>
    <x v="4"/>
  </r>
  <r>
    <x v="9"/>
    <x v="247"/>
    <x v="12"/>
    <x v="13"/>
    <n v="2"/>
    <n v="0"/>
    <n v="1"/>
    <n v="0"/>
    <n v="0"/>
    <n v="0"/>
    <n v="0"/>
    <m/>
    <m/>
    <m/>
    <m/>
    <m/>
    <m/>
    <m/>
    <m/>
    <m/>
    <m/>
    <m/>
    <m/>
    <m/>
    <m/>
    <m/>
    <m/>
    <m/>
    <m/>
    <m/>
    <m/>
    <m/>
    <m/>
    <m/>
    <m/>
    <m/>
    <m/>
    <m/>
    <m/>
    <n v="5"/>
    <x v="4"/>
  </r>
  <r>
    <x v="6"/>
    <x v="247"/>
    <x v="12"/>
    <x v="316"/>
    <n v="0"/>
    <n v="0"/>
    <n v="0"/>
    <n v="0"/>
    <n v="0"/>
    <n v="0"/>
    <n v="0"/>
    <m/>
    <m/>
    <m/>
    <m/>
    <m/>
    <m/>
    <m/>
    <m/>
    <m/>
    <m/>
    <m/>
    <m/>
    <m/>
    <m/>
    <m/>
    <m/>
    <m/>
    <m/>
    <m/>
    <m/>
    <m/>
    <m/>
    <m/>
    <m/>
    <m/>
    <m/>
    <m/>
    <m/>
    <n v="5"/>
    <x v="4"/>
  </r>
  <r>
    <x v="0"/>
    <x v="248"/>
    <x v="12"/>
    <x v="64"/>
    <n v="72"/>
    <n v="2"/>
    <n v="3"/>
    <n v="3"/>
    <n v="0"/>
    <n v="0"/>
    <n v="47"/>
    <s v="Anais Orozco"/>
    <s v="Collections Group"/>
    <d v="2025-02-05T00:00:00"/>
    <d v="1899-12-30T14:02:13"/>
    <d v="1899-12-30T23:00:22"/>
    <n v="8.9700000000000006"/>
    <n v="7.99"/>
    <n v="0.57999999999999996"/>
    <n v="0.33"/>
    <n v="0"/>
    <n v="0.26"/>
    <n v="6.57"/>
    <n v="0.24"/>
    <n v="0"/>
    <n v="0"/>
    <n v="0"/>
    <n v="0.02"/>
    <n v="7.99"/>
    <n v="7.21"/>
    <n v="4.08"/>
    <n v="0"/>
    <n v="3.22"/>
    <n v="82.25"/>
    <n v="3.02"/>
    <n v="0"/>
    <n v="0"/>
    <n v="0"/>
    <n v="0.21"/>
    <n v="4"/>
    <x v="0"/>
  </r>
  <r>
    <x v="1"/>
    <x v="248"/>
    <x v="12"/>
    <x v="89"/>
    <n v="87"/>
    <n v="4"/>
    <n v="12"/>
    <n v="7"/>
    <n v="0"/>
    <n v="1"/>
    <n v="44"/>
    <s v="Derice Warnsley"/>
    <s v="Collections Group"/>
    <d v="2025-02-05T00:00:00"/>
    <d v="1899-12-30T14:00:13"/>
    <d v="1899-12-30T23:00:07"/>
    <n v="9"/>
    <n v="9.02"/>
    <n v="1.69"/>
    <n v="0.17"/>
    <n v="0"/>
    <n v="0.05"/>
    <n v="5.62"/>
    <n v="1.47"/>
    <n v="0"/>
    <n v="0"/>
    <n v="0"/>
    <n v="0.01"/>
    <n v="9.02"/>
    <n v="18.75"/>
    <n v="1.9"/>
    <n v="0"/>
    <n v="0.61"/>
    <n v="62.27"/>
    <n v="16.329999999999998"/>
    <n v="0"/>
    <n v="0"/>
    <n v="0"/>
    <n v="0.15"/>
    <n v="4"/>
    <x v="0"/>
  </r>
  <r>
    <x v="3"/>
    <x v="248"/>
    <x v="12"/>
    <x v="39"/>
    <n v="89"/>
    <n v="3"/>
    <n v="12"/>
    <n v="12"/>
    <n v="0"/>
    <n v="0"/>
    <n v="41"/>
    <s v="Jerrod Coleman"/>
    <s v="Collections Group"/>
    <d v="2025-02-05T00:00:00"/>
    <d v="1899-12-30T14:04:06"/>
    <d v="1899-12-30T23:00:07"/>
    <n v="8.93"/>
    <n v="8.93"/>
    <n v="1.1000000000000001"/>
    <n v="0"/>
    <n v="0"/>
    <n v="0.56999999999999995"/>
    <n v="5.76"/>
    <n v="1.49"/>
    <n v="0"/>
    <n v="0"/>
    <n v="0"/>
    <n v="0"/>
    <n v="8.93"/>
    <n v="12.36"/>
    <n v="0"/>
    <n v="0"/>
    <n v="6.41"/>
    <n v="64.5"/>
    <n v="16.690000000000001"/>
    <n v="0"/>
    <n v="0"/>
    <n v="0"/>
    <n v="0.03"/>
    <n v="4"/>
    <x v="0"/>
  </r>
  <r>
    <x v="4"/>
    <x v="248"/>
    <x v="12"/>
    <x v="118"/>
    <n v="39"/>
    <n v="5"/>
    <n v="2"/>
    <n v="8"/>
    <n v="0"/>
    <n v="0"/>
    <n v="21"/>
    <s v="Rosette Rwabugahya"/>
    <s v="Collections Group"/>
    <d v="2025-02-05T00:00:00"/>
    <d v="1899-12-30T14:01:26"/>
    <d v="1899-12-30T23:01:29"/>
    <n v="9"/>
    <n v="9"/>
    <n v="1.64"/>
    <n v="0.41"/>
    <n v="0"/>
    <n v="0.3"/>
    <n v="4.0199999999999996"/>
    <n v="1.81"/>
    <n v="0.81"/>
    <n v="0"/>
    <n v="0"/>
    <n v="0.01"/>
    <n v="9"/>
    <n v="18.27"/>
    <n v="4.57"/>
    <n v="0"/>
    <n v="3.35"/>
    <n v="44.62"/>
    <n v="20.11"/>
    <n v="9.01"/>
    <n v="0"/>
    <n v="0"/>
    <n v="7.0000000000000007E-2"/>
    <n v="4"/>
    <x v="0"/>
  </r>
  <r>
    <x v="5"/>
    <x v="248"/>
    <x v="12"/>
    <x v="89"/>
    <n v="85"/>
    <n v="3"/>
    <n v="0"/>
    <n v="5"/>
    <n v="1"/>
    <n v="0"/>
    <n v="47"/>
    <s v="Sabigh Masood"/>
    <s v="Collections Group"/>
    <d v="2025-02-05T00:00:00"/>
    <d v="1899-12-30T14:02:40"/>
    <d v="1899-12-30T23:00:58"/>
    <n v="8.9700000000000006"/>
    <n v="8.9700000000000006"/>
    <n v="1.22"/>
    <n v="0.34"/>
    <n v="0"/>
    <n v="0.41"/>
    <n v="5.32"/>
    <n v="1.44"/>
    <n v="0.24"/>
    <n v="0"/>
    <n v="0"/>
    <n v="0"/>
    <n v="8.9700000000000006"/>
    <n v="13.57"/>
    <n v="3.76"/>
    <n v="0"/>
    <n v="4.6100000000000003"/>
    <n v="59.28"/>
    <n v="16.100000000000001"/>
    <n v="2.65"/>
    <n v="0"/>
    <n v="0"/>
    <n v="0.04"/>
    <n v="4"/>
    <x v="0"/>
  </r>
  <r>
    <x v="6"/>
    <x v="248"/>
    <x v="12"/>
    <x v="317"/>
    <n v="0"/>
    <n v="0"/>
    <n v="0"/>
    <n v="0"/>
    <n v="0"/>
    <n v="0"/>
    <n v="0"/>
    <m/>
    <m/>
    <m/>
    <m/>
    <m/>
    <m/>
    <m/>
    <m/>
    <m/>
    <m/>
    <m/>
    <m/>
    <m/>
    <m/>
    <m/>
    <m/>
    <m/>
    <m/>
    <m/>
    <m/>
    <m/>
    <m/>
    <m/>
    <m/>
    <m/>
    <m/>
    <m/>
    <m/>
    <n v="4"/>
    <x v="0"/>
  </r>
  <r>
    <x v="0"/>
    <x v="249"/>
    <x v="12"/>
    <x v="39"/>
    <n v="99"/>
    <n v="11"/>
    <n v="11"/>
    <n v="2"/>
    <n v="0"/>
    <n v="1"/>
    <n v="57"/>
    <s v="Anais Orozco"/>
    <s v="Collections Group"/>
    <d v="2025-02-04T00:00:00"/>
    <d v="1899-12-30T14:00:16"/>
    <d v="1899-12-30T23:00:05"/>
    <n v="9"/>
    <n v="8.0399999999999991"/>
    <n v="1.77"/>
    <n v="0"/>
    <n v="0"/>
    <n v="0.56000000000000005"/>
    <n v="5.16"/>
    <n v="0.51"/>
    <n v="0"/>
    <n v="0"/>
    <n v="0"/>
    <n v="0.04"/>
    <n v="8.0399999999999991"/>
    <n v="22.03"/>
    <n v="0"/>
    <n v="0"/>
    <n v="6.97"/>
    <n v="64.17"/>
    <n v="6.31"/>
    <n v="0"/>
    <n v="0"/>
    <n v="0"/>
    <n v="0.53"/>
    <n v="3"/>
    <x v="1"/>
  </r>
  <r>
    <x v="1"/>
    <x v="249"/>
    <x v="12"/>
    <x v="42"/>
    <n v="83"/>
    <n v="11"/>
    <n v="1"/>
    <n v="9"/>
    <n v="0"/>
    <n v="1"/>
    <n v="30"/>
    <s v="Derice Warnsley"/>
    <s v="Collections Group"/>
    <d v="2025-02-04T00:00:00"/>
    <d v="1899-12-30T14:00:05"/>
    <d v="1899-12-30T23:00:20"/>
    <n v="9"/>
    <n v="9"/>
    <n v="1.99"/>
    <n v="0.31"/>
    <n v="0"/>
    <n v="0.06"/>
    <n v="4.79"/>
    <n v="1.47"/>
    <n v="0.38"/>
    <n v="0"/>
    <n v="0"/>
    <n v="0.01"/>
    <n v="9"/>
    <n v="22.15"/>
    <n v="3.47"/>
    <n v="0"/>
    <n v="0.65"/>
    <n v="53.18"/>
    <n v="16.329999999999998"/>
    <n v="4.16"/>
    <n v="0"/>
    <n v="0"/>
    <n v="0.06"/>
    <n v="3"/>
    <x v="1"/>
  </r>
  <r>
    <x v="3"/>
    <x v="249"/>
    <x v="12"/>
    <x v="61"/>
    <n v="105"/>
    <n v="13"/>
    <n v="10"/>
    <n v="6"/>
    <n v="0"/>
    <n v="1"/>
    <n v="49"/>
    <s v="Jerrod Coleman"/>
    <s v="Collections Group"/>
    <d v="2025-02-04T00:00:00"/>
    <d v="1899-12-30T14:00:30"/>
    <d v="1899-12-30T23:01:13"/>
    <n v="9.02"/>
    <n v="9.01"/>
    <n v="2.37"/>
    <n v="0"/>
    <n v="0"/>
    <n v="0.56000000000000005"/>
    <n v="4.67"/>
    <n v="1.4"/>
    <n v="0"/>
    <n v="0"/>
    <n v="0"/>
    <n v="0.01"/>
    <n v="9.01"/>
    <n v="26.26"/>
    <n v="0"/>
    <n v="0"/>
    <n v="6.26"/>
    <n v="51.8"/>
    <n v="15.54"/>
    <n v="0"/>
    <n v="0"/>
    <n v="0"/>
    <n v="0.13"/>
    <n v="3"/>
    <x v="1"/>
  </r>
  <r>
    <x v="4"/>
    <x v="249"/>
    <x v="12"/>
    <x v="113"/>
    <n v="32"/>
    <n v="8"/>
    <n v="4"/>
    <n v="4"/>
    <n v="0"/>
    <n v="0"/>
    <n v="13"/>
    <s v="Rosette Rwabugahya"/>
    <s v="Collections Group"/>
    <d v="2025-02-04T00:00:00"/>
    <d v="1899-12-30T13:59:47"/>
    <d v="1899-12-30T23:01:54"/>
    <n v="9.0299999999999994"/>
    <n v="9.0299999999999994"/>
    <n v="1.9"/>
    <n v="0.5"/>
    <n v="0"/>
    <n v="1.08"/>
    <n v="3.79"/>
    <n v="1.46"/>
    <n v="0.28999999999999998"/>
    <n v="0"/>
    <n v="0"/>
    <n v="0.01"/>
    <n v="9.0299999999999994"/>
    <n v="21.07"/>
    <n v="5.53"/>
    <n v="0"/>
    <n v="11.97"/>
    <n v="41.93"/>
    <n v="16.2"/>
    <n v="3.24"/>
    <n v="0"/>
    <n v="0"/>
    <n v="0.06"/>
    <n v="3"/>
    <x v="1"/>
  </r>
  <r>
    <x v="5"/>
    <x v="249"/>
    <x v="12"/>
    <x v="51"/>
    <n v="127"/>
    <n v="7"/>
    <n v="17"/>
    <n v="22"/>
    <n v="0"/>
    <n v="0"/>
    <n v="62"/>
    <s v="Sabigh Masood"/>
    <s v="Collections Group"/>
    <d v="2025-02-04T00:00:00"/>
    <d v="1899-12-30T13:59:27"/>
    <d v="1899-12-30T23:01:57"/>
    <n v="9.0299999999999994"/>
    <n v="9.0399999999999991"/>
    <n v="1.96"/>
    <n v="0.33"/>
    <n v="0"/>
    <n v="0.79"/>
    <n v="4.32"/>
    <n v="1.39"/>
    <n v="0.24"/>
    <n v="0"/>
    <n v="0"/>
    <n v="0.01"/>
    <n v="9.0399999999999991"/>
    <n v="21.69"/>
    <n v="3.62"/>
    <n v="0"/>
    <n v="8.7899999999999991"/>
    <n v="47.82"/>
    <n v="15.41"/>
    <n v="2.62"/>
    <n v="0"/>
    <n v="0"/>
    <n v="0.06"/>
    <n v="3"/>
    <x v="1"/>
  </r>
  <r>
    <x v="6"/>
    <x v="249"/>
    <x v="12"/>
    <x v="318"/>
    <n v="0"/>
    <n v="0"/>
    <n v="0"/>
    <n v="0"/>
    <n v="0"/>
    <n v="0"/>
    <n v="0"/>
    <m/>
    <m/>
    <m/>
    <m/>
    <m/>
    <m/>
    <m/>
    <m/>
    <m/>
    <m/>
    <m/>
    <m/>
    <m/>
    <m/>
    <m/>
    <m/>
    <m/>
    <m/>
    <m/>
    <m/>
    <m/>
    <m/>
    <m/>
    <m/>
    <m/>
    <m/>
    <m/>
    <m/>
    <n v="3"/>
    <x v="1"/>
  </r>
  <r>
    <x v="0"/>
    <x v="250"/>
    <x v="12"/>
    <x v="75"/>
    <n v="89"/>
    <n v="4"/>
    <n v="4"/>
    <n v="10"/>
    <n v="0"/>
    <n v="0"/>
    <n v="52"/>
    <s v="Anais Orozco"/>
    <s v="Collections Group"/>
    <d v="2025-02-03T00:00:00"/>
    <d v="1899-12-30T14:01:38"/>
    <d v="1899-12-30T23:00:35"/>
    <n v="8.98"/>
    <n v="8.11"/>
    <n v="0.93"/>
    <n v="0"/>
    <n v="0"/>
    <n v="0.45"/>
    <n v="6.13"/>
    <n v="0.48"/>
    <n v="0"/>
    <n v="0"/>
    <n v="0.06"/>
    <n v="7.0000000000000007E-2"/>
    <n v="8.11"/>
    <n v="11.48"/>
    <n v="0"/>
    <n v="0"/>
    <n v="5.52"/>
    <n v="75.56"/>
    <n v="5.92"/>
    <n v="0"/>
    <n v="0"/>
    <n v="0.69"/>
    <n v="0.83"/>
    <n v="2"/>
    <x v="2"/>
  </r>
  <r>
    <x v="1"/>
    <x v="250"/>
    <x v="12"/>
    <x v="69"/>
    <n v="61"/>
    <n v="8"/>
    <n v="2"/>
    <n v="17"/>
    <n v="0"/>
    <n v="0"/>
    <n v="25"/>
    <s v="Derice Warnsley"/>
    <s v="Collections Group"/>
    <d v="2025-02-03T00:00:00"/>
    <d v="1899-12-30T14:00:17"/>
    <d v="1899-12-30T23:00:06"/>
    <n v="9"/>
    <n v="9"/>
    <n v="1.62"/>
    <n v="0.12"/>
    <n v="0"/>
    <n v="0.06"/>
    <n v="5.2"/>
    <n v="1.5"/>
    <n v="0.5"/>
    <n v="0"/>
    <n v="0"/>
    <n v="0.01"/>
    <n v="9"/>
    <n v="17.98"/>
    <n v="1.3"/>
    <n v="0"/>
    <n v="0.65"/>
    <n v="57.85"/>
    <n v="16.63"/>
    <n v="5.53"/>
    <n v="0"/>
    <n v="0"/>
    <n v="0.06"/>
    <n v="2"/>
    <x v="2"/>
  </r>
  <r>
    <x v="19"/>
    <x v="250"/>
    <x v="12"/>
    <x v="221"/>
    <n v="11"/>
    <n v="0"/>
    <n v="1"/>
    <n v="0"/>
    <n v="0"/>
    <n v="0"/>
    <n v="7"/>
    <s v="Fantina Mullet"/>
    <s v="Collections Group"/>
    <d v="2025-02-03T00:00:00"/>
    <d v="1899-12-30T14:18:48"/>
    <d v="1899-12-30T16:19:09"/>
    <n v="2.02"/>
    <n v="2.0099999999999998"/>
    <n v="0.21"/>
    <n v="0"/>
    <n v="0"/>
    <n v="0"/>
    <n v="1.78"/>
    <n v="0"/>
    <n v="0"/>
    <n v="0"/>
    <n v="0"/>
    <n v="0.01"/>
    <n v="2.0099999999999998"/>
    <n v="10.49"/>
    <n v="0"/>
    <n v="0"/>
    <n v="0.21"/>
    <n v="88.76"/>
    <n v="0"/>
    <n v="0"/>
    <n v="0"/>
    <n v="0"/>
    <n v="0.54"/>
    <n v="2"/>
    <x v="2"/>
  </r>
  <r>
    <x v="3"/>
    <x v="250"/>
    <x v="12"/>
    <x v="64"/>
    <n v="83"/>
    <n v="8"/>
    <n v="8"/>
    <n v="14"/>
    <n v="0"/>
    <n v="0"/>
    <n v="44"/>
    <s v="Jerrod Coleman"/>
    <s v="Collections Group"/>
    <d v="2025-02-03T00:00:00"/>
    <d v="1899-12-30T14:01:35"/>
    <d v="1899-12-30T23:03:22"/>
    <n v="9.0299999999999994"/>
    <n v="9.0299999999999994"/>
    <n v="1.51"/>
    <n v="0.37"/>
    <n v="0"/>
    <n v="0.47"/>
    <n v="5.2"/>
    <n v="1.48"/>
    <n v="0"/>
    <n v="0"/>
    <n v="0"/>
    <n v="0"/>
    <n v="9.0299999999999994"/>
    <n v="16.690000000000001"/>
    <n v="4.08"/>
    <n v="0"/>
    <n v="5.17"/>
    <n v="57.6"/>
    <n v="16.41"/>
    <n v="0"/>
    <n v="0"/>
    <n v="0"/>
    <n v="0.04"/>
    <n v="2"/>
    <x v="2"/>
  </r>
  <r>
    <x v="4"/>
    <x v="250"/>
    <x v="12"/>
    <x v="113"/>
    <n v="35"/>
    <n v="2"/>
    <n v="1"/>
    <n v="1"/>
    <n v="0"/>
    <n v="0"/>
    <n v="23"/>
    <s v="Rosette Rwabugahya"/>
    <s v="Collections Group"/>
    <d v="2025-02-03T00:00:00"/>
    <d v="1899-12-30T13:59:32"/>
    <d v="1899-12-30T23:02:03"/>
    <n v="9.0500000000000007"/>
    <n v="9.0399999999999991"/>
    <n v="0.79"/>
    <n v="0.57999999999999996"/>
    <n v="0"/>
    <n v="0.22"/>
    <n v="4.63"/>
    <n v="1.47"/>
    <n v="1.34"/>
    <n v="0"/>
    <n v="0"/>
    <n v="0"/>
    <n v="9.0399999999999991"/>
    <n v="8.7200000000000006"/>
    <n v="6.46"/>
    <n v="0"/>
    <n v="2.44"/>
    <n v="51.25"/>
    <n v="16.260000000000002"/>
    <n v="14.82"/>
    <n v="0"/>
    <n v="0"/>
    <n v="0.05"/>
    <n v="2"/>
    <x v="2"/>
  </r>
  <r>
    <x v="5"/>
    <x v="250"/>
    <x v="12"/>
    <x v="18"/>
    <n v="85"/>
    <n v="3"/>
    <n v="1"/>
    <n v="7"/>
    <n v="1"/>
    <n v="0"/>
    <n v="48"/>
    <s v="Sabigh Masood"/>
    <s v="Collections Group"/>
    <d v="2025-02-03T00:00:00"/>
    <d v="1899-12-30T13:59:12"/>
    <d v="1899-12-30T23:01:00"/>
    <n v="9.0299999999999994"/>
    <n v="9.0299999999999994"/>
    <n v="0.87"/>
    <n v="0.4"/>
    <n v="0"/>
    <n v="0.61"/>
    <n v="5.44"/>
    <n v="1.45"/>
    <n v="0.22"/>
    <n v="0"/>
    <n v="0.04"/>
    <n v="0"/>
    <n v="9.0299999999999994"/>
    <n v="9.6300000000000008"/>
    <n v="4.41"/>
    <n v="0"/>
    <n v="6.76"/>
    <n v="60.22"/>
    <n v="16.03"/>
    <n v="2.46"/>
    <n v="0"/>
    <n v="0.46"/>
    <n v="0.04"/>
    <n v="2"/>
    <x v="2"/>
  </r>
  <r>
    <x v="6"/>
    <x v="250"/>
    <x v="12"/>
    <x v="319"/>
    <n v="0"/>
    <n v="0"/>
    <n v="0"/>
    <n v="0"/>
    <n v="0"/>
    <n v="0"/>
    <n v="0"/>
    <m/>
    <m/>
    <m/>
    <m/>
    <m/>
    <m/>
    <m/>
    <m/>
    <m/>
    <m/>
    <m/>
    <m/>
    <m/>
    <m/>
    <m/>
    <m/>
    <m/>
    <m/>
    <m/>
    <m/>
    <m/>
    <m/>
    <m/>
    <m/>
    <m/>
    <m/>
    <m/>
    <m/>
    <n v="2"/>
    <x v="2"/>
  </r>
  <r>
    <x v="0"/>
    <x v="251"/>
    <x v="13"/>
    <x v="113"/>
    <n v="39"/>
    <n v="0"/>
    <n v="5"/>
    <n v="4"/>
    <n v="0"/>
    <n v="1"/>
    <n v="20"/>
    <s v="Anais Orozco"/>
    <s v="Collections Group"/>
    <d v="2025-01-31T00:00:00"/>
    <d v="1899-12-30T14:01:28"/>
    <d v="1899-12-30T23:00:44"/>
    <n v="8.98"/>
    <n v="8.0500000000000007"/>
    <n v="1.02"/>
    <n v="0.12"/>
    <n v="0"/>
    <n v="0.23"/>
    <n v="6"/>
    <n v="0.6"/>
    <n v="0"/>
    <n v="0"/>
    <n v="0"/>
    <n v="0.08"/>
    <n v="8.0500000000000007"/>
    <n v="12.61"/>
    <n v="1.47"/>
    <n v="0"/>
    <n v="2.92"/>
    <n v="74.510000000000005"/>
    <n v="7.46"/>
    <n v="0"/>
    <n v="0"/>
    <n v="0"/>
    <n v="1.03"/>
    <n v="6"/>
    <x v="3"/>
  </r>
  <r>
    <x v="1"/>
    <x v="251"/>
    <x v="13"/>
    <x v="104"/>
    <n v="46"/>
    <n v="11"/>
    <n v="2"/>
    <n v="9"/>
    <n v="2"/>
    <n v="0"/>
    <n v="12"/>
    <s v="Derice Warnsley"/>
    <s v="Collections Group"/>
    <d v="2025-01-31T00:00:00"/>
    <d v="1899-12-30T14:00:02"/>
    <d v="1899-12-30T23:00:10"/>
    <n v="9"/>
    <n v="9"/>
    <n v="1.96"/>
    <n v="0"/>
    <n v="0"/>
    <n v="0.03"/>
    <n v="5.51"/>
    <n v="1.5"/>
    <n v="0"/>
    <n v="0"/>
    <n v="0"/>
    <n v="0"/>
    <n v="9"/>
    <n v="21.75"/>
    <n v="0"/>
    <n v="0"/>
    <n v="0.35"/>
    <n v="61.17"/>
    <n v="16.690000000000001"/>
    <n v="0"/>
    <n v="0"/>
    <n v="0"/>
    <n v="0.04"/>
    <n v="6"/>
    <x v="3"/>
  </r>
  <r>
    <x v="19"/>
    <x v="251"/>
    <x v="13"/>
    <x v="118"/>
    <n v="40"/>
    <n v="2"/>
    <n v="0"/>
    <n v="5"/>
    <n v="0"/>
    <n v="0"/>
    <n v="18"/>
    <s v="Fantina Mullet"/>
    <s v="Collections Group"/>
    <d v="2025-01-31T00:00:00"/>
    <d v="1899-12-30T14:00:56"/>
    <d v="1899-12-30T23:00:06"/>
    <n v="9"/>
    <n v="8.98"/>
    <n v="0.77"/>
    <n v="0"/>
    <n v="0"/>
    <n v="0.05"/>
    <n v="6.61"/>
    <n v="1.54"/>
    <n v="0"/>
    <n v="0"/>
    <n v="0"/>
    <n v="0.02"/>
    <n v="8.98"/>
    <n v="8.58"/>
    <n v="0"/>
    <n v="0"/>
    <n v="0.53"/>
    <n v="73.58"/>
    <n v="17.13"/>
    <n v="0"/>
    <n v="0"/>
    <n v="0"/>
    <n v="0.18"/>
    <n v="6"/>
    <x v="3"/>
  </r>
  <r>
    <x v="3"/>
    <x v="251"/>
    <x v="13"/>
    <x v="108"/>
    <n v="55"/>
    <n v="3"/>
    <n v="3"/>
    <n v="0"/>
    <n v="0"/>
    <n v="0"/>
    <n v="34"/>
    <s v="Jerrod Coleman"/>
    <s v="Collections Group"/>
    <d v="2025-01-31T00:00:00"/>
    <d v="1899-12-30T14:04:06"/>
    <d v="1899-12-30T18:59:34"/>
    <n v="4.92"/>
    <n v="4.92"/>
    <n v="0.59"/>
    <n v="0"/>
    <n v="0"/>
    <n v="0.19"/>
    <n v="2.67"/>
    <n v="1.47"/>
    <n v="0"/>
    <n v="0"/>
    <n v="0"/>
    <n v="0"/>
    <n v="4.92"/>
    <n v="12.04"/>
    <n v="0"/>
    <n v="0"/>
    <n v="3.81"/>
    <n v="54.16"/>
    <n v="29.92"/>
    <n v="0"/>
    <n v="0"/>
    <n v="0"/>
    <n v="0.08"/>
    <n v="6"/>
    <x v="3"/>
  </r>
  <r>
    <x v="4"/>
    <x v="251"/>
    <x v="13"/>
    <x v="76"/>
    <n v="26"/>
    <n v="0"/>
    <n v="1"/>
    <n v="5"/>
    <n v="0"/>
    <n v="0"/>
    <n v="8"/>
    <s v="Rosette Rwabugahya"/>
    <s v="Collections Group"/>
    <d v="2025-01-31T00:00:00"/>
    <d v="1899-12-30T14:05:49"/>
    <d v="1899-12-30T23:06:10"/>
    <n v="9.02"/>
    <n v="9"/>
    <n v="2.39"/>
    <n v="0.51"/>
    <n v="0"/>
    <n v="0.2"/>
    <n v="3.81"/>
    <n v="1.47"/>
    <n v="0.6"/>
    <n v="0"/>
    <n v="0"/>
    <n v="0.02"/>
    <n v="9"/>
    <n v="26.56"/>
    <n v="5.7"/>
    <n v="0"/>
    <n v="2.17"/>
    <n v="42.33"/>
    <n v="16.36"/>
    <n v="6.66"/>
    <n v="0"/>
    <n v="0"/>
    <n v="0.23"/>
    <n v="6"/>
    <x v="3"/>
  </r>
  <r>
    <x v="5"/>
    <x v="251"/>
    <x v="13"/>
    <x v="120"/>
    <n v="38"/>
    <n v="6"/>
    <n v="4"/>
    <n v="6"/>
    <n v="0"/>
    <n v="0"/>
    <n v="18"/>
    <s v="Sabigh Masood"/>
    <s v="Collections Group"/>
    <d v="2025-01-31T00:00:00"/>
    <d v="1899-12-30T13:58:13"/>
    <d v="1899-12-30T23:05:58"/>
    <n v="9.1199999999999992"/>
    <n v="9.1"/>
    <n v="1.52"/>
    <n v="0.28999999999999998"/>
    <n v="0"/>
    <n v="0.8"/>
    <n v="4.29"/>
    <n v="1.94"/>
    <n v="0"/>
    <n v="0"/>
    <n v="0.26"/>
    <n v="0.01"/>
    <n v="9.1"/>
    <n v="16.68"/>
    <n v="3.19"/>
    <n v="0"/>
    <n v="8.7799999999999994"/>
    <n v="47.14"/>
    <n v="21.3"/>
    <n v="0"/>
    <n v="0"/>
    <n v="2.82"/>
    <n v="0.08"/>
    <n v="6"/>
    <x v="3"/>
  </r>
  <r>
    <x v="6"/>
    <x v="251"/>
    <x v="13"/>
    <x v="320"/>
    <n v="0"/>
    <n v="0"/>
    <n v="0"/>
    <n v="0"/>
    <n v="0"/>
    <n v="0"/>
    <n v="0"/>
    <m/>
    <m/>
    <m/>
    <m/>
    <m/>
    <m/>
    <m/>
    <m/>
    <m/>
    <m/>
    <m/>
    <m/>
    <m/>
    <m/>
    <m/>
    <m/>
    <m/>
    <m/>
    <m/>
    <m/>
    <m/>
    <m/>
    <m/>
    <m/>
    <m/>
    <m/>
    <m/>
    <m/>
    <n v="6"/>
    <x v="3"/>
  </r>
  <r>
    <x v="0"/>
    <x v="252"/>
    <x v="13"/>
    <x v="52"/>
    <n v="63"/>
    <n v="3"/>
    <n v="5"/>
    <n v="1"/>
    <n v="0"/>
    <n v="4"/>
    <n v="40"/>
    <s v="Anais Orozco"/>
    <s v="Collections Group"/>
    <d v="2025-01-30T00:00:00"/>
    <d v="1899-12-30T13:59:38"/>
    <d v="1899-12-30T23:08:31"/>
    <n v="9.15"/>
    <n v="8.24"/>
    <n v="1.07"/>
    <n v="0.28000000000000003"/>
    <n v="0"/>
    <n v="0.4"/>
    <n v="4.9800000000000004"/>
    <n v="0.3"/>
    <n v="1.19"/>
    <n v="0"/>
    <n v="0"/>
    <n v="0.03"/>
    <n v="8.24"/>
    <n v="13"/>
    <n v="3.39"/>
    <n v="0"/>
    <n v="4.8499999999999996"/>
    <n v="60.42"/>
    <n v="3.58"/>
    <n v="14.46"/>
    <n v="0"/>
    <n v="0"/>
    <n v="0.31"/>
    <n v="5"/>
    <x v="4"/>
  </r>
  <r>
    <x v="1"/>
    <x v="252"/>
    <x v="13"/>
    <x v="90"/>
    <n v="52"/>
    <n v="5"/>
    <n v="8"/>
    <n v="5"/>
    <n v="0"/>
    <n v="0"/>
    <n v="17"/>
    <s v="Derice Warnsley"/>
    <s v="Collections Group"/>
    <d v="2025-01-30T00:00:00"/>
    <d v="1899-12-30T14:00:07"/>
    <d v="1899-12-30T23:00:08"/>
    <n v="9"/>
    <n v="8.93"/>
    <n v="1.76"/>
    <n v="0.08"/>
    <n v="0"/>
    <n v="0.06"/>
    <n v="3.87"/>
    <n v="1.51"/>
    <n v="1.62"/>
    <n v="0"/>
    <n v="0"/>
    <n v="0.03"/>
    <n v="8.93"/>
    <n v="19.760000000000002"/>
    <n v="0.91"/>
    <n v="0"/>
    <n v="0.64"/>
    <n v="43.32"/>
    <n v="16.899999999999999"/>
    <n v="18.18"/>
    <n v="0"/>
    <n v="0"/>
    <n v="0.28999999999999998"/>
    <n v="5"/>
    <x v="4"/>
  </r>
  <r>
    <x v="19"/>
    <x v="252"/>
    <x v="13"/>
    <x v="56"/>
    <n v="46"/>
    <n v="2"/>
    <n v="0"/>
    <n v="7"/>
    <n v="1"/>
    <n v="0"/>
    <n v="17"/>
    <s v="Fantina Mullet"/>
    <s v="Collections Group"/>
    <d v="2025-01-30T00:00:00"/>
    <d v="1899-12-30T13:58:45"/>
    <d v="1899-12-30T22:01:13"/>
    <n v="8.0500000000000007"/>
    <n v="7.95"/>
    <n v="0.77"/>
    <n v="0"/>
    <n v="0"/>
    <n v="0.1"/>
    <n v="4.5"/>
    <n v="1.39"/>
    <n v="1.1399999999999999"/>
    <n v="0"/>
    <n v="0.04"/>
    <n v="0.01"/>
    <n v="7.95"/>
    <n v="9.7100000000000009"/>
    <n v="0"/>
    <n v="0"/>
    <n v="1.2"/>
    <n v="56.59"/>
    <n v="17.53"/>
    <n v="14.37"/>
    <n v="0"/>
    <n v="0.46"/>
    <n v="0.14000000000000001"/>
    <n v="5"/>
    <x v="4"/>
  </r>
  <r>
    <x v="3"/>
    <x v="252"/>
    <x v="13"/>
    <x v="74"/>
    <n v="29"/>
    <n v="4"/>
    <n v="3"/>
    <n v="5"/>
    <n v="0"/>
    <n v="0"/>
    <n v="9"/>
    <s v="Jerrod Coleman"/>
    <s v="Collections Group"/>
    <d v="2025-01-30T00:00:00"/>
    <d v="1899-12-30T14:00:07"/>
    <d v="1899-12-30T20:59:07"/>
    <n v="6.98"/>
    <n v="6.98"/>
    <n v="0.92"/>
    <n v="0"/>
    <n v="0"/>
    <n v="0.22"/>
    <n v="2.83"/>
    <n v="1.48"/>
    <n v="1.53"/>
    <n v="0"/>
    <n v="0"/>
    <n v="0.01"/>
    <n v="6.98"/>
    <n v="13.21"/>
    <n v="0"/>
    <n v="0"/>
    <n v="3.21"/>
    <n v="40.51"/>
    <n v="21.16"/>
    <n v="21.84"/>
    <n v="0"/>
    <n v="0"/>
    <n v="0.08"/>
    <n v="5"/>
    <x v="4"/>
  </r>
  <r>
    <x v="4"/>
    <x v="252"/>
    <x v="13"/>
    <x v="108"/>
    <n v="31"/>
    <n v="1"/>
    <n v="1"/>
    <n v="1"/>
    <n v="0"/>
    <n v="0"/>
    <n v="12"/>
    <s v="Rosette Rwabugahya"/>
    <s v="Collections Group"/>
    <d v="2025-01-30T00:00:00"/>
    <d v="1899-12-30T14:00:57"/>
    <d v="1899-12-30T23:01:21"/>
    <n v="9.02"/>
    <n v="9.01"/>
    <n v="1.36"/>
    <n v="0.28999999999999998"/>
    <n v="0"/>
    <n v="0.32"/>
    <n v="4.34"/>
    <n v="1.5"/>
    <n v="1.18"/>
    <n v="0"/>
    <n v="0"/>
    <n v="0.01"/>
    <n v="9.01"/>
    <n v="15.12"/>
    <n v="3.25"/>
    <n v="0"/>
    <n v="3.55"/>
    <n v="48.2"/>
    <n v="16.68"/>
    <n v="13.14"/>
    <n v="0"/>
    <n v="0"/>
    <n v="0.06"/>
    <n v="5"/>
    <x v="4"/>
  </r>
  <r>
    <x v="5"/>
    <x v="252"/>
    <x v="13"/>
    <x v="118"/>
    <n v="57"/>
    <n v="1"/>
    <n v="6"/>
    <n v="3"/>
    <n v="0"/>
    <n v="0"/>
    <n v="34"/>
    <s v="Sabigh Masood"/>
    <s v="Collections Group"/>
    <d v="2025-01-30T00:00:00"/>
    <d v="1899-12-30T13:58:51"/>
    <d v="1899-12-30T23:02:57"/>
    <n v="9.07"/>
    <n v="8.92"/>
    <n v="0.22"/>
    <n v="0"/>
    <n v="0"/>
    <n v="0.47"/>
    <n v="4.99"/>
    <n v="1.49"/>
    <n v="1.55"/>
    <n v="0"/>
    <n v="0.18"/>
    <n v="0.02"/>
    <n v="8.92"/>
    <n v="2.44"/>
    <n v="0"/>
    <n v="0"/>
    <n v="5.28"/>
    <n v="55.98"/>
    <n v="16.75"/>
    <n v="17.420000000000002"/>
    <n v="0"/>
    <n v="1.97"/>
    <n v="0.17"/>
    <n v="5"/>
    <x v="4"/>
  </r>
  <r>
    <x v="6"/>
    <x v="252"/>
    <x v="13"/>
    <x v="321"/>
    <n v="0"/>
    <n v="0"/>
    <n v="0"/>
    <n v="0"/>
    <n v="0"/>
    <n v="0"/>
    <n v="0"/>
    <m/>
    <m/>
    <m/>
    <m/>
    <m/>
    <m/>
    <m/>
    <m/>
    <m/>
    <m/>
    <m/>
    <m/>
    <m/>
    <m/>
    <m/>
    <m/>
    <m/>
    <m/>
    <m/>
    <m/>
    <m/>
    <m/>
    <m/>
    <m/>
    <m/>
    <m/>
    <m/>
    <m/>
    <n v="5"/>
    <x v="4"/>
  </r>
  <r>
    <x v="0"/>
    <x v="253"/>
    <x v="13"/>
    <x v="113"/>
    <n v="57"/>
    <n v="0"/>
    <n v="6"/>
    <n v="1"/>
    <n v="0"/>
    <n v="2"/>
    <n v="38"/>
    <s v="Anais Orozco"/>
    <s v="Collections Group"/>
    <d v="2025-01-29T00:00:00"/>
    <d v="1899-12-30T14:01:58"/>
    <d v="1899-12-30T23:00:05"/>
    <n v="8.98"/>
    <n v="8.0299999999999994"/>
    <n v="0.62"/>
    <n v="0.35"/>
    <n v="0"/>
    <n v="0.19"/>
    <n v="6.18"/>
    <n v="0.65"/>
    <n v="0"/>
    <n v="0"/>
    <n v="0"/>
    <n v="0.04"/>
    <n v="8.0299999999999994"/>
    <n v="7.75"/>
    <n v="4.37"/>
    <n v="0"/>
    <n v="2.4"/>
    <n v="76.98"/>
    <n v="8.0500000000000007"/>
    <n v="0"/>
    <n v="0"/>
    <n v="0"/>
    <n v="0.46"/>
    <n v="4"/>
    <x v="0"/>
  </r>
  <r>
    <x v="1"/>
    <x v="253"/>
    <x v="13"/>
    <x v="90"/>
    <n v="80"/>
    <n v="5"/>
    <n v="4"/>
    <n v="2"/>
    <n v="0"/>
    <n v="0"/>
    <n v="42"/>
    <s v="Derice Warnsley"/>
    <s v="Collections Group"/>
    <d v="2025-01-29T00:00:00"/>
    <d v="1899-12-30T14:00:23"/>
    <d v="1899-12-30T23:00:09"/>
    <n v="9"/>
    <n v="8.99"/>
    <n v="1.27"/>
    <n v="0.24"/>
    <n v="0"/>
    <n v="0.05"/>
    <n v="5.94"/>
    <n v="1.5"/>
    <n v="0"/>
    <n v="0"/>
    <n v="0"/>
    <n v="0.01"/>
    <n v="8.99"/>
    <n v="14.08"/>
    <n v="2.67"/>
    <n v="0"/>
    <n v="0.51"/>
    <n v="66.010000000000005"/>
    <n v="16.670000000000002"/>
    <n v="0"/>
    <n v="0"/>
    <n v="0"/>
    <n v="0.06"/>
    <n v="4"/>
    <x v="0"/>
  </r>
  <r>
    <x v="19"/>
    <x v="253"/>
    <x v="13"/>
    <x v="108"/>
    <n v="39"/>
    <n v="6"/>
    <n v="0"/>
    <n v="5"/>
    <n v="0"/>
    <n v="0"/>
    <n v="16"/>
    <s v="Fantina Mullet"/>
    <s v="Collections Group"/>
    <d v="2025-01-29T00:00:00"/>
    <d v="1899-12-30T13:59:35"/>
    <d v="1899-12-30T23:00:06"/>
    <n v="9.02"/>
    <n v="9.01"/>
    <n v="0.44"/>
    <n v="0"/>
    <n v="0"/>
    <n v="0.01"/>
    <n v="6.88"/>
    <n v="1.51"/>
    <n v="0.16"/>
    <n v="0"/>
    <n v="0"/>
    <n v="0"/>
    <n v="9.01"/>
    <n v="4.93"/>
    <n v="0"/>
    <n v="0"/>
    <n v="0.13"/>
    <n v="76.42"/>
    <n v="16.73"/>
    <n v="1.74"/>
    <n v="0"/>
    <n v="0"/>
    <n v="0.05"/>
    <n v="4"/>
    <x v="0"/>
  </r>
  <r>
    <x v="3"/>
    <x v="253"/>
    <x v="13"/>
    <x v="56"/>
    <n v="87"/>
    <n v="4"/>
    <n v="7"/>
    <n v="5"/>
    <n v="2"/>
    <n v="3"/>
    <n v="46"/>
    <s v="Jerrod Coleman"/>
    <s v="Collections Group"/>
    <d v="2025-01-29T00:00:00"/>
    <d v="1899-12-30T14:01:17"/>
    <d v="1899-12-30T23:01:01"/>
    <n v="9"/>
    <n v="9"/>
    <n v="0.9"/>
    <n v="0.11"/>
    <n v="0"/>
    <n v="0.17"/>
    <n v="6.31"/>
    <n v="1.5"/>
    <n v="0"/>
    <n v="0"/>
    <n v="0"/>
    <n v="0"/>
    <n v="9"/>
    <n v="9.98"/>
    <n v="1.25"/>
    <n v="0"/>
    <n v="1.87"/>
    <n v="70.17"/>
    <n v="16.68"/>
    <n v="0"/>
    <n v="0"/>
    <n v="0"/>
    <n v="0.04"/>
    <n v="4"/>
    <x v="0"/>
  </r>
  <r>
    <x v="4"/>
    <x v="253"/>
    <x v="13"/>
    <x v="73"/>
    <n v="27"/>
    <n v="1"/>
    <n v="1"/>
    <n v="3"/>
    <n v="0"/>
    <n v="0"/>
    <n v="10"/>
    <s v="Rosette Rwabugahya"/>
    <s v="Collections Group"/>
    <d v="2025-01-29T00:00:00"/>
    <d v="1899-12-30T13:57:51"/>
    <d v="1899-12-30T23:02:26"/>
    <n v="9.08"/>
    <n v="9.08"/>
    <n v="1.67"/>
    <n v="0.44"/>
    <n v="0"/>
    <n v="0.25"/>
    <n v="5.22"/>
    <n v="1.49"/>
    <n v="0"/>
    <n v="0"/>
    <n v="0"/>
    <n v="0"/>
    <n v="9.08"/>
    <n v="18.36"/>
    <n v="4.87"/>
    <n v="0"/>
    <n v="2.74"/>
    <n v="57.5"/>
    <n v="16.46"/>
    <n v="0"/>
    <n v="0"/>
    <n v="0"/>
    <n v="0.05"/>
    <n v="4"/>
    <x v="0"/>
  </r>
  <r>
    <x v="5"/>
    <x v="253"/>
    <x v="13"/>
    <x v="90"/>
    <n v="80"/>
    <n v="3"/>
    <n v="2"/>
    <n v="23"/>
    <n v="0"/>
    <n v="0"/>
    <n v="38"/>
    <s v="Sabigh Masood"/>
    <s v="Collections Group"/>
    <d v="2025-01-29T00:00:00"/>
    <d v="1899-12-30T13:59:25"/>
    <d v="1899-12-30T23:28:50"/>
    <n v="9.48"/>
    <n v="9.41"/>
    <n v="1.1000000000000001"/>
    <n v="0.35"/>
    <n v="0"/>
    <n v="0.42"/>
    <n v="5.73"/>
    <n v="1.38"/>
    <n v="0.22"/>
    <n v="0"/>
    <n v="0.2"/>
    <n v="0.01"/>
    <n v="9.41"/>
    <n v="11.7"/>
    <n v="3.71"/>
    <n v="0"/>
    <n v="4.47"/>
    <n v="60.92"/>
    <n v="14.68"/>
    <n v="2.2999999999999998"/>
    <n v="0"/>
    <n v="2.1"/>
    <n v="0.14000000000000001"/>
    <n v="4"/>
    <x v="0"/>
  </r>
  <r>
    <x v="6"/>
    <x v="253"/>
    <x v="13"/>
    <x v="322"/>
    <n v="0"/>
    <n v="0"/>
    <n v="0"/>
    <n v="0"/>
    <n v="0"/>
    <n v="0"/>
    <n v="0"/>
    <m/>
    <m/>
    <m/>
    <m/>
    <m/>
    <m/>
    <m/>
    <m/>
    <m/>
    <m/>
    <m/>
    <m/>
    <m/>
    <m/>
    <m/>
    <m/>
    <m/>
    <m/>
    <m/>
    <m/>
    <m/>
    <m/>
    <m/>
    <m/>
    <m/>
    <m/>
    <m/>
    <m/>
    <n v="4"/>
    <x v="0"/>
  </r>
  <r>
    <x v="0"/>
    <x v="254"/>
    <x v="13"/>
    <x v="56"/>
    <n v="80"/>
    <n v="3"/>
    <n v="6"/>
    <n v="3"/>
    <n v="0"/>
    <n v="2"/>
    <n v="45"/>
    <s v="Anais Orozco"/>
    <s v="Collections Group"/>
    <d v="2025-01-28T00:00:00"/>
    <d v="1899-12-30T14:02:41"/>
    <d v="1899-12-30T23:00:24"/>
    <n v="8.9700000000000006"/>
    <n v="8.02"/>
    <n v="0.99"/>
    <n v="0.34"/>
    <n v="0"/>
    <n v="0.5"/>
    <n v="5.91"/>
    <n v="0.27"/>
    <n v="0"/>
    <n v="0"/>
    <n v="0"/>
    <n v="0.02"/>
    <n v="8.02"/>
    <n v="12.37"/>
    <n v="4.24"/>
    <n v="0"/>
    <n v="6.24"/>
    <n v="73.61"/>
    <n v="3.32"/>
    <n v="0"/>
    <n v="0"/>
    <n v="0"/>
    <n v="0.22"/>
    <n v="3"/>
    <x v="1"/>
  </r>
  <r>
    <x v="1"/>
    <x v="254"/>
    <x v="13"/>
    <x v="75"/>
    <n v="72"/>
    <n v="4"/>
    <n v="6"/>
    <n v="16"/>
    <n v="0"/>
    <n v="0"/>
    <n v="30"/>
    <s v="Derice Warnsley"/>
    <s v="Collections Group"/>
    <d v="2025-01-28T00:00:00"/>
    <d v="1899-12-30T14:00:09"/>
    <d v="1899-12-30T23:00:08"/>
    <n v="9"/>
    <n v="9"/>
    <n v="1.75"/>
    <n v="0.38"/>
    <n v="0"/>
    <n v="7.0000000000000007E-2"/>
    <n v="5.32"/>
    <n v="1.49"/>
    <n v="0"/>
    <n v="0"/>
    <n v="0"/>
    <n v="0"/>
    <n v="9"/>
    <n v="19.43"/>
    <n v="4.17"/>
    <n v="0"/>
    <n v="0.73"/>
    <n v="59.1"/>
    <n v="16.52"/>
    <n v="0"/>
    <n v="0"/>
    <n v="0"/>
    <n v="0.05"/>
    <n v="3"/>
    <x v="1"/>
  </r>
  <r>
    <x v="19"/>
    <x v="254"/>
    <x v="13"/>
    <x v="56"/>
    <n v="52"/>
    <n v="3"/>
    <n v="4"/>
    <n v="12"/>
    <n v="0"/>
    <n v="0"/>
    <n v="15"/>
    <s v="Fantina Mullet"/>
    <s v="Collections Group"/>
    <d v="2025-01-28T00:00:00"/>
    <d v="1899-12-30T13:59:55"/>
    <d v="1899-12-30T23:00:08"/>
    <n v="9.02"/>
    <n v="9.01"/>
    <n v="1.1200000000000001"/>
    <n v="0"/>
    <n v="0"/>
    <n v="0.03"/>
    <n v="6.35"/>
    <n v="1.5"/>
    <n v="0"/>
    <n v="0"/>
    <n v="0"/>
    <n v="0.01"/>
    <n v="9.01"/>
    <n v="12.42"/>
    <n v="0"/>
    <n v="0"/>
    <n v="0.28999999999999998"/>
    <n v="70.540000000000006"/>
    <n v="16.7"/>
    <n v="0"/>
    <n v="0"/>
    <n v="0"/>
    <n v="0.06"/>
    <n v="3"/>
    <x v="1"/>
  </r>
  <r>
    <x v="3"/>
    <x v="254"/>
    <x v="13"/>
    <x v="40"/>
    <n v="72"/>
    <n v="8"/>
    <n v="8"/>
    <n v="12"/>
    <n v="0"/>
    <n v="1"/>
    <n v="24"/>
    <s v="Jerrod Coleman"/>
    <s v="Collections Group"/>
    <d v="2025-01-28T00:00:00"/>
    <d v="1899-12-30T14:01:23"/>
    <d v="1899-12-30T22:59:39"/>
    <n v="8.9700000000000006"/>
    <n v="9.27"/>
    <n v="2.39"/>
    <n v="0.15"/>
    <n v="0"/>
    <n v="0.45"/>
    <n v="4.8499999999999996"/>
    <n v="1.43"/>
    <n v="0"/>
    <n v="0"/>
    <n v="0"/>
    <n v="0"/>
    <n v="9.27"/>
    <n v="25.75"/>
    <n v="1.66"/>
    <n v="0"/>
    <n v="4.83"/>
    <n v="52.33"/>
    <n v="15.39"/>
    <n v="0"/>
    <n v="0"/>
    <n v="0"/>
    <n v="0.04"/>
    <n v="3"/>
    <x v="1"/>
  </r>
  <r>
    <x v="4"/>
    <x v="254"/>
    <x v="13"/>
    <x v="121"/>
    <n v="20"/>
    <n v="3"/>
    <n v="2"/>
    <n v="1"/>
    <n v="0"/>
    <n v="0"/>
    <n v="9"/>
    <s v="Rosette Rwabugahya"/>
    <s v="Collections Group"/>
    <d v="2025-01-28T00:00:00"/>
    <d v="1899-12-30T15:58:36"/>
    <d v="1899-12-30T23:03:16"/>
    <n v="7.08"/>
    <n v="7.08"/>
    <n v="1.53"/>
    <n v="0.42"/>
    <n v="0"/>
    <n v="0.31"/>
    <n v="3.57"/>
    <n v="1.24"/>
    <n v="0"/>
    <n v="0"/>
    <n v="0"/>
    <n v="0"/>
    <n v="7.08"/>
    <n v="21.68"/>
    <n v="5.94"/>
    <n v="0"/>
    <n v="4.3099999999999996"/>
    <n v="50.45"/>
    <n v="17.55"/>
    <n v="0"/>
    <n v="0"/>
    <n v="0"/>
    <n v="7.0000000000000007E-2"/>
    <n v="3"/>
    <x v="1"/>
  </r>
  <r>
    <x v="5"/>
    <x v="254"/>
    <x v="13"/>
    <x v="56"/>
    <n v="135"/>
    <n v="10"/>
    <n v="17"/>
    <n v="54"/>
    <n v="1"/>
    <n v="0"/>
    <n v="42"/>
    <s v="Sabigh Masood"/>
    <s v="Collections Group"/>
    <d v="2025-01-28T00:00:00"/>
    <d v="1899-12-30T13:59:25"/>
    <d v="1899-12-30T23:01:08"/>
    <n v="9.0299999999999994"/>
    <n v="9.1999999999999993"/>
    <n v="3.6"/>
    <n v="0.2"/>
    <n v="0"/>
    <n v="0.51"/>
    <n v="3.17"/>
    <n v="1.48"/>
    <n v="0.24"/>
    <n v="0"/>
    <n v="0"/>
    <n v="0"/>
    <n v="9.1999999999999993"/>
    <n v="39.130000000000003"/>
    <n v="2.13"/>
    <n v="0"/>
    <n v="5.53"/>
    <n v="34.47"/>
    <n v="16.12"/>
    <n v="2.58"/>
    <n v="0"/>
    <n v="0"/>
    <n v="0.04"/>
    <n v="3"/>
    <x v="1"/>
  </r>
  <r>
    <x v="6"/>
    <x v="254"/>
    <x v="13"/>
    <x v="323"/>
    <n v="0"/>
    <n v="0"/>
    <n v="0"/>
    <n v="0"/>
    <n v="0"/>
    <n v="0"/>
    <n v="0"/>
    <m/>
    <m/>
    <m/>
    <m/>
    <m/>
    <m/>
    <m/>
    <m/>
    <m/>
    <m/>
    <m/>
    <m/>
    <m/>
    <m/>
    <m/>
    <m/>
    <m/>
    <m/>
    <m/>
    <m/>
    <m/>
    <m/>
    <m/>
    <m/>
    <m/>
    <m/>
    <m/>
    <m/>
    <n v="3"/>
    <x v="1"/>
  </r>
  <r>
    <x v="0"/>
    <x v="255"/>
    <x v="13"/>
    <x v="21"/>
    <n v="79"/>
    <n v="6"/>
    <n v="12"/>
    <n v="7"/>
    <n v="0"/>
    <n v="7"/>
    <n v="36"/>
    <s v="Anais Orozco"/>
    <s v="Collections Group"/>
    <d v="2025-01-27T00:00:00"/>
    <d v="1899-12-30T14:01:58"/>
    <d v="1899-12-30T23:00:06"/>
    <n v="8.98"/>
    <n v="8.2799999999999994"/>
    <n v="1.19"/>
    <n v="0.35"/>
    <n v="0"/>
    <n v="0.62"/>
    <n v="5.58"/>
    <n v="0.52"/>
    <n v="0"/>
    <n v="0"/>
    <n v="0"/>
    <n v="0.01"/>
    <n v="8.2799999999999994"/>
    <n v="14.43"/>
    <n v="4.18"/>
    <n v="0"/>
    <n v="7.45"/>
    <n v="67.45"/>
    <n v="6.32"/>
    <n v="0"/>
    <n v="0"/>
    <n v="0"/>
    <n v="0.17"/>
    <n v="2"/>
    <x v="2"/>
  </r>
  <r>
    <x v="1"/>
    <x v="255"/>
    <x v="13"/>
    <x v="113"/>
    <n v="68"/>
    <n v="5"/>
    <n v="6"/>
    <n v="20"/>
    <n v="0"/>
    <n v="0"/>
    <n v="35"/>
    <s v="Derice Warnsley"/>
    <s v="Collections Group"/>
    <d v="2025-01-27T00:00:00"/>
    <d v="1899-12-30T13:59:31"/>
    <d v="1899-12-30T23:00:04"/>
    <n v="9.02"/>
    <n v="9.01"/>
    <n v="1.49"/>
    <n v="0.25"/>
    <n v="0"/>
    <n v="0.05"/>
    <n v="5.24"/>
    <n v="1.49"/>
    <n v="0.48"/>
    <n v="0"/>
    <n v="0"/>
    <n v="0.01"/>
    <n v="9.01"/>
    <n v="16.57"/>
    <n v="2.77"/>
    <n v="0"/>
    <n v="0.52"/>
    <n v="58.18"/>
    <n v="16.489999999999998"/>
    <n v="5.32"/>
    <n v="0"/>
    <n v="0"/>
    <n v="0.15"/>
    <n v="2"/>
    <x v="2"/>
  </r>
  <r>
    <x v="19"/>
    <x v="255"/>
    <x v="13"/>
    <x v="52"/>
    <n v="40"/>
    <n v="6"/>
    <n v="6"/>
    <n v="6"/>
    <n v="0"/>
    <n v="0"/>
    <n v="17"/>
    <s v="Fantina Mullet"/>
    <s v="Collections Group"/>
    <d v="2025-01-27T00:00:00"/>
    <d v="1899-12-30T13:59:20"/>
    <d v="1899-12-30T23:00:08"/>
    <n v="9.02"/>
    <n v="9.01"/>
    <n v="1.71"/>
    <n v="0.25"/>
    <n v="0"/>
    <n v="0.03"/>
    <n v="5.48"/>
    <n v="1.51"/>
    <n v="0"/>
    <n v="0"/>
    <n v="0"/>
    <n v="0.02"/>
    <n v="9.01"/>
    <n v="18.989999999999998"/>
    <n v="2.8"/>
    <n v="0"/>
    <n v="0.39"/>
    <n v="60.85"/>
    <n v="16.8"/>
    <n v="0"/>
    <n v="0"/>
    <n v="0"/>
    <n v="0.18"/>
    <n v="2"/>
    <x v="2"/>
  </r>
  <r>
    <x v="3"/>
    <x v="255"/>
    <x v="13"/>
    <x v="51"/>
    <n v="62"/>
    <n v="6"/>
    <n v="10"/>
    <n v="4"/>
    <n v="0"/>
    <n v="1"/>
    <n v="30"/>
    <s v="Jerrod Coleman"/>
    <s v="Collections Group"/>
    <d v="2025-01-27T00:00:00"/>
    <d v="1899-12-30T14:03:09"/>
    <d v="1899-12-30T22:59:29"/>
    <n v="8.93"/>
    <n v="8.83"/>
    <n v="1.75"/>
    <n v="0.24"/>
    <n v="0"/>
    <n v="0.48"/>
    <n v="5.03"/>
    <n v="1.32"/>
    <n v="0"/>
    <n v="0"/>
    <n v="0"/>
    <n v="0.01"/>
    <n v="8.83"/>
    <n v="19.87"/>
    <n v="2.68"/>
    <n v="0"/>
    <n v="5.42"/>
    <n v="56.95"/>
    <n v="14.99"/>
    <n v="0"/>
    <n v="0"/>
    <n v="0"/>
    <n v="0.09"/>
    <n v="2"/>
    <x v="2"/>
  </r>
  <r>
    <x v="4"/>
    <x v="255"/>
    <x v="13"/>
    <x v="118"/>
    <n v="38"/>
    <n v="3"/>
    <n v="7"/>
    <n v="7"/>
    <n v="1"/>
    <n v="0"/>
    <n v="12"/>
    <s v="Rosette Rwabugahya"/>
    <s v="Collections Group"/>
    <d v="2025-01-27T00:00:00"/>
    <d v="1899-12-30T13:59:29"/>
    <d v="1899-12-30T23:22:36"/>
    <n v="9.3800000000000008"/>
    <n v="9.0299999999999994"/>
    <n v="1.42"/>
    <n v="0.56000000000000005"/>
    <n v="0"/>
    <n v="0.4"/>
    <n v="5.03"/>
    <n v="1.51"/>
    <n v="0"/>
    <n v="0"/>
    <n v="0.1"/>
    <n v="0.01"/>
    <n v="9.0299999999999994"/>
    <n v="15.68"/>
    <n v="6.25"/>
    <n v="0"/>
    <n v="4.42"/>
    <n v="55.76"/>
    <n v="16.670000000000002"/>
    <n v="0"/>
    <n v="0"/>
    <n v="1.1000000000000001"/>
    <n v="0.12"/>
    <n v="2"/>
    <x v="2"/>
  </r>
  <r>
    <x v="5"/>
    <x v="255"/>
    <x v="13"/>
    <x v="56"/>
    <n v="106"/>
    <n v="4"/>
    <n v="13"/>
    <n v="9"/>
    <n v="0"/>
    <n v="1"/>
    <n v="54"/>
    <s v="Sabigh Masood"/>
    <s v="Collections Group"/>
    <d v="2025-01-27T00:00:00"/>
    <d v="1899-12-30T13:59:11"/>
    <d v="1899-12-30T23:00:57"/>
    <n v="9.02"/>
    <n v="9.0299999999999994"/>
    <n v="1.06"/>
    <n v="0.21"/>
    <n v="0"/>
    <n v="0.82"/>
    <n v="5.2"/>
    <n v="1.49"/>
    <n v="0.25"/>
    <n v="0"/>
    <n v="0"/>
    <n v="0.01"/>
    <n v="9.0299999999999994"/>
    <n v="11.74"/>
    <n v="2.2999999999999998"/>
    <n v="0"/>
    <n v="9.1300000000000008"/>
    <n v="57.54"/>
    <n v="16.5"/>
    <n v="2.73"/>
    <n v="0"/>
    <n v="0"/>
    <n v="0.06"/>
    <n v="2"/>
    <x v="2"/>
  </r>
  <r>
    <x v="6"/>
    <x v="255"/>
    <x v="13"/>
    <x v="324"/>
    <n v="0"/>
    <n v="0"/>
    <n v="0"/>
    <n v="0"/>
    <n v="0"/>
    <n v="0"/>
    <n v="0"/>
    <m/>
    <m/>
    <m/>
    <m/>
    <m/>
    <m/>
    <m/>
    <m/>
    <m/>
    <m/>
    <m/>
    <m/>
    <m/>
    <m/>
    <m/>
    <m/>
    <m/>
    <m/>
    <m/>
    <m/>
    <m/>
    <m/>
    <m/>
    <m/>
    <m/>
    <m/>
    <m/>
    <m/>
    <n v="2"/>
    <x v="2"/>
  </r>
  <r>
    <x v="0"/>
    <x v="256"/>
    <x v="13"/>
    <x v="76"/>
    <n v="42"/>
    <n v="6"/>
    <n v="3"/>
    <n v="0"/>
    <n v="0"/>
    <n v="0"/>
    <n v="30"/>
    <s v="Anais Orozco"/>
    <s v="Collections Group"/>
    <d v="2025-01-24T00:00:00"/>
    <d v="1899-12-30T14:01:26"/>
    <d v="1899-12-30T23:00:31"/>
    <n v="8.98"/>
    <n v="8"/>
    <n v="0.84"/>
    <n v="0"/>
    <n v="0"/>
    <n v="0.2"/>
    <n v="5.0199999999999996"/>
    <n v="0.23"/>
    <n v="1.7"/>
    <n v="0"/>
    <n v="0"/>
    <n v="0.01"/>
    <n v="8"/>
    <n v="10.48"/>
    <n v="0"/>
    <n v="0"/>
    <n v="2.52"/>
    <n v="62.72"/>
    <n v="2.88"/>
    <n v="21.27"/>
    <n v="0"/>
    <n v="0"/>
    <n v="0.12"/>
    <n v="6"/>
    <x v="3"/>
  </r>
  <r>
    <x v="1"/>
    <x v="256"/>
    <x v="13"/>
    <x v="109"/>
    <n v="49"/>
    <n v="6"/>
    <n v="1"/>
    <n v="8"/>
    <n v="0"/>
    <n v="0"/>
    <n v="19"/>
    <s v="Derice Warnsley"/>
    <s v="Collections Group"/>
    <d v="2025-01-24T00:00:00"/>
    <d v="1899-12-30T14:00:35"/>
    <d v="1899-12-30T23:07:16"/>
    <n v="9.1199999999999992"/>
    <n v="9.11"/>
    <n v="1.31"/>
    <n v="0.25"/>
    <n v="0"/>
    <n v="0.05"/>
    <n v="4.3099999999999996"/>
    <n v="1.49"/>
    <n v="1.7"/>
    <n v="0"/>
    <n v="0"/>
    <n v="0"/>
    <n v="9.11"/>
    <n v="14.37"/>
    <n v="2.75"/>
    <n v="0"/>
    <n v="0.56000000000000005"/>
    <n v="47.29"/>
    <n v="16.36"/>
    <n v="18.62"/>
    <n v="0"/>
    <n v="0"/>
    <n v="0.04"/>
    <n v="6"/>
    <x v="3"/>
  </r>
  <r>
    <x v="19"/>
    <x v="256"/>
    <x v="13"/>
    <x v="109"/>
    <n v="30"/>
    <n v="2"/>
    <n v="1"/>
    <n v="6"/>
    <n v="0"/>
    <n v="0"/>
    <n v="15"/>
    <s v="Fantina Mullet"/>
    <s v="Collections Group"/>
    <d v="2025-01-24T00:00:00"/>
    <d v="1899-12-30T14:00:06"/>
    <d v="1899-12-30T23:00:10"/>
    <n v="9"/>
    <n v="9"/>
    <n v="0.76"/>
    <n v="0"/>
    <n v="0"/>
    <n v="0.01"/>
    <n v="5.0599999999999996"/>
    <n v="1.51"/>
    <n v="1.65"/>
    <n v="0"/>
    <n v="0"/>
    <n v="0.01"/>
    <n v="9"/>
    <n v="8.4"/>
    <n v="0"/>
    <n v="0"/>
    <n v="0.16"/>
    <n v="56.27"/>
    <n v="16.739999999999998"/>
    <n v="18.34"/>
    <n v="0"/>
    <n v="0"/>
    <n v="0.08"/>
    <n v="6"/>
    <x v="3"/>
  </r>
  <r>
    <x v="3"/>
    <x v="256"/>
    <x v="13"/>
    <x v="108"/>
    <n v="55"/>
    <n v="10"/>
    <n v="4"/>
    <n v="2"/>
    <n v="0"/>
    <n v="0"/>
    <n v="23"/>
    <s v="Jerrod Coleman"/>
    <s v="Collections Group"/>
    <d v="2025-01-24T00:00:00"/>
    <d v="1899-12-30T14:04:44"/>
    <d v="1899-12-30T22:59:16"/>
    <n v="8.92"/>
    <n v="8.92"/>
    <n v="0.56000000000000005"/>
    <n v="0.06"/>
    <n v="0"/>
    <n v="0.18"/>
    <n v="4.9800000000000004"/>
    <n v="1.49"/>
    <n v="1.65"/>
    <n v="0"/>
    <n v="0"/>
    <n v="0"/>
    <n v="8.92"/>
    <n v="6.26"/>
    <n v="0.69"/>
    <n v="0"/>
    <n v="2.0299999999999998"/>
    <n v="55.83"/>
    <n v="16.7"/>
    <n v="18.45"/>
    <n v="0"/>
    <n v="0"/>
    <n v="0.05"/>
    <n v="6"/>
    <x v="3"/>
  </r>
  <r>
    <x v="4"/>
    <x v="256"/>
    <x v="13"/>
    <x v="104"/>
    <n v="27"/>
    <n v="3"/>
    <n v="0"/>
    <n v="0"/>
    <n v="0"/>
    <n v="0"/>
    <n v="10"/>
    <s v="Rosette Rwabugahya"/>
    <s v="Collections Group"/>
    <d v="2025-01-24T00:00:00"/>
    <d v="1899-12-30T14:02:03"/>
    <d v="1899-12-30T23:00:32"/>
    <n v="8.9700000000000006"/>
    <n v="8.98"/>
    <n v="0.93"/>
    <n v="0.5"/>
    <n v="0"/>
    <n v="0.15"/>
    <n v="4.04"/>
    <n v="1.49"/>
    <n v="1.86"/>
    <n v="0"/>
    <n v="0"/>
    <n v="0"/>
    <n v="8.98"/>
    <n v="10.41"/>
    <n v="5.56"/>
    <n v="0"/>
    <n v="1.62"/>
    <n v="45"/>
    <n v="16.61"/>
    <n v="20.76"/>
    <n v="0"/>
    <n v="0"/>
    <n v="0.05"/>
    <n v="6"/>
    <x v="3"/>
  </r>
  <r>
    <x v="5"/>
    <x v="256"/>
    <x v="13"/>
    <x v="147"/>
    <n v="28"/>
    <n v="0"/>
    <n v="1"/>
    <n v="1"/>
    <n v="0"/>
    <n v="0"/>
    <n v="17"/>
    <s v="Sabigh Masood"/>
    <s v="Collections Group"/>
    <d v="2025-01-24T00:00:00"/>
    <d v="1899-12-30T13:58:50"/>
    <d v="1899-12-30T23:01:33"/>
    <n v="9.0500000000000007"/>
    <n v="9.0399999999999991"/>
    <n v="0.96"/>
    <n v="0.26"/>
    <n v="0"/>
    <n v="0.31"/>
    <n v="3.69"/>
    <n v="1.95"/>
    <n v="1.86"/>
    <n v="0"/>
    <n v="0"/>
    <n v="0.01"/>
    <n v="9.0399999999999991"/>
    <n v="10.62"/>
    <n v="2.83"/>
    <n v="0"/>
    <n v="3.46"/>
    <n v="40.82"/>
    <n v="21.6"/>
    <n v="20.53"/>
    <n v="0"/>
    <n v="0"/>
    <n v="0.13"/>
    <n v="6"/>
    <x v="3"/>
  </r>
  <r>
    <x v="6"/>
    <x v="256"/>
    <x v="13"/>
    <x v="325"/>
    <n v="0"/>
    <n v="0"/>
    <n v="0"/>
    <n v="0"/>
    <n v="0"/>
    <n v="0"/>
    <n v="0"/>
    <m/>
    <m/>
    <m/>
    <m/>
    <m/>
    <m/>
    <m/>
    <m/>
    <m/>
    <m/>
    <m/>
    <m/>
    <m/>
    <m/>
    <m/>
    <m/>
    <m/>
    <m/>
    <m/>
    <m/>
    <m/>
    <m/>
    <m/>
    <m/>
    <m/>
    <m/>
    <m/>
    <m/>
    <n v="6"/>
    <x v="3"/>
  </r>
  <r>
    <x v="0"/>
    <x v="257"/>
    <x v="13"/>
    <x v="109"/>
    <n v="40"/>
    <n v="3"/>
    <n v="1"/>
    <n v="9"/>
    <n v="1"/>
    <n v="1"/>
    <n v="18"/>
    <s v="Anais Orozco"/>
    <s v="Collections Group"/>
    <d v="2025-01-23T00:00:00"/>
    <d v="1899-12-30T14:01:06"/>
    <d v="1899-12-30T23:00:18"/>
    <n v="8.98"/>
    <n v="8.06"/>
    <n v="1.3"/>
    <n v="0.14000000000000001"/>
    <n v="0"/>
    <n v="0.35"/>
    <n v="4.13"/>
    <n v="0.28999999999999998"/>
    <n v="1.83"/>
    <n v="0"/>
    <n v="0"/>
    <n v="0.02"/>
    <n v="8.06"/>
    <n v="16.170000000000002"/>
    <n v="1.75"/>
    <n v="0"/>
    <n v="4.37"/>
    <n v="51.18"/>
    <n v="3.57"/>
    <n v="22.66"/>
    <n v="0"/>
    <n v="0"/>
    <n v="0.3"/>
    <n v="5"/>
    <x v="4"/>
  </r>
  <r>
    <x v="1"/>
    <x v="257"/>
    <x v="13"/>
    <x v="74"/>
    <n v="34"/>
    <n v="3"/>
    <n v="2"/>
    <n v="6"/>
    <n v="0"/>
    <n v="0"/>
    <n v="13"/>
    <s v="Derice Warnsley"/>
    <s v="Collections Group"/>
    <d v="2025-01-23T00:00:00"/>
    <d v="1899-12-30T14:00:42"/>
    <d v="1899-12-30T23:00:01"/>
    <n v="9"/>
    <n v="8.99"/>
    <n v="1"/>
    <n v="0.14000000000000001"/>
    <n v="0"/>
    <n v="0.04"/>
    <n v="4.5"/>
    <n v="1.49"/>
    <n v="1.82"/>
    <n v="0"/>
    <n v="0"/>
    <n v="0"/>
    <n v="8.99"/>
    <n v="11.17"/>
    <n v="1.55"/>
    <n v="0"/>
    <n v="0.48"/>
    <n v="50.01"/>
    <n v="16.53"/>
    <n v="20.21"/>
    <n v="0"/>
    <n v="0"/>
    <n v="0.05"/>
    <n v="5"/>
    <x v="4"/>
  </r>
  <r>
    <x v="19"/>
    <x v="257"/>
    <x v="13"/>
    <x v="110"/>
    <n v="30"/>
    <n v="2"/>
    <n v="2"/>
    <n v="7"/>
    <n v="0"/>
    <n v="0"/>
    <n v="17"/>
    <s v="Fantina Mullet"/>
    <s v="Collections Group"/>
    <d v="2025-01-23T00:00:00"/>
    <d v="1899-12-30T14:00:39"/>
    <d v="1899-12-30T23:01:22"/>
    <n v="9.02"/>
    <n v="9.01"/>
    <n v="0.81"/>
    <n v="0"/>
    <n v="0"/>
    <n v="0.02"/>
    <n v="4.88"/>
    <n v="1.5"/>
    <n v="1.79"/>
    <n v="0"/>
    <n v="0"/>
    <n v="0.01"/>
    <n v="9.01"/>
    <n v="9.02"/>
    <n v="0"/>
    <n v="0"/>
    <n v="0.17"/>
    <n v="54.1"/>
    <n v="16.68"/>
    <n v="19.899999999999999"/>
    <n v="0"/>
    <n v="0"/>
    <n v="0.14000000000000001"/>
    <n v="5"/>
    <x v="4"/>
  </r>
  <r>
    <x v="3"/>
    <x v="257"/>
    <x v="13"/>
    <x v="116"/>
    <n v="50"/>
    <n v="2"/>
    <n v="2"/>
    <n v="1"/>
    <n v="0"/>
    <n v="2"/>
    <n v="33"/>
    <s v="Jerrod Coleman"/>
    <s v="Collections Group"/>
    <d v="2025-01-23T00:00:00"/>
    <d v="1899-12-30T14:01:22"/>
    <d v="1899-12-30T22:59:07"/>
    <n v="8.9700000000000006"/>
    <n v="8.9600000000000009"/>
    <n v="0.66"/>
    <n v="0.13"/>
    <n v="0"/>
    <n v="0.24"/>
    <n v="4.6500000000000004"/>
    <n v="1.49"/>
    <n v="1.8"/>
    <n v="0"/>
    <n v="0"/>
    <n v="0"/>
    <n v="8.9600000000000009"/>
    <n v="7.34"/>
    <n v="1.48"/>
    <n v="0"/>
    <n v="2.63"/>
    <n v="51.83"/>
    <n v="16.579999999999998"/>
    <n v="20.09"/>
    <n v="0"/>
    <n v="0"/>
    <n v="0.04"/>
    <n v="5"/>
    <x v="4"/>
  </r>
  <r>
    <x v="7"/>
    <x v="257"/>
    <x v="13"/>
    <x v="13"/>
    <n v="1"/>
    <n v="0"/>
    <n v="0"/>
    <n v="0"/>
    <n v="0"/>
    <n v="0"/>
    <n v="0"/>
    <m/>
    <m/>
    <m/>
    <m/>
    <m/>
    <m/>
    <m/>
    <m/>
    <m/>
    <m/>
    <m/>
    <m/>
    <m/>
    <m/>
    <m/>
    <m/>
    <m/>
    <m/>
    <m/>
    <m/>
    <m/>
    <m/>
    <m/>
    <m/>
    <m/>
    <m/>
    <m/>
    <m/>
    <n v="5"/>
    <x v="4"/>
  </r>
  <r>
    <x v="4"/>
    <x v="257"/>
    <x v="13"/>
    <x v="178"/>
    <n v="18"/>
    <n v="0"/>
    <n v="2"/>
    <n v="2"/>
    <n v="1"/>
    <n v="1"/>
    <n v="10"/>
    <s v="Rosette Rwabugahya"/>
    <s v="Collections Group"/>
    <d v="2025-01-23T00:00:00"/>
    <d v="1899-12-30T14:00:41"/>
    <d v="1899-12-30T23:47:29"/>
    <n v="9.7799999999999994"/>
    <n v="8.16"/>
    <n v="1.19"/>
    <n v="0.28000000000000003"/>
    <n v="0"/>
    <n v="0.33"/>
    <n v="3.36"/>
    <n v="0.53"/>
    <n v="1.93"/>
    <n v="0"/>
    <n v="0"/>
    <n v="0.54"/>
    <n v="8.16"/>
    <n v="14.58"/>
    <n v="3.38"/>
    <n v="0"/>
    <n v="3.99"/>
    <n v="41.23"/>
    <n v="6.51"/>
    <n v="23.67"/>
    <n v="0"/>
    <n v="0"/>
    <n v="6.64"/>
    <n v="5"/>
    <x v="4"/>
  </r>
  <r>
    <x v="5"/>
    <x v="257"/>
    <x v="13"/>
    <x v="74"/>
    <n v="41"/>
    <n v="0"/>
    <n v="3"/>
    <n v="6"/>
    <n v="0"/>
    <n v="0"/>
    <n v="20"/>
    <s v="Sabigh Masood"/>
    <s v="Collections Group"/>
    <d v="2025-01-23T00:00:00"/>
    <d v="1899-12-30T14:04:50"/>
    <d v="1899-12-30T23:03:35"/>
    <n v="8.98"/>
    <n v="8.98"/>
    <n v="1.05"/>
    <n v="0.27"/>
    <n v="0"/>
    <n v="0.27"/>
    <n v="3.47"/>
    <n v="1.45"/>
    <n v="2.4700000000000002"/>
    <n v="0"/>
    <n v="0"/>
    <n v="0"/>
    <n v="8.98"/>
    <n v="11.68"/>
    <n v="2.96"/>
    <n v="0"/>
    <n v="3.02"/>
    <n v="38.61"/>
    <n v="16.16"/>
    <n v="27.53"/>
    <n v="0"/>
    <n v="0"/>
    <n v="0.04"/>
    <n v="5"/>
    <x v="4"/>
  </r>
  <r>
    <x v="6"/>
    <x v="257"/>
    <x v="13"/>
    <x v="318"/>
    <n v="0"/>
    <n v="0"/>
    <n v="0"/>
    <n v="0"/>
    <n v="0"/>
    <n v="0"/>
    <n v="0"/>
    <m/>
    <m/>
    <m/>
    <m/>
    <m/>
    <m/>
    <m/>
    <m/>
    <m/>
    <m/>
    <m/>
    <m/>
    <m/>
    <m/>
    <m/>
    <m/>
    <m/>
    <m/>
    <m/>
    <m/>
    <m/>
    <m/>
    <m/>
    <m/>
    <m/>
    <m/>
    <m/>
    <m/>
    <n v="5"/>
    <x v="4"/>
  </r>
  <r>
    <x v="0"/>
    <x v="258"/>
    <x v="13"/>
    <x v="89"/>
    <n v="72"/>
    <n v="3"/>
    <n v="10"/>
    <n v="2"/>
    <n v="0"/>
    <n v="9"/>
    <n v="31"/>
    <s v="Anais Orozco"/>
    <s v="Collections Group"/>
    <d v="2025-01-22T00:00:00"/>
    <d v="1899-12-30T13:59:41"/>
    <d v="1899-12-30T23:00:45"/>
    <n v="9.02"/>
    <n v="8.17"/>
    <n v="0.72"/>
    <n v="0.4"/>
    <n v="0"/>
    <n v="0.3"/>
    <n v="6.32"/>
    <n v="0.41"/>
    <n v="0"/>
    <n v="0"/>
    <n v="0"/>
    <n v="0.01"/>
    <n v="8.17"/>
    <n v="8.85"/>
    <n v="4.95"/>
    <n v="0"/>
    <n v="3.7"/>
    <n v="77.36"/>
    <n v="4.97"/>
    <n v="0"/>
    <n v="0"/>
    <n v="0"/>
    <n v="0.17"/>
    <n v="4"/>
    <x v="0"/>
  </r>
  <r>
    <x v="1"/>
    <x v="258"/>
    <x v="13"/>
    <x v="116"/>
    <n v="78"/>
    <n v="5"/>
    <n v="2"/>
    <n v="3"/>
    <n v="0"/>
    <n v="0"/>
    <n v="29"/>
    <s v="Derice Warnsley"/>
    <s v="Collections Group"/>
    <d v="2025-01-22T00:00:00"/>
    <d v="1899-12-30T14:00:24"/>
    <d v="1899-12-30T23:00:02"/>
    <n v="9"/>
    <n v="8.99"/>
    <n v="0.99"/>
    <n v="0.11"/>
    <n v="0"/>
    <n v="0.04"/>
    <n v="6.36"/>
    <n v="1.49"/>
    <n v="0"/>
    <n v="0"/>
    <n v="0"/>
    <n v="0"/>
    <n v="8.99"/>
    <n v="10.96"/>
    <n v="1.23"/>
    <n v="0"/>
    <n v="0.49"/>
    <n v="70.709999999999994"/>
    <n v="16.57"/>
    <n v="0"/>
    <n v="0"/>
    <n v="0"/>
    <n v="0.05"/>
    <n v="4"/>
    <x v="0"/>
  </r>
  <r>
    <x v="19"/>
    <x v="258"/>
    <x v="13"/>
    <x v="56"/>
    <n v="46"/>
    <n v="3"/>
    <n v="3"/>
    <n v="7"/>
    <n v="0"/>
    <n v="0"/>
    <n v="26"/>
    <s v="Fantina Mullet"/>
    <s v="Collections Group"/>
    <d v="2025-01-22T00:00:00"/>
    <d v="1899-12-30T14:02:02"/>
    <d v="1899-12-30T23:01:14"/>
    <n v="8.98"/>
    <n v="8.99"/>
    <n v="0.91"/>
    <n v="0.15"/>
    <n v="0"/>
    <n v="0.03"/>
    <n v="6.39"/>
    <n v="1.51"/>
    <n v="0"/>
    <n v="0"/>
    <n v="0"/>
    <n v="0"/>
    <n v="8.99"/>
    <n v="10.17"/>
    <n v="1.63"/>
    <n v="0"/>
    <n v="0.28999999999999998"/>
    <n v="71.08"/>
    <n v="16.78"/>
    <n v="0"/>
    <n v="0"/>
    <n v="0"/>
    <n v="0.04"/>
    <n v="4"/>
    <x v="0"/>
  </r>
  <r>
    <x v="3"/>
    <x v="258"/>
    <x v="13"/>
    <x v="52"/>
    <n v="61"/>
    <n v="11"/>
    <n v="9"/>
    <n v="2"/>
    <n v="0"/>
    <n v="1"/>
    <n v="22"/>
    <s v="Jerrod Coleman"/>
    <s v="Collections Group"/>
    <d v="2025-01-22T00:00:00"/>
    <d v="1899-12-30T14:04:27"/>
    <d v="1899-12-30T22:59:25"/>
    <n v="8.92"/>
    <n v="8.92"/>
    <n v="1.04"/>
    <n v="0.19"/>
    <n v="0"/>
    <n v="0.51"/>
    <n v="5.49"/>
    <n v="1.48"/>
    <n v="0.2"/>
    <n v="0"/>
    <n v="0"/>
    <n v="0"/>
    <n v="8.92"/>
    <n v="11.65"/>
    <n v="2.12"/>
    <n v="0"/>
    <n v="5.73"/>
    <n v="61.62"/>
    <n v="16.55"/>
    <n v="2.2999999999999998"/>
    <n v="0"/>
    <n v="0"/>
    <n v="0.04"/>
    <n v="4"/>
    <x v="0"/>
  </r>
  <r>
    <x v="4"/>
    <x v="258"/>
    <x v="13"/>
    <x v="120"/>
    <n v="22"/>
    <n v="2"/>
    <n v="1"/>
    <n v="4"/>
    <n v="0"/>
    <n v="0"/>
    <n v="10"/>
    <s v="Rosette Rwabugahya"/>
    <s v="Collections Group"/>
    <d v="2025-01-22T00:00:00"/>
    <d v="1899-12-30T14:01:26"/>
    <d v="1899-12-30T23:01:54"/>
    <n v="9"/>
    <n v="9.01"/>
    <n v="1.68"/>
    <n v="0.83"/>
    <n v="0"/>
    <n v="0.34"/>
    <n v="4.6500000000000004"/>
    <n v="1.49"/>
    <n v="0"/>
    <n v="0"/>
    <n v="0"/>
    <n v="0.01"/>
    <n v="9.01"/>
    <n v="18.68"/>
    <n v="9.23"/>
    <n v="0"/>
    <n v="3.83"/>
    <n v="51.63"/>
    <n v="16.57"/>
    <n v="0"/>
    <n v="0"/>
    <n v="0"/>
    <n v="0.06"/>
    <n v="4"/>
    <x v="0"/>
  </r>
  <r>
    <x v="5"/>
    <x v="258"/>
    <x v="13"/>
    <x v="90"/>
    <n v="74"/>
    <n v="4"/>
    <n v="2"/>
    <n v="7"/>
    <n v="0"/>
    <n v="0"/>
    <n v="47"/>
    <s v="Sabigh Masood"/>
    <s v="Collections Group"/>
    <d v="2025-01-22T00:00:00"/>
    <d v="1899-12-30T14:00:11"/>
    <d v="1899-12-30T23:01:10"/>
    <n v="9.02"/>
    <n v="9.01"/>
    <n v="0.47"/>
    <n v="0.22"/>
    <n v="0"/>
    <n v="0.52"/>
    <n v="5.58"/>
    <n v="1.48"/>
    <n v="0.74"/>
    <n v="0"/>
    <n v="0"/>
    <n v="0"/>
    <n v="9.01"/>
    <n v="5.22"/>
    <n v="2.4500000000000002"/>
    <n v="0"/>
    <n v="5.8"/>
    <n v="61.89"/>
    <n v="16.399999999999999"/>
    <n v="8.1999999999999993"/>
    <n v="0"/>
    <n v="0"/>
    <n v="0.04"/>
    <n v="4"/>
    <x v="0"/>
  </r>
  <r>
    <x v="6"/>
    <x v="258"/>
    <x v="13"/>
    <x v="326"/>
    <n v="0"/>
    <n v="0"/>
    <n v="0"/>
    <n v="0"/>
    <n v="0"/>
    <n v="0"/>
    <n v="0"/>
    <m/>
    <m/>
    <m/>
    <m/>
    <m/>
    <m/>
    <m/>
    <m/>
    <m/>
    <m/>
    <m/>
    <m/>
    <m/>
    <m/>
    <m/>
    <m/>
    <m/>
    <m/>
    <m/>
    <m/>
    <m/>
    <m/>
    <m/>
    <m/>
    <m/>
    <m/>
    <m/>
    <m/>
    <n v="4"/>
    <x v="0"/>
  </r>
  <r>
    <x v="0"/>
    <x v="259"/>
    <x v="13"/>
    <x v="118"/>
    <n v="59"/>
    <n v="3"/>
    <n v="3"/>
    <n v="9"/>
    <n v="0"/>
    <n v="0"/>
    <n v="33"/>
    <s v="Anais Orozco"/>
    <s v="Collections Group"/>
    <d v="2025-01-21T00:00:00"/>
    <d v="1899-12-30T14:01:50"/>
    <d v="1899-12-30T23:00:08"/>
    <n v="8.98"/>
    <n v="8.11"/>
    <n v="1.01"/>
    <n v="0"/>
    <n v="0"/>
    <n v="0.36"/>
    <n v="6.12"/>
    <n v="0.61"/>
    <n v="0"/>
    <n v="0"/>
    <n v="0"/>
    <n v="0.01"/>
    <n v="8.11"/>
    <n v="12.45"/>
    <n v="0"/>
    <n v="0"/>
    <n v="4.4400000000000004"/>
    <n v="75.45"/>
    <n v="7.5"/>
    <n v="0"/>
    <n v="0"/>
    <n v="0"/>
    <n v="0.15"/>
    <n v="3"/>
    <x v="1"/>
  </r>
  <r>
    <x v="1"/>
    <x v="259"/>
    <x v="13"/>
    <x v="52"/>
    <n v="75"/>
    <n v="0"/>
    <n v="9"/>
    <n v="4"/>
    <n v="0"/>
    <n v="1"/>
    <n v="34"/>
    <s v="Derice Warnsley"/>
    <s v="Collections Group"/>
    <d v="2025-01-21T00:00:00"/>
    <d v="1899-12-30T14:00:46"/>
    <d v="1899-12-30T23:00:05"/>
    <n v="9"/>
    <n v="8.99"/>
    <n v="0.87"/>
    <n v="0.23"/>
    <n v="0"/>
    <n v="0.11"/>
    <n v="5.71"/>
    <n v="1.49"/>
    <n v="0.56000000000000005"/>
    <n v="0"/>
    <n v="0"/>
    <n v="0"/>
    <n v="8.99"/>
    <n v="9.69"/>
    <n v="2.61"/>
    <n v="0"/>
    <n v="1.27"/>
    <n v="63.53"/>
    <n v="16.61"/>
    <n v="6.24"/>
    <n v="0"/>
    <n v="0"/>
    <n v="0.05"/>
    <n v="3"/>
    <x v="1"/>
  </r>
  <r>
    <x v="19"/>
    <x v="259"/>
    <x v="13"/>
    <x v="52"/>
    <n v="40"/>
    <n v="4"/>
    <n v="0"/>
    <n v="1"/>
    <n v="0"/>
    <n v="1"/>
    <n v="23"/>
    <s v="Fantina Mullet"/>
    <s v="Collections Group"/>
    <d v="2025-01-21T00:00:00"/>
    <d v="1899-12-30T14:01:39"/>
    <d v="1899-12-30T23:00:50"/>
    <n v="8.98"/>
    <n v="8.99"/>
    <n v="1.21"/>
    <n v="0"/>
    <n v="0"/>
    <n v="0.02"/>
    <n v="6.24"/>
    <n v="1.51"/>
    <n v="0"/>
    <n v="0"/>
    <n v="0"/>
    <n v="0"/>
    <n v="8.99"/>
    <n v="13.52"/>
    <n v="0"/>
    <n v="0"/>
    <n v="0.27"/>
    <n v="69.400000000000006"/>
    <n v="16.760000000000002"/>
    <n v="0"/>
    <n v="0"/>
    <n v="0"/>
    <n v="0.05"/>
    <n v="3"/>
    <x v="1"/>
  </r>
  <r>
    <x v="3"/>
    <x v="259"/>
    <x v="13"/>
    <x v="53"/>
    <n v="90"/>
    <n v="6"/>
    <n v="10"/>
    <n v="12"/>
    <n v="0"/>
    <n v="0"/>
    <n v="36"/>
    <s v="Jerrod Coleman"/>
    <s v="Collections Group"/>
    <d v="2025-01-21T00:00:00"/>
    <d v="1899-12-30T14:00:25"/>
    <d v="1899-12-30T22:59:52"/>
    <n v="8.98"/>
    <n v="8.83"/>
    <n v="1.56"/>
    <n v="0.18"/>
    <n v="0"/>
    <n v="0.49"/>
    <n v="5.28"/>
    <n v="1.32"/>
    <n v="0"/>
    <n v="0"/>
    <n v="0"/>
    <n v="0.01"/>
    <n v="8.83"/>
    <n v="17.64"/>
    <n v="1.98"/>
    <n v="0"/>
    <n v="5.51"/>
    <n v="59.85"/>
    <n v="14.9"/>
    <n v="0"/>
    <n v="0"/>
    <n v="0"/>
    <n v="0.12"/>
    <n v="3"/>
    <x v="1"/>
  </r>
  <r>
    <x v="4"/>
    <x v="259"/>
    <x v="13"/>
    <x v="121"/>
    <n v="19"/>
    <n v="3"/>
    <n v="1"/>
    <n v="1"/>
    <n v="0"/>
    <n v="0"/>
    <n v="12"/>
    <s v="Rosette Rwabugahya"/>
    <s v="Collections Group"/>
    <d v="2025-01-21T00:00:00"/>
    <d v="1899-12-30T14:00:39"/>
    <d v="1899-12-30T23:01:18"/>
    <n v="9.02"/>
    <n v="9.01"/>
    <n v="1.43"/>
    <n v="0.71"/>
    <n v="0"/>
    <n v="0.25"/>
    <n v="5.13"/>
    <n v="1.48"/>
    <n v="0"/>
    <n v="0"/>
    <n v="0"/>
    <n v="0.01"/>
    <n v="9.01"/>
    <n v="15.82"/>
    <n v="7.92"/>
    <n v="0"/>
    <n v="2.82"/>
    <n v="56.93"/>
    <n v="16.45"/>
    <n v="0"/>
    <n v="0"/>
    <n v="0"/>
    <n v="0.06"/>
    <n v="3"/>
    <x v="1"/>
  </r>
  <r>
    <x v="5"/>
    <x v="259"/>
    <x v="13"/>
    <x v="108"/>
    <n v="62"/>
    <n v="1"/>
    <n v="3"/>
    <n v="2"/>
    <n v="3"/>
    <n v="0"/>
    <n v="38"/>
    <s v="Sabigh Masood"/>
    <s v="Collections Group"/>
    <d v="2025-01-21T00:00:00"/>
    <d v="1899-12-30T13:59:39"/>
    <d v="1899-12-30T23:00:58"/>
    <n v="9.02"/>
    <n v="9.02"/>
    <n v="0.96"/>
    <n v="0.17"/>
    <n v="0"/>
    <n v="0.26"/>
    <n v="5.73"/>
    <n v="1.55"/>
    <n v="0.34"/>
    <n v="0"/>
    <n v="0"/>
    <n v="0"/>
    <n v="9.02"/>
    <n v="10.63"/>
    <n v="1.9"/>
    <n v="0"/>
    <n v="2.93"/>
    <n v="63.56"/>
    <n v="17.18"/>
    <n v="3.76"/>
    <n v="0"/>
    <n v="0"/>
    <n v="0.03"/>
    <n v="3"/>
    <x v="1"/>
  </r>
  <r>
    <x v="6"/>
    <x v="259"/>
    <x v="13"/>
    <x v="327"/>
    <n v="0"/>
    <n v="0"/>
    <n v="0"/>
    <n v="0"/>
    <n v="0"/>
    <n v="0"/>
    <n v="0"/>
    <m/>
    <m/>
    <m/>
    <m/>
    <m/>
    <m/>
    <m/>
    <m/>
    <m/>
    <m/>
    <m/>
    <m/>
    <m/>
    <m/>
    <m/>
    <m/>
    <m/>
    <m/>
    <m/>
    <m/>
    <m/>
    <m/>
    <m/>
    <m/>
    <m/>
    <m/>
    <m/>
    <m/>
    <n v="3"/>
    <x v="1"/>
  </r>
  <r>
    <x v="0"/>
    <x v="260"/>
    <x v="13"/>
    <x v="118"/>
    <n v="56"/>
    <n v="2"/>
    <n v="5"/>
    <n v="5"/>
    <n v="0"/>
    <n v="0"/>
    <n v="31"/>
    <s v="Anais Orozco"/>
    <s v="Collections Group"/>
    <d v="2025-01-17T00:00:00"/>
    <d v="1899-12-30T14:00:12"/>
    <d v="1899-12-30T23:00:43"/>
    <n v="9"/>
    <n v="8.06"/>
    <n v="1.05"/>
    <n v="0"/>
    <n v="0"/>
    <n v="0.28999999999999998"/>
    <n v="5.99"/>
    <n v="0.38"/>
    <n v="0.34"/>
    <n v="0"/>
    <n v="0"/>
    <n v="0.01"/>
    <n v="8.06"/>
    <n v="12.98"/>
    <n v="0"/>
    <n v="0"/>
    <n v="3.57"/>
    <n v="74.34"/>
    <n v="4.76"/>
    <n v="4.2"/>
    <n v="0"/>
    <n v="0"/>
    <n v="0.16"/>
    <n v="6"/>
    <x v="3"/>
  </r>
  <r>
    <x v="1"/>
    <x v="260"/>
    <x v="13"/>
    <x v="109"/>
    <n v="37"/>
    <n v="3"/>
    <n v="3"/>
    <n v="5"/>
    <n v="0"/>
    <n v="0"/>
    <n v="20"/>
    <s v="Derice Warnsley"/>
    <s v="Collections Group"/>
    <d v="2025-01-17T00:00:00"/>
    <d v="1899-12-30T13:59:54"/>
    <d v="1899-12-30T23:00:02"/>
    <n v="9.02"/>
    <n v="8.93"/>
    <n v="1.1200000000000001"/>
    <n v="0.15"/>
    <n v="0"/>
    <n v="0.03"/>
    <n v="6.11"/>
    <n v="1.5"/>
    <n v="0"/>
    <n v="0"/>
    <n v="0"/>
    <n v="0.01"/>
    <n v="8.93"/>
    <n v="12.51"/>
    <n v="1.69"/>
    <n v="0"/>
    <n v="0.37"/>
    <n v="68.5"/>
    <n v="16.850000000000001"/>
    <n v="0"/>
    <n v="0"/>
    <n v="0"/>
    <n v="0.09"/>
    <n v="6"/>
    <x v="3"/>
  </r>
  <r>
    <x v="19"/>
    <x v="260"/>
    <x v="13"/>
    <x v="109"/>
    <n v="27"/>
    <n v="0"/>
    <n v="0"/>
    <n v="3"/>
    <n v="1"/>
    <n v="0"/>
    <n v="18"/>
    <s v="Fantina Mullet"/>
    <s v="Collections Group"/>
    <d v="2025-01-17T00:00:00"/>
    <d v="1899-12-30T13:55:14"/>
    <d v="1899-12-30T23:00:15"/>
    <n v="9.08"/>
    <n v="9.08"/>
    <n v="0.7"/>
    <n v="0.89"/>
    <n v="0"/>
    <n v="0.02"/>
    <n v="5.94"/>
    <n v="1.5"/>
    <n v="0"/>
    <n v="0"/>
    <n v="0"/>
    <n v="0.02"/>
    <n v="9.08"/>
    <n v="7.73"/>
    <n v="9.83"/>
    <n v="0"/>
    <n v="0.22"/>
    <n v="65.45"/>
    <n v="16.55"/>
    <n v="0"/>
    <n v="0"/>
    <n v="0"/>
    <n v="0.21"/>
    <n v="6"/>
    <x v="3"/>
  </r>
  <r>
    <x v="3"/>
    <x v="260"/>
    <x v="13"/>
    <x v="90"/>
    <n v="67"/>
    <n v="13"/>
    <n v="13"/>
    <n v="9"/>
    <n v="0"/>
    <n v="0"/>
    <n v="29"/>
    <s v="Jerrod Coleman"/>
    <s v="Collections Group"/>
    <d v="2025-01-17T00:00:00"/>
    <d v="1899-12-30T14:01:31"/>
    <d v="1899-12-30T23:00:30"/>
    <n v="8.98"/>
    <n v="8.9700000000000006"/>
    <n v="1.37"/>
    <n v="0.41"/>
    <n v="0"/>
    <n v="0.27"/>
    <n v="5.41"/>
    <n v="1.48"/>
    <n v="0"/>
    <n v="0"/>
    <n v="0"/>
    <n v="0.04"/>
    <n v="8.9700000000000006"/>
    <n v="15.28"/>
    <n v="4.5199999999999996"/>
    <n v="0"/>
    <n v="3.02"/>
    <n v="60.33"/>
    <n v="16.47"/>
    <n v="0"/>
    <n v="0"/>
    <n v="0"/>
    <n v="0.39"/>
    <n v="6"/>
    <x v="3"/>
  </r>
  <r>
    <x v="4"/>
    <x v="260"/>
    <x v="13"/>
    <x v="121"/>
    <n v="15"/>
    <n v="1"/>
    <n v="3"/>
    <n v="2"/>
    <n v="1"/>
    <n v="0"/>
    <n v="4"/>
    <s v="Rosette Rwabugahya"/>
    <s v="Collections Group"/>
    <d v="2025-01-17T00:00:00"/>
    <d v="1899-12-30T14:00:13"/>
    <d v="1899-12-30T23:00:53"/>
    <n v="9"/>
    <n v="9.01"/>
    <n v="1.87"/>
    <n v="0.37"/>
    <n v="0"/>
    <n v="0.51"/>
    <n v="4.78"/>
    <n v="1.48"/>
    <n v="0"/>
    <n v="0"/>
    <n v="0"/>
    <n v="0.01"/>
    <n v="9.01"/>
    <n v="20.79"/>
    <n v="4.07"/>
    <n v="0"/>
    <n v="5.64"/>
    <n v="53.01"/>
    <n v="16.43"/>
    <n v="0"/>
    <n v="0"/>
    <n v="0"/>
    <n v="0.06"/>
    <n v="6"/>
    <x v="3"/>
  </r>
  <r>
    <x v="5"/>
    <x v="260"/>
    <x v="13"/>
    <x v="104"/>
    <n v="55"/>
    <n v="9"/>
    <n v="1"/>
    <n v="6"/>
    <n v="0"/>
    <n v="0"/>
    <n v="32"/>
    <s v="Sabigh Masood"/>
    <s v="Collections Group"/>
    <d v="2025-01-17T00:00:00"/>
    <d v="1899-12-30T13:58:56"/>
    <d v="1899-12-30T23:00:48"/>
    <n v="9.0299999999999994"/>
    <n v="9.0299999999999994"/>
    <n v="1.0900000000000001"/>
    <n v="0.17"/>
    <n v="0"/>
    <n v="0.5"/>
    <n v="5.35"/>
    <n v="1.92"/>
    <n v="0"/>
    <n v="0"/>
    <n v="0"/>
    <n v="0"/>
    <n v="9.0299999999999994"/>
    <n v="12.1"/>
    <n v="1.85"/>
    <n v="0"/>
    <n v="5.49"/>
    <n v="59.22"/>
    <n v="21.31"/>
    <n v="0"/>
    <n v="0"/>
    <n v="0"/>
    <n v="0.04"/>
    <n v="6"/>
    <x v="3"/>
  </r>
  <r>
    <x v="6"/>
    <x v="260"/>
    <x v="13"/>
    <x v="328"/>
    <n v="0"/>
    <n v="0"/>
    <n v="0"/>
    <n v="0"/>
    <n v="0"/>
    <n v="0"/>
    <n v="0"/>
    <m/>
    <m/>
    <m/>
    <m/>
    <m/>
    <m/>
    <m/>
    <m/>
    <m/>
    <m/>
    <m/>
    <m/>
    <m/>
    <m/>
    <m/>
    <m/>
    <m/>
    <m/>
    <m/>
    <m/>
    <m/>
    <m/>
    <m/>
    <m/>
    <m/>
    <m/>
    <m/>
    <m/>
    <n v="6"/>
    <x v="3"/>
  </r>
  <r>
    <x v="0"/>
    <x v="261"/>
    <x v="13"/>
    <x v="121"/>
    <n v="30"/>
    <n v="0"/>
    <n v="4"/>
    <n v="4"/>
    <n v="0"/>
    <n v="1"/>
    <n v="14"/>
    <s v="Anais Orozco"/>
    <s v="Collections Group"/>
    <d v="2025-01-16T00:00:00"/>
    <d v="1899-12-30T14:00:00"/>
    <d v="1899-12-30T23:00:02"/>
    <n v="9"/>
    <n v="8.9600000000000009"/>
    <n v="1.2"/>
    <n v="0.18"/>
    <n v="0"/>
    <n v="0.17"/>
    <n v="5.27"/>
    <n v="1.23"/>
    <n v="0.81"/>
    <n v="0"/>
    <n v="0"/>
    <n v="0.09"/>
    <n v="8.9600000000000009"/>
    <n v="13.4"/>
    <n v="1.96"/>
    <n v="0"/>
    <n v="1.94"/>
    <n v="58.8"/>
    <n v="13.79"/>
    <n v="9.07"/>
    <n v="0"/>
    <n v="0"/>
    <n v="1.05"/>
    <n v="5"/>
    <x v="4"/>
  </r>
  <r>
    <x v="1"/>
    <x v="261"/>
    <x v="13"/>
    <x v="73"/>
    <n v="59"/>
    <n v="2"/>
    <n v="0"/>
    <n v="4"/>
    <n v="1"/>
    <n v="0"/>
    <n v="29"/>
    <s v="Derice Warnsley"/>
    <s v="Collections Group"/>
    <d v="2025-01-16T00:00:00"/>
    <d v="1899-12-30T14:01:12"/>
    <d v="1899-12-30T23:00:05"/>
    <n v="8.98"/>
    <n v="8.98"/>
    <n v="1.03"/>
    <n v="0.05"/>
    <n v="0"/>
    <n v="0.03"/>
    <n v="5.48"/>
    <n v="1.48"/>
    <n v="0.91"/>
    <n v="0"/>
    <n v="0"/>
    <n v="0"/>
    <n v="8.98"/>
    <n v="11.45"/>
    <n v="0.6"/>
    <n v="0"/>
    <n v="0.32"/>
    <n v="60.97"/>
    <n v="16.489999999999998"/>
    <n v="10.130000000000001"/>
    <n v="0"/>
    <n v="0"/>
    <n v="0.04"/>
    <n v="5"/>
    <x v="4"/>
  </r>
  <r>
    <x v="19"/>
    <x v="261"/>
    <x v="13"/>
    <x v="90"/>
    <n v="32"/>
    <n v="1"/>
    <n v="2"/>
    <n v="3"/>
    <n v="0"/>
    <n v="0"/>
    <n v="16"/>
    <s v="Fantina Mullet"/>
    <s v="Collections Group"/>
    <d v="2025-01-16T00:00:00"/>
    <d v="1899-12-30T14:00:11"/>
    <d v="1899-12-30T23:00:13"/>
    <n v="9"/>
    <n v="8.99"/>
    <n v="0.7"/>
    <n v="0"/>
    <n v="0"/>
    <n v="0.02"/>
    <n v="6.02"/>
    <n v="1.45"/>
    <n v="0.79"/>
    <n v="0"/>
    <n v="0"/>
    <n v="0.01"/>
    <n v="8.99"/>
    <n v="7.8"/>
    <n v="0"/>
    <n v="0"/>
    <n v="0.2"/>
    <n v="66.97"/>
    <n v="16.079999999999998"/>
    <n v="8.8000000000000007"/>
    <n v="0"/>
    <n v="0"/>
    <n v="0.15"/>
    <n v="5"/>
    <x v="4"/>
  </r>
  <r>
    <x v="3"/>
    <x v="261"/>
    <x v="13"/>
    <x v="118"/>
    <n v="57"/>
    <n v="2"/>
    <n v="8"/>
    <n v="10"/>
    <n v="0"/>
    <n v="0"/>
    <n v="30"/>
    <s v="Jerrod Coleman"/>
    <s v="Collections Group"/>
    <d v="2025-01-16T00:00:00"/>
    <d v="1899-12-30T14:02:20"/>
    <d v="1899-12-30T22:59:03"/>
    <n v="8.9499999999999993"/>
    <n v="8.9499999999999993"/>
    <n v="0.83"/>
    <n v="0"/>
    <n v="0"/>
    <n v="0.32"/>
    <n v="5.6"/>
    <n v="1.47"/>
    <n v="0.73"/>
    <n v="0"/>
    <n v="0"/>
    <n v="0"/>
    <n v="8.9499999999999993"/>
    <n v="9.25"/>
    <n v="0"/>
    <n v="0"/>
    <n v="3.59"/>
    <n v="62.61"/>
    <n v="16.41"/>
    <n v="8.1"/>
    <n v="0"/>
    <n v="0"/>
    <n v="0.05"/>
    <n v="5"/>
    <x v="4"/>
  </r>
  <r>
    <x v="4"/>
    <x v="261"/>
    <x v="13"/>
    <x v="76"/>
    <n v="23"/>
    <n v="1"/>
    <n v="1"/>
    <n v="4"/>
    <n v="0"/>
    <n v="0"/>
    <n v="12"/>
    <s v="Rosette Rwabugahya"/>
    <s v="Collections Group"/>
    <d v="2025-01-16T00:00:00"/>
    <d v="1899-12-30T14:00:38"/>
    <d v="1899-12-30T23:01:52"/>
    <n v="9.02"/>
    <n v="9.01"/>
    <n v="1.26"/>
    <n v="0.65"/>
    <n v="0"/>
    <n v="0.31"/>
    <n v="4.45"/>
    <n v="1.49"/>
    <n v="0.84"/>
    <n v="0"/>
    <n v="0"/>
    <n v="0.01"/>
    <n v="9.01"/>
    <n v="13.94"/>
    <n v="7.17"/>
    <n v="0"/>
    <n v="3.44"/>
    <n v="49.44"/>
    <n v="16.57"/>
    <n v="9.34"/>
    <n v="0"/>
    <n v="0"/>
    <n v="0.1"/>
    <n v="5"/>
    <x v="4"/>
  </r>
  <r>
    <x v="5"/>
    <x v="261"/>
    <x v="13"/>
    <x v="76"/>
    <n v="38"/>
    <n v="1"/>
    <n v="0"/>
    <n v="0"/>
    <n v="0"/>
    <n v="0"/>
    <n v="27"/>
    <s v="Sabigh Masood"/>
    <s v="Collections Group"/>
    <d v="2025-01-16T00:00:00"/>
    <d v="1899-12-30T13:59:19"/>
    <d v="1899-12-30T23:01:03"/>
    <n v="9.0299999999999994"/>
    <n v="8.91"/>
    <n v="0.89"/>
    <n v="0.38"/>
    <n v="0"/>
    <n v="0.28999999999999998"/>
    <n v="4.68"/>
    <n v="1.46"/>
    <n v="0.96"/>
    <n v="0"/>
    <n v="0.25"/>
    <n v="0.01"/>
    <n v="8.91"/>
    <n v="9.99"/>
    <n v="4.2300000000000004"/>
    <n v="0"/>
    <n v="3.29"/>
    <n v="52.45"/>
    <n v="16.37"/>
    <n v="10.78"/>
    <n v="0"/>
    <n v="2.78"/>
    <n v="0.11"/>
    <n v="5"/>
    <x v="4"/>
  </r>
  <r>
    <x v="12"/>
    <x v="261"/>
    <x v="13"/>
    <x v="13"/>
    <n v="1"/>
    <n v="0"/>
    <n v="0"/>
    <n v="1"/>
    <n v="0"/>
    <n v="0"/>
    <n v="0"/>
    <s v="Tiffany Lane-Allen"/>
    <s v="Collections Group"/>
    <d v="2025-01-16T00:00:00"/>
    <d v="1899-12-30T17:16:19"/>
    <d v="1899-12-30T17:27:05"/>
    <n v="0.18"/>
    <n v="0.18"/>
    <n v="0.03"/>
    <n v="0"/>
    <n v="0"/>
    <n v="0.01"/>
    <n v="0"/>
    <n v="0"/>
    <n v="0"/>
    <n v="0"/>
    <n v="0"/>
    <n v="0.13"/>
    <n v="0.18"/>
    <n v="18.45"/>
    <n v="0"/>
    <n v="0"/>
    <n v="6.98"/>
    <n v="0"/>
    <n v="0"/>
    <n v="0"/>
    <n v="0"/>
    <n v="0"/>
    <n v="74.569999999999993"/>
    <n v="5"/>
    <x v="4"/>
  </r>
  <r>
    <x v="6"/>
    <x v="261"/>
    <x v="13"/>
    <x v="329"/>
    <n v="0"/>
    <n v="0"/>
    <n v="0"/>
    <n v="0"/>
    <n v="0"/>
    <n v="0"/>
    <n v="0"/>
    <m/>
    <m/>
    <m/>
    <m/>
    <m/>
    <m/>
    <m/>
    <m/>
    <m/>
    <m/>
    <m/>
    <m/>
    <m/>
    <m/>
    <m/>
    <m/>
    <m/>
    <m/>
    <m/>
    <m/>
    <m/>
    <m/>
    <m/>
    <m/>
    <m/>
    <m/>
    <m/>
    <m/>
    <n v="5"/>
    <x v="4"/>
  </r>
  <r>
    <x v="0"/>
    <x v="262"/>
    <x v="13"/>
    <x v="90"/>
    <n v="71"/>
    <n v="2"/>
    <n v="3"/>
    <n v="14"/>
    <n v="2"/>
    <n v="3"/>
    <n v="37"/>
    <s v="Anais Orozco"/>
    <s v="Collections Group"/>
    <d v="2025-01-15T00:00:00"/>
    <d v="1899-12-30T14:00:33"/>
    <d v="1899-12-30T23:12:41"/>
    <n v="9.1999999999999993"/>
    <n v="8.16"/>
    <n v="1.59"/>
    <n v="0"/>
    <n v="0"/>
    <n v="0.26"/>
    <n v="6.01"/>
    <n v="0.25"/>
    <n v="0"/>
    <n v="0"/>
    <n v="0"/>
    <n v="0.05"/>
    <n v="8.16"/>
    <n v="19.45"/>
    <n v="0"/>
    <n v="0"/>
    <n v="3.24"/>
    <n v="73.61"/>
    <n v="3.06"/>
    <n v="0"/>
    <n v="0"/>
    <n v="0"/>
    <n v="0.65"/>
    <n v="4"/>
    <x v="0"/>
  </r>
  <r>
    <x v="1"/>
    <x v="262"/>
    <x v="13"/>
    <x v="110"/>
    <n v="48"/>
    <n v="5"/>
    <n v="2"/>
    <n v="11"/>
    <n v="0"/>
    <n v="0"/>
    <n v="14"/>
    <s v="Derice Warnsley"/>
    <s v="Collections Group"/>
    <d v="2025-01-15T00:00:00"/>
    <d v="1899-12-30T14:00:24"/>
    <d v="1899-12-30T23:00:08"/>
    <n v="9"/>
    <n v="8.99"/>
    <n v="1.1200000000000001"/>
    <n v="0.17"/>
    <n v="0"/>
    <n v="0.03"/>
    <n v="6.17"/>
    <n v="1.5"/>
    <n v="0"/>
    <n v="0"/>
    <n v="0"/>
    <n v="0"/>
    <n v="8.99"/>
    <n v="12.42"/>
    <n v="1.87"/>
    <n v="0"/>
    <n v="0.36"/>
    <n v="68.59"/>
    <n v="16.71"/>
    <n v="0"/>
    <n v="0"/>
    <n v="0"/>
    <n v="0.04"/>
    <n v="4"/>
    <x v="0"/>
  </r>
  <r>
    <x v="19"/>
    <x v="262"/>
    <x v="13"/>
    <x v="113"/>
    <n v="37"/>
    <n v="3"/>
    <n v="2"/>
    <n v="12"/>
    <n v="0"/>
    <n v="0"/>
    <n v="16"/>
    <s v="Fantina Mullet"/>
    <s v="Collections Group"/>
    <d v="2025-01-15T00:00:00"/>
    <d v="1899-12-30T13:58:37"/>
    <d v="1899-12-30T23:00:06"/>
    <n v="9.0299999999999994"/>
    <n v="8.93"/>
    <n v="0.78"/>
    <n v="0.56000000000000005"/>
    <n v="0"/>
    <n v="0.03"/>
    <n v="5.58"/>
    <n v="1.4"/>
    <n v="0.56000000000000005"/>
    <n v="0"/>
    <n v="0"/>
    <n v="0.01"/>
    <n v="8.93"/>
    <n v="8.74"/>
    <n v="6.23"/>
    <n v="0"/>
    <n v="0.38"/>
    <n v="62.49"/>
    <n v="15.7"/>
    <n v="6.32"/>
    <n v="0"/>
    <n v="0"/>
    <n v="0.14000000000000001"/>
    <n v="4"/>
    <x v="0"/>
  </r>
  <r>
    <x v="3"/>
    <x v="262"/>
    <x v="13"/>
    <x v="89"/>
    <n v="89"/>
    <n v="8"/>
    <n v="12"/>
    <n v="7"/>
    <n v="0"/>
    <n v="2"/>
    <n v="45"/>
    <s v="Jerrod Coleman"/>
    <s v="Collections Group"/>
    <d v="2025-01-15T00:00:00"/>
    <d v="1899-12-30T14:00:12"/>
    <d v="1899-12-30T22:59:26"/>
    <n v="8.98"/>
    <n v="8.99"/>
    <n v="0.83"/>
    <n v="0"/>
    <n v="0"/>
    <n v="0.27"/>
    <n v="5.4"/>
    <n v="1.49"/>
    <n v="0.99"/>
    <n v="0"/>
    <n v="0"/>
    <n v="0"/>
    <n v="8.99"/>
    <n v="9.26"/>
    <n v="0"/>
    <n v="0"/>
    <n v="3.02"/>
    <n v="60.11"/>
    <n v="16.59"/>
    <n v="10.97"/>
    <n v="0"/>
    <n v="0"/>
    <n v="0.05"/>
    <n v="4"/>
    <x v="0"/>
  </r>
  <r>
    <x v="4"/>
    <x v="262"/>
    <x v="13"/>
    <x v="24"/>
    <n v="20"/>
    <n v="2"/>
    <n v="2"/>
    <n v="0"/>
    <n v="0"/>
    <n v="0"/>
    <n v="11"/>
    <s v="Rosette Rwabugahya"/>
    <s v="Collections Group"/>
    <d v="2025-01-15T00:00:00"/>
    <d v="1899-12-30T14:01:04"/>
    <d v="1899-12-30T23:01:07"/>
    <n v="9"/>
    <n v="9"/>
    <n v="2.0699999999999998"/>
    <n v="0.39"/>
    <n v="0"/>
    <n v="0.28999999999999998"/>
    <n v="3.72"/>
    <n v="1.47"/>
    <n v="1.05"/>
    <n v="0"/>
    <n v="0"/>
    <n v="0.01"/>
    <n v="9"/>
    <n v="23.05"/>
    <n v="4.34"/>
    <n v="0"/>
    <n v="3.2"/>
    <n v="41.37"/>
    <n v="16.34"/>
    <n v="11.65"/>
    <n v="0"/>
    <n v="0"/>
    <n v="0.06"/>
    <n v="4"/>
    <x v="0"/>
  </r>
  <r>
    <x v="5"/>
    <x v="262"/>
    <x v="13"/>
    <x v="64"/>
    <n v="97"/>
    <n v="1"/>
    <n v="1"/>
    <n v="18"/>
    <n v="0"/>
    <n v="2"/>
    <n v="58"/>
    <s v="Sabigh Masood"/>
    <s v="Collections Group"/>
    <d v="2025-01-15T00:00:00"/>
    <d v="1899-12-30T13:59:49"/>
    <d v="1899-12-30T23:00:52"/>
    <n v="9.02"/>
    <n v="9.01"/>
    <n v="0.46"/>
    <n v="0.14000000000000001"/>
    <n v="0"/>
    <n v="0.56000000000000005"/>
    <n v="5.73"/>
    <n v="1.49"/>
    <n v="0.27"/>
    <n v="0"/>
    <n v="0.33"/>
    <n v="0.04"/>
    <n v="9.01"/>
    <n v="5.0599999999999996"/>
    <n v="1.54"/>
    <n v="0"/>
    <n v="6.16"/>
    <n v="63.58"/>
    <n v="16.54"/>
    <n v="3.01"/>
    <n v="0"/>
    <n v="3.65"/>
    <n v="0.44"/>
    <n v="4"/>
    <x v="0"/>
  </r>
  <r>
    <x v="6"/>
    <x v="262"/>
    <x v="13"/>
    <x v="315"/>
    <n v="0"/>
    <n v="0"/>
    <n v="0"/>
    <n v="0"/>
    <n v="0"/>
    <n v="0"/>
    <n v="0"/>
    <m/>
    <m/>
    <m/>
    <m/>
    <m/>
    <m/>
    <m/>
    <m/>
    <m/>
    <m/>
    <m/>
    <m/>
    <m/>
    <m/>
    <m/>
    <m/>
    <m/>
    <m/>
    <m/>
    <m/>
    <m/>
    <m/>
    <m/>
    <m/>
    <m/>
    <m/>
    <m/>
    <m/>
    <n v="4"/>
    <x v="0"/>
  </r>
  <r>
    <x v="0"/>
    <x v="263"/>
    <x v="13"/>
    <x v="113"/>
    <n v="51"/>
    <n v="6"/>
    <n v="7"/>
    <n v="5"/>
    <n v="1"/>
    <n v="4"/>
    <n v="23"/>
    <s v="Anais Orozco"/>
    <s v="Collections Group"/>
    <d v="2025-01-14T00:00:00"/>
    <d v="1899-12-30T14:00:00"/>
    <d v="1899-12-30T23:02:08"/>
    <n v="9.0299999999999994"/>
    <n v="8.08"/>
    <n v="1.19"/>
    <n v="0.38"/>
    <n v="0"/>
    <n v="0.35"/>
    <n v="5.82"/>
    <n v="0.3"/>
    <n v="0"/>
    <n v="0"/>
    <n v="0"/>
    <n v="0.04"/>
    <n v="8.08"/>
    <n v="14.67"/>
    <n v="4.6900000000000004"/>
    <n v="0"/>
    <n v="4.3899999999999997"/>
    <n v="72"/>
    <n v="3.7"/>
    <n v="0"/>
    <n v="0"/>
    <n v="0"/>
    <n v="0.55000000000000004"/>
    <n v="3"/>
    <x v="1"/>
  </r>
  <r>
    <x v="1"/>
    <x v="263"/>
    <x v="13"/>
    <x v="116"/>
    <n v="59"/>
    <n v="14"/>
    <n v="2"/>
    <n v="4"/>
    <n v="0"/>
    <n v="0"/>
    <n v="22"/>
    <s v="Derice Warnsley"/>
    <s v="Collections Group"/>
    <d v="2025-01-14T00:00:00"/>
    <d v="1899-12-30T14:00:34"/>
    <d v="1899-12-30T23:11:09"/>
    <n v="9.18"/>
    <n v="9.17"/>
    <n v="1.87"/>
    <n v="0.13"/>
    <n v="0"/>
    <n v="0.04"/>
    <n v="5.31"/>
    <n v="1.49"/>
    <n v="0.32"/>
    <n v="0"/>
    <n v="0"/>
    <n v="0"/>
    <n v="9.17"/>
    <n v="20.420000000000002"/>
    <n v="1.47"/>
    <n v="0"/>
    <n v="0.4"/>
    <n v="57.91"/>
    <n v="16.27"/>
    <n v="3.48"/>
    <n v="0"/>
    <n v="0"/>
    <n v="0.04"/>
    <n v="3"/>
    <x v="1"/>
  </r>
  <r>
    <x v="19"/>
    <x v="263"/>
    <x v="13"/>
    <x v="52"/>
    <n v="36"/>
    <n v="2"/>
    <n v="4"/>
    <n v="5"/>
    <n v="1"/>
    <n v="0"/>
    <n v="13"/>
    <s v="Fantina Mullet"/>
    <s v="Collections Group"/>
    <d v="2025-01-14T00:00:00"/>
    <d v="1899-12-30T14:01:09"/>
    <d v="1899-12-30T23:00:02"/>
    <n v="8.98"/>
    <n v="8.98"/>
    <n v="1.54"/>
    <n v="0.1"/>
    <n v="0"/>
    <n v="0.02"/>
    <n v="5.81"/>
    <n v="1.51"/>
    <n v="0"/>
    <n v="0"/>
    <n v="0"/>
    <n v="0"/>
    <n v="8.98"/>
    <n v="17.13"/>
    <n v="1.1599999999999999"/>
    <n v="0"/>
    <n v="0.2"/>
    <n v="64.7"/>
    <n v="16.760000000000002"/>
    <n v="0"/>
    <n v="0"/>
    <n v="0"/>
    <n v="0.04"/>
    <n v="3"/>
    <x v="1"/>
  </r>
  <r>
    <x v="3"/>
    <x v="263"/>
    <x v="13"/>
    <x v="75"/>
    <n v="61"/>
    <n v="4"/>
    <n v="6"/>
    <n v="1"/>
    <n v="0"/>
    <n v="0"/>
    <n v="29"/>
    <s v="Jerrod Coleman"/>
    <s v="Collections Group"/>
    <d v="2025-01-14T00:00:00"/>
    <d v="1899-12-30T13:59:08"/>
    <d v="1899-12-30T18:59:11"/>
    <n v="5"/>
    <n v="5"/>
    <n v="0.59"/>
    <n v="0.05"/>
    <n v="0"/>
    <n v="0.32"/>
    <n v="2.62"/>
    <n v="1.37"/>
    <n v="0"/>
    <n v="0"/>
    <n v="0.04"/>
    <n v="0"/>
    <n v="5"/>
    <n v="11.77"/>
    <n v="1.01"/>
    <n v="0"/>
    <n v="6.45"/>
    <n v="52.41"/>
    <n v="27.44"/>
    <n v="0"/>
    <n v="0"/>
    <n v="0.86"/>
    <n v="7.0000000000000007E-2"/>
    <n v="3"/>
    <x v="1"/>
  </r>
  <r>
    <x v="4"/>
    <x v="263"/>
    <x v="13"/>
    <x v="108"/>
    <n v="30"/>
    <n v="2"/>
    <n v="4"/>
    <n v="1"/>
    <n v="0"/>
    <n v="1"/>
    <n v="10"/>
    <s v="Rosette Rwabugahya"/>
    <s v="Collections Group"/>
    <d v="2025-01-14T00:00:00"/>
    <d v="1899-12-30T14:01:38"/>
    <d v="1899-12-30T23:01:04"/>
    <n v="9"/>
    <n v="8.99"/>
    <n v="1.84"/>
    <n v="0.72"/>
    <n v="0"/>
    <n v="0.32"/>
    <n v="4.63"/>
    <n v="1.47"/>
    <n v="0"/>
    <n v="0"/>
    <n v="0"/>
    <n v="0"/>
    <n v="8.99"/>
    <n v="20.46"/>
    <n v="8.02"/>
    <n v="0"/>
    <n v="3.55"/>
    <n v="51.55"/>
    <n v="16.37"/>
    <n v="0"/>
    <n v="0"/>
    <n v="0"/>
    <n v="0.05"/>
    <n v="3"/>
    <x v="1"/>
  </r>
  <r>
    <x v="5"/>
    <x v="263"/>
    <x v="13"/>
    <x v="118"/>
    <n v="71"/>
    <n v="6"/>
    <n v="8"/>
    <n v="8"/>
    <n v="0"/>
    <n v="0"/>
    <n v="37"/>
    <s v="Sabigh Masood"/>
    <s v="Collections Group"/>
    <d v="2025-01-14T00:00:00"/>
    <d v="1899-12-30T14:03:21"/>
    <d v="1899-12-30T23:03:29"/>
    <n v="9"/>
    <n v="9"/>
    <n v="0.71"/>
    <n v="0.16"/>
    <n v="0"/>
    <n v="0.62"/>
    <n v="5.45"/>
    <n v="1.52"/>
    <n v="0.27"/>
    <n v="0"/>
    <n v="0.27"/>
    <n v="0"/>
    <n v="9"/>
    <n v="7.86"/>
    <n v="1.83"/>
    <n v="0"/>
    <n v="6.92"/>
    <n v="60.55"/>
    <n v="16.86"/>
    <n v="2.96"/>
    <n v="0"/>
    <n v="2.99"/>
    <n v="0.03"/>
    <n v="3"/>
    <x v="1"/>
  </r>
  <r>
    <x v="6"/>
    <x v="263"/>
    <x v="13"/>
    <x v="308"/>
    <n v="0"/>
    <n v="0"/>
    <n v="0"/>
    <n v="0"/>
    <n v="0"/>
    <n v="0"/>
    <n v="0"/>
    <m/>
    <m/>
    <m/>
    <m/>
    <m/>
    <m/>
    <m/>
    <m/>
    <m/>
    <m/>
    <m/>
    <m/>
    <m/>
    <m/>
    <m/>
    <m/>
    <m/>
    <m/>
    <m/>
    <m/>
    <m/>
    <m/>
    <m/>
    <m/>
    <m/>
    <m/>
    <m/>
    <m/>
    <n v="3"/>
    <x v="1"/>
  </r>
  <r>
    <x v="1"/>
    <x v="264"/>
    <x v="13"/>
    <x v="118"/>
    <n v="66"/>
    <n v="3"/>
    <n v="6"/>
    <n v="5"/>
    <n v="0"/>
    <n v="3"/>
    <n v="36"/>
    <s v="Derice Warnsley"/>
    <s v="Collections Group"/>
    <d v="2025-01-13T00:00:00"/>
    <d v="1899-12-30T14:00:30"/>
    <d v="1899-12-30T23:00:26"/>
    <n v="9"/>
    <n v="8.99"/>
    <n v="1.35"/>
    <n v="0.14000000000000001"/>
    <n v="0"/>
    <n v="0.03"/>
    <n v="5.36"/>
    <n v="1.49"/>
    <n v="0.6"/>
    <n v="0"/>
    <n v="0"/>
    <n v="0.01"/>
    <n v="8.99"/>
    <n v="15.01"/>
    <n v="1.6"/>
    <n v="0"/>
    <n v="0.38"/>
    <n v="59.67"/>
    <n v="16.54"/>
    <n v="6.69"/>
    <n v="0"/>
    <n v="0"/>
    <n v="0.11"/>
    <n v="2"/>
    <x v="2"/>
  </r>
  <r>
    <x v="19"/>
    <x v="264"/>
    <x v="13"/>
    <x v="51"/>
    <n v="46"/>
    <n v="4"/>
    <n v="6"/>
    <n v="4"/>
    <n v="0"/>
    <n v="0"/>
    <n v="19"/>
    <s v="Fantina Mullet"/>
    <s v="Collections Group"/>
    <d v="2025-01-13T00:00:00"/>
    <d v="1899-12-30T13:58:07"/>
    <d v="1899-12-30T23:00:09"/>
    <n v="9.0299999999999994"/>
    <n v="9.0299999999999994"/>
    <n v="2.13"/>
    <n v="0"/>
    <n v="0"/>
    <n v="0.12"/>
    <n v="5.36"/>
    <n v="1.42"/>
    <n v="0"/>
    <n v="0"/>
    <n v="0"/>
    <n v="0.01"/>
    <n v="9.0299999999999994"/>
    <n v="23.53"/>
    <n v="0"/>
    <n v="0"/>
    <n v="1.33"/>
    <n v="59.32"/>
    <n v="15.67"/>
    <n v="0"/>
    <n v="0"/>
    <n v="0"/>
    <n v="0.15"/>
    <n v="2"/>
    <x v="2"/>
  </r>
  <r>
    <x v="3"/>
    <x v="264"/>
    <x v="13"/>
    <x v="32"/>
    <n v="125"/>
    <n v="14"/>
    <n v="9"/>
    <n v="2"/>
    <n v="0"/>
    <n v="0"/>
    <n v="64"/>
    <s v="Jerrod Coleman"/>
    <s v="Collections Group"/>
    <d v="2025-01-13T00:00:00"/>
    <d v="1899-12-30T13:59:02"/>
    <d v="1899-12-30T22:59:03"/>
    <n v="9"/>
    <n v="9"/>
    <n v="1.71"/>
    <n v="0"/>
    <n v="0"/>
    <n v="0.54"/>
    <n v="5.26"/>
    <n v="1.48"/>
    <n v="0"/>
    <n v="0"/>
    <n v="0"/>
    <n v="0.01"/>
    <n v="9"/>
    <n v="19.010000000000002"/>
    <n v="0"/>
    <n v="0"/>
    <n v="5.99"/>
    <n v="58.47"/>
    <n v="16.399999999999999"/>
    <n v="0"/>
    <n v="0"/>
    <n v="0"/>
    <n v="0.13"/>
    <n v="2"/>
    <x v="2"/>
  </r>
  <r>
    <x v="4"/>
    <x v="264"/>
    <x v="13"/>
    <x v="90"/>
    <n v="28"/>
    <n v="3"/>
    <n v="3"/>
    <n v="4"/>
    <n v="0"/>
    <n v="1"/>
    <n v="11"/>
    <s v="Rosette Rwabugahya"/>
    <s v="Collections Group"/>
    <d v="2025-01-13T00:00:00"/>
    <d v="1899-12-30T13:59:38"/>
    <d v="1899-12-30T23:10:10"/>
    <n v="9.18"/>
    <n v="9.18"/>
    <n v="2.65"/>
    <n v="0.54"/>
    <n v="0"/>
    <n v="0.7"/>
    <n v="3.8"/>
    <n v="1.48"/>
    <n v="0"/>
    <n v="0"/>
    <n v="0"/>
    <n v="0"/>
    <n v="9.18"/>
    <n v="28.91"/>
    <n v="5.85"/>
    <n v="0"/>
    <n v="7.66"/>
    <n v="41.4"/>
    <n v="16.14"/>
    <n v="0"/>
    <n v="0"/>
    <n v="0"/>
    <n v="0.05"/>
    <n v="2"/>
    <x v="2"/>
  </r>
  <r>
    <x v="5"/>
    <x v="264"/>
    <x v="13"/>
    <x v="68"/>
    <n v="111"/>
    <n v="4"/>
    <n v="8"/>
    <n v="3"/>
    <n v="1"/>
    <n v="0"/>
    <n v="60"/>
    <s v="Sabigh Masood"/>
    <s v="Collections Group"/>
    <d v="2025-01-13T00:00:00"/>
    <d v="1899-12-30T13:59:22"/>
    <d v="1899-12-30T23:15:22"/>
    <n v="9.27"/>
    <n v="9.27"/>
    <n v="1.1299999999999999"/>
    <n v="0.2"/>
    <n v="0"/>
    <n v="0.55000000000000004"/>
    <n v="5.64"/>
    <n v="1.49"/>
    <n v="0.25"/>
    <n v="0"/>
    <n v="0"/>
    <n v="0"/>
    <n v="9.27"/>
    <n v="12.23"/>
    <n v="2.12"/>
    <n v="0"/>
    <n v="5.95"/>
    <n v="60.84"/>
    <n v="16.12"/>
    <n v="2.69"/>
    <n v="0"/>
    <n v="0"/>
    <n v="0.04"/>
    <n v="2"/>
    <x v="2"/>
  </r>
  <r>
    <x v="6"/>
    <x v="264"/>
    <x v="13"/>
    <x v="330"/>
    <n v="0"/>
    <n v="0"/>
    <n v="0"/>
    <n v="0"/>
    <n v="0"/>
    <n v="0"/>
    <n v="0"/>
    <m/>
    <m/>
    <m/>
    <m/>
    <m/>
    <m/>
    <m/>
    <m/>
    <m/>
    <m/>
    <m/>
    <m/>
    <m/>
    <m/>
    <m/>
    <m/>
    <m/>
    <m/>
    <m/>
    <m/>
    <m/>
    <m/>
    <m/>
    <m/>
    <m/>
    <m/>
    <m/>
    <m/>
    <n v="2"/>
    <x v="2"/>
  </r>
  <r>
    <x v="1"/>
    <x v="265"/>
    <x v="13"/>
    <x v="64"/>
    <n v="96"/>
    <n v="19"/>
    <n v="19"/>
    <n v="36"/>
    <n v="0"/>
    <n v="2"/>
    <n v="29"/>
    <s v="Derice Warnsley"/>
    <s v="Collections Group"/>
    <d v="2025-01-10T00:00:00"/>
    <d v="1899-12-30T14:00:21"/>
    <d v="1899-12-30T23:00:04"/>
    <n v="9"/>
    <n v="8.99"/>
    <n v="2.33"/>
    <n v="0.19"/>
    <n v="0"/>
    <n v="0.05"/>
    <n v="5.04"/>
    <n v="1.39"/>
    <n v="0"/>
    <n v="0"/>
    <n v="0"/>
    <n v="0"/>
    <n v="8.99"/>
    <n v="25.94"/>
    <n v="2.09"/>
    <n v="0"/>
    <n v="0.53"/>
    <n v="55.99"/>
    <n v="15.41"/>
    <n v="0"/>
    <n v="0"/>
    <n v="0"/>
    <n v="0.05"/>
    <n v="6"/>
    <x v="3"/>
  </r>
  <r>
    <x v="19"/>
    <x v="265"/>
    <x v="13"/>
    <x v="39"/>
    <n v="62"/>
    <n v="6"/>
    <n v="9"/>
    <n v="15"/>
    <n v="0"/>
    <n v="0"/>
    <n v="18"/>
    <s v="Fantina Mullet"/>
    <s v="Collections Group"/>
    <d v="2025-01-10T00:00:00"/>
    <d v="1899-12-30T13:58:26"/>
    <d v="1899-12-30T23:00:06"/>
    <n v="9.0299999999999994"/>
    <n v="9.0299999999999994"/>
    <n v="1.5"/>
    <n v="0"/>
    <n v="0"/>
    <n v="0.04"/>
    <n v="6.05"/>
    <n v="1.35"/>
    <n v="0.05"/>
    <n v="0"/>
    <n v="0"/>
    <n v="0.03"/>
    <n v="9.0299999999999994"/>
    <n v="16.61"/>
    <n v="0"/>
    <n v="0"/>
    <n v="0.46"/>
    <n v="67.03"/>
    <n v="14.94"/>
    <n v="0.59"/>
    <n v="0"/>
    <n v="0"/>
    <n v="0.37"/>
    <n v="6"/>
    <x v="3"/>
  </r>
  <r>
    <x v="3"/>
    <x v="265"/>
    <x v="13"/>
    <x v="99"/>
    <n v="93"/>
    <n v="11"/>
    <n v="14"/>
    <n v="15"/>
    <n v="0"/>
    <n v="0"/>
    <n v="42"/>
    <s v="Jerrod Coleman"/>
    <s v="Collections Group"/>
    <d v="2025-01-10T00:00:00"/>
    <d v="1899-12-30T14:02:10"/>
    <d v="1899-12-30T22:59:38"/>
    <n v="8.9499999999999993"/>
    <n v="8.9600000000000009"/>
    <n v="1.54"/>
    <n v="0.09"/>
    <n v="0"/>
    <n v="0.53"/>
    <n v="5.34"/>
    <n v="1.46"/>
    <n v="0"/>
    <n v="0"/>
    <n v="0"/>
    <n v="0"/>
    <n v="8.9600000000000009"/>
    <n v="17.149999999999999"/>
    <n v="0.98"/>
    <n v="0"/>
    <n v="5.88"/>
    <n v="59.66"/>
    <n v="16.28"/>
    <n v="0"/>
    <n v="0"/>
    <n v="0"/>
    <n v="0.05"/>
    <n v="6"/>
    <x v="3"/>
  </r>
  <r>
    <x v="6"/>
    <x v="265"/>
    <x v="13"/>
    <x v="297"/>
    <n v="0"/>
    <n v="0"/>
    <n v="0"/>
    <n v="0"/>
    <n v="0"/>
    <n v="0"/>
    <n v="0"/>
    <m/>
    <m/>
    <m/>
    <m/>
    <m/>
    <m/>
    <m/>
    <m/>
    <m/>
    <m/>
    <m/>
    <m/>
    <m/>
    <m/>
    <m/>
    <m/>
    <m/>
    <m/>
    <m/>
    <m/>
    <m/>
    <m/>
    <m/>
    <m/>
    <m/>
    <m/>
    <m/>
    <m/>
    <n v="6"/>
    <x v="3"/>
  </r>
  <r>
    <x v="1"/>
    <x v="266"/>
    <x v="13"/>
    <x v="90"/>
    <n v="41"/>
    <n v="5"/>
    <n v="4"/>
    <n v="5"/>
    <n v="0"/>
    <n v="0"/>
    <n v="18"/>
    <s v="Derice Warnsley"/>
    <s v="Collections Group"/>
    <d v="2025-01-09T00:00:00"/>
    <d v="1899-12-30T14:00:40"/>
    <d v="1899-12-30T23:00:05"/>
    <n v="9"/>
    <n v="8.99"/>
    <n v="1.21"/>
    <n v="0.09"/>
    <n v="0"/>
    <n v="0.03"/>
    <n v="5.0999999999999996"/>
    <n v="1.5"/>
    <n v="1.06"/>
    <n v="0"/>
    <n v="0"/>
    <n v="0"/>
    <n v="8.99"/>
    <n v="13.48"/>
    <n v="1.04"/>
    <n v="0"/>
    <n v="0.28999999999999998"/>
    <n v="56.75"/>
    <n v="16.63"/>
    <n v="11.76"/>
    <n v="0"/>
    <n v="0"/>
    <n v="0.04"/>
    <n v="5"/>
    <x v="4"/>
  </r>
  <r>
    <x v="19"/>
    <x v="266"/>
    <x v="13"/>
    <x v="110"/>
    <n v="30"/>
    <n v="1"/>
    <n v="4"/>
    <n v="2"/>
    <n v="0"/>
    <n v="0"/>
    <n v="10"/>
    <s v="Fantina Mullet"/>
    <s v="Collections Group"/>
    <d v="2025-01-09T00:00:00"/>
    <d v="1899-12-30T14:00:29"/>
    <d v="1899-12-30T23:01:29"/>
    <n v="9.02"/>
    <n v="9.02"/>
    <n v="1.64"/>
    <n v="0"/>
    <n v="0"/>
    <n v="0.03"/>
    <n v="4.83"/>
    <n v="1.51"/>
    <n v="1"/>
    <n v="0"/>
    <n v="0"/>
    <n v="0"/>
    <n v="9.02"/>
    <n v="18.22"/>
    <n v="0"/>
    <n v="0"/>
    <n v="0.38"/>
    <n v="53.61"/>
    <n v="16.71"/>
    <n v="11.04"/>
    <n v="0"/>
    <n v="0"/>
    <n v="0.04"/>
    <n v="5"/>
    <x v="4"/>
  </r>
  <r>
    <x v="3"/>
    <x v="266"/>
    <x v="13"/>
    <x v="99"/>
    <n v="79"/>
    <n v="11"/>
    <n v="8"/>
    <n v="4"/>
    <n v="0"/>
    <n v="0"/>
    <n v="38"/>
    <s v="Jerrod Coleman"/>
    <s v="Collections Group"/>
    <d v="2025-01-09T00:00:00"/>
    <d v="1899-12-30T14:02:46"/>
    <d v="1899-12-30T22:59:09"/>
    <n v="8.9499999999999993"/>
    <n v="8.94"/>
    <n v="1.32"/>
    <n v="0"/>
    <n v="0"/>
    <n v="0.66"/>
    <n v="4.43"/>
    <n v="1.48"/>
    <n v="1.04"/>
    <n v="0"/>
    <n v="0"/>
    <n v="0"/>
    <n v="8.94"/>
    <n v="14.81"/>
    <n v="0"/>
    <n v="0"/>
    <n v="7.33"/>
    <n v="49.57"/>
    <n v="16.61"/>
    <n v="11.64"/>
    <n v="0"/>
    <n v="0"/>
    <n v="0.04"/>
    <n v="5"/>
    <x v="4"/>
  </r>
  <r>
    <x v="4"/>
    <x v="266"/>
    <x v="13"/>
    <x v="74"/>
    <n v="26"/>
    <n v="1"/>
    <n v="2"/>
    <n v="3"/>
    <n v="0"/>
    <n v="0"/>
    <n v="16"/>
    <s v="Rosette Rwabugahya"/>
    <s v="Collections Group"/>
    <d v="2025-01-09T00:00:00"/>
    <d v="1899-12-30T14:00:49"/>
    <d v="1899-12-30T23:04:20"/>
    <n v="9.07"/>
    <n v="9.06"/>
    <n v="1.59"/>
    <n v="0.85"/>
    <n v="0"/>
    <n v="0.32"/>
    <n v="3.65"/>
    <n v="1.46"/>
    <n v="1.18"/>
    <n v="0"/>
    <n v="0"/>
    <n v="0.01"/>
    <n v="9.06"/>
    <n v="17.600000000000001"/>
    <n v="9.4"/>
    <n v="0"/>
    <n v="3.52"/>
    <n v="40.28"/>
    <n v="16.11"/>
    <n v="13.03"/>
    <n v="0"/>
    <n v="0"/>
    <n v="0.06"/>
    <n v="5"/>
    <x v="4"/>
  </r>
  <r>
    <x v="6"/>
    <x v="266"/>
    <x v="13"/>
    <x v="331"/>
    <n v="0"/>
    <n v="0"/>
    <n v="0"/>
    <n v="0"/>
    <n v="0"/>
    <n v="0"/>
    <n v="0"/>
    <m/>
    <m/>
    <m/>
    <m/>
    <m/>
    <m/>
    <m/>
    <m/>
    <m/>
    <m/>
    <m/>
    <m/>
    <m/>
    <m/>
    <m/>
    <m/>
    <m/>
    <m/>
    <m/>
    <m/>
    <m/>
    <m/>
    <m/>
    <m/>
    <m/>
    <m/>
    <m/>
    <m/>
    <n v="5"/>
    <x v="4"/>
  </r>
  <r>
    <x v="1"/>
    <x v="267"/>
    <x v="13"/>
    <x v="32"/>
    <n v="144"/>
    <n v="12"/>
    <n v="10"/>
    <n v="24"/>
    <n v="0"/>
    <n v="0"/>
    <n v="73"/>
    <s v="Derice Warnsley"/>
    <s v="Collections Group"/>
    <d v="2025-01-08T00:00:00"/>
    <d v="1899-12-30T14:00:44"/>
    <d v="1899-12-30T23:00:04"/>
    <n v="9"/>
    <n v="8.99"/>
    <n v="2.74"/>
    <n v="0.08"/>
    <n v="0"/>
    <n v="0.14000000000000001"/>
    <n v="4.53"/>
    <n v="1.5"/>
    <n v="0"/>
    <n v="0"/>
    <n v="0"/>
    <n v="0"/>
    <n v="8.99"/>
    <n v="30.48"/>
    <n v="0.87"/>
    <n v="0"/>
    <n v="1.52"/>
    <n v="50.38"/>
    <n v="16.71"/>
    <n v="0"/>
    <n v="0"/>
    <n v="0"/>
    <n v="0.04"/>
    <n v="4"/>
    <x v="0"/>
  </r>
  <r>
    <x v="3"/>
    <x v="267"/>
    <x v="13"/>
    <x v="9"/>
    <n v="130"/>
    <n v="22"/>
    <n v="14"/>
    <n v="10"/>
    <n v="1"/>
    <n v="3"/>
    <n v="56"/>
    <s v="Jerrod Coleman"/>
    <s v="Collections Group"/>
    <d v="2025-01-08T00:00:00"/>
    <d v="1899-12-30T14:00:13"/>
    <d v="1899-12-30T22:58:45"/>
    <n v="8.9700000000000006"/>
    <n v="8.9700000000000006"/>
    <n v="2.75"/>
    <n v="0"/>
    <n v="0"/>
    <n v="0.76"/>
    <n v="4.01"/>
    <n v="1.45"/>
    <n v="0"/>
    <n v="0"/>
    <n v="0"/>
    <n v="0"/>
    <n v="8.9700000000000006"/>
    <n v="30.67"/>
    <n v="0"/>
    <n v="0"/>
    <n v="8.43"/>
    <n v="44.71"/>
    <n v="16.14"/>
    <n v="0"/>
    <n v="0"/>
    <n v="0"/>
    <n v="0.05"/>
    <n v="4"/>
    <x v="0"/>
  </r>
  <r>
    <x v="4"/>
    <x v="267"/>
    <x v="13"/>
    <x v="69"/>
    <n v="42"/>
    <n v="9"/>
    <n v="6"/>
    <n v="1"/>
    <n v="0"/>
    <n v="1"/>
    <n v="21"/>
    <s v="Rosette Rwabugahya"/>
    <s v="Collections Group"/>
    <d v="2025-01-08T00:00:00"/>
    <d v="1899-12-30T14:00:38"/>
    <d v="1899-12-30T21:00:14"/>
    <n v="7"/>
    <n v="6.99"/>
    <n v="3.13"/>
    <n v="0.34"/>
    <n v="0"/>
    <n v="0.74"/>
    <n v="1.78"/>
    <n v="0.99"/>
    <n v="0"/>
    <n v="0"/>
    <n v="0"/>
    <n v="0"/>
    <n v="6.99"/>
    <n v="44.76"/>
    <n v="4.91"/>
    <n v="0"/>
    <n v="10.58"/>
    <n v="25.49"/>
    <n v="14.2"/>
    <n v="0"/>
    <n v="0"/>
    <n v="0"/>
    <n v="0.06"/>
    <n v="4"/>
    <x v="0"/>
  </r>
  <r>
    <x v="6"/>
    <x v="267"/>
    <x v="13"/>
    <x v="332"/>
    <n v="0"/>
    <n v="0"/>
    <n v="0"/>
    <n v="0"/>
    <n v="0"/>
    <n v="0"/>
    <n v="0"/>
    <m/>
    <m/>
    <m/>
    <m/>
    <m/>
    <m/>
    <m/>
    <m/>
    <m/>
    <m/>
    <m/>
    <m/>
    <m/>
    <m/>
    <m/>
    <m/>
    <m/>
    <m/>
    <m/>
    <m/>
    <m/>
    <m/>
    <m/>
    <m/>
    <m/>
    <m/>
    <m/>
    <m/>
    <n v="4"/>
    <x v="0"/>
  </r>
  <r>
    <x v="1"/>
    <x v="268"/>
    <x v="13"/>
    <x v="56"/>
    <n v="74"/>
    <n v="5"/>
    <n v="0"/>
    <n v="15"/>
    <n v="0"/>
    <n v="0"/>
    <n v="35"/>
    <s v="Derice Warnsley"/>
    <s v="Collections Group"/>
    <d v="2025-01-07T00:00:00"/>
    <d v="1899-12-30T14:00:21"/>
    <d v="1899-12-30T23:00:02"/>
    <n v="9"/>
    <n v="8.9600000000000009"/>
    <n v="1.52"/>
    <n v="0.05"/>
    <n v="0"/>
    <n v="0.12"/>
    <n v="4.6399999999999997"/>
    <n v="1.5"/>
    <n v="1.1100000000000001"/>
    <n v="0"/>
    <n v="0"/>
    <n v="0.01"/>
    <n v="8.9600000000000009"/>
    <n v="16.989999999999998"/>
    <n v="0.53"/>
    <n v="0"/>
    <n v="1.36"/>
    <n v="51.85"/>
    <n v="16.79"/>
    <n v="12.39"/>
    <n v="0"/>
    <n v="0"/>
    <n v="0.09"/>
    <n v="3"/>
    <x v="1"/>
  </r>
  <r>
    <x v="19"/>
    <x v="268"/>
    <x v="13"/>
    <x v="108"/>
    <n v="29"/>
    <n v="0"/>
    <n v="2"/>
    <n v="4"/>
    <n v="0"/>
    <n v="0"/>
    <n v="14"/>
    <s v="Fantina Mullet"/>
    <s v="Collections Group"/>
    <d v="2025-01-07T00:00:00"/>
    <d v="1899-12-30T13:59:18"/>
    <d v="1899-12-30T23:00:07"/>
    <n v="9.02"/>
    <n v="9.01"/>
    <n v="0.99"/>
    <n v="0.93"/>
    <n v="0"/>
    <n v="0.02"/>
    <n v="4.3899999999999997"/>
    <n v="1.51"/>
    <n v="1.1599999999999999"/>
    <n v="0"/>
    <n v="0"/>
    <n v="0"/>
    <n v="9.01"/>
    <n v="11"/>
    <n v="10.34"/>
    <n v="0"/>
    <n v="0.28000000000000003"/>
    <n v="48.69"/>
    <n v="16.78"/>
    <n v="12.87"/>
    <n v="0"/>
    <n v="0"/>
    <n v="0.04"/>
    <n v="3"/>
    <x v="1"/>
  </r>
  <r>
    <x v="3"/>
    <x v="268"/>
    <x v="13"/>
    <x v="69"/>
    <n v="68"/>
    <n v="6"/>
    <n v="9"/>
    <n v="5"/>
    <n v="0"/>
    <n v="0"/>
    <n v="24"/>
    <s v="Jerrod Coleman"/>
    <s v="Collections Group"/>
    <d v="2025-01-07T00:00:00"/>
    <d v="1899-12-30T14:00:12"/>
    <d v="1899-12-30T22:58:16"/>
    <n v="8.9700000000000006"/>
    <n v="8.9700000000000006"/>
    <n v="1.37"/>
    <n v="0"/>
    <n v="0"/>
    <n v="0.37"/>
    <n v="3.93"/>
    <n v="1.45"/>
    <n v="1.85"/>
    <n v="0"/>
    <n v="0"/>
    <n v="0"/>
    <n v="8.9700000000000006"/>
    <n v="15.23"/>
    <n v="0"/>
    <n v="0"/>
    <n v="4.09"/>
    <n v="43.85"/>
    <n v="16.12"/>
    <n v="20.66"/>
    <n v="0"/>
    <n v="0"/>
    <n v="0.04"/>
    <n v="3"/>
    <x v="1"/>
  </r>
  <r>
    <x v="4"/>
    <x v="268"/>
    <x v="13"/>
    <x v="120"/>
    <n v="21"/>
    <n v="2"/>
    <n v="2"/>
    <n v="1"/>
    <n v="0"/>
    <n v="0"/>
    <n v="7"/>
    <s v="Rosette Rwabugahya"/>
    <s v="Collections Group"/>
    <d v="2025-01-07T00:00:00"/>
    <d v="1899-12-30T14:00:53"/>
    <d v="1899-12-30T23:03:11"/>
    <n v="9.0500000000000007"/>
    <n v="9.0399999999999991"/>
    <n v="1.23"/>
    <n v="0.74"/>
    <n v="0"/>
    <n v="0.36"/>
    <n v="4.0599999999999996"/>
    <n v="1.46"/>
    <n v="1.18"/>
    <n v="0"/>
    <n v="0.01"/>
    <n v="0.01"/>
    <n v="9.0399999999999991"/>
    <n v="13.59"/>
    <n v="8.17"/>
    <n v="0"/>
    <n v="4.04"/>
    <n v="44.88"/>
    <n v="16.170000000000002"/>
    <n v="13.02"/>
    <n v="0"/>
    <n v="0.08"/>
    <n v="0.06"/>
    <n v="3"/>
    <x v="1"/>
  </r>
  <r>
    <x v="5"/>
    <x v="268"/>
    <x v="13"/>
    <x v="24"/>
    <n v="43"/>
    <n v="7"/>
    <n v="1"/>
    <n v="11"/>
    <n v="0"/>
    <n v="0"/>
    <n v="20"/>
    <s v="Sabigh Masood"/>
    <s v="Collections Group"/>
    <d v="2025-01-07T00:00:00"/>
    <d v="1899-12-30T14:00:31"/>
    <d v="1899-12-30T23:01:42"/>
    <n v="9.02"/>
    <n v="9.02"/>
    <n v="1.74"/>
    <n v="0.41"/>
    <n v="0"/>
    <n v="0.5"/>
    <n v="2.94"/>
    <n v="1.46"/>
    <n v="1.97"/>
    <n v="0"/>
    <n v="0"/>
    <n v="0"/>
    <n v="9.02"/>
    <n v="19.32"/>
    <n v="4.55"/>
    <n v="0"/>
    <n v="5.56"/>
    <n v="32.54"/>
    <n v="16.149999999999999"/>
    <n v="21.85"/>
    <n v="0"/>
    <n v="0"/>
    <n v="0.04"/>
    <n v="3"/>
    <x v="1"/>
  </r>
  <r>
    <x v="6"/>
    <x v="268"/>
    <x v="13"/>
    <x v="333"/>
    <n v="0"/>
    <n v="0"/>
    <n v="0"/>
    <n v="0"/>
    <n v="0"/>
    <n v="0"/>
    <n v="0"/>
    <m/>
    <m/>
    <m/>
    <m/>
    <m/>
    <m/>
    <m/>
    <m/>
    <m/>
    <m/>
    <m/>
    <m/>
    <m/>
    <m/>
    <m/>
    <m/>
    <m/>
    <m/>
    <m/>
    <m/>
    <m/>
    <m/>
    <m/>
    <m/>
    <m/>
    <m/>
    <m/>
    <m/>
    <n v="3"/>
    <x v="1"/>
  </r>
  <r>
    <x v="1"/>
    <x v="269"/>
    <x v="13"/>
    <x v="56"/>
    <n v="68"/>
    <n v="4"/>
    <n v="1"/>
    <n v="5"/>
    <n v="0"/>
    <n v="0"/>
    <n v="39"/>
    <s v="Derice Warnsley"/>
    <s v="Collections Group"/>
    <d v="2025-01-06T00:00:00"/>
    <d v="1899-12-30T13:58:10"/>
    <d v="1899-12-30T23:00:04"/>
    <n v="9.0299999999999994"/>
    <n v="9.0299999999999994"/>
    <n v="1.54"/>
    <n v="0.17"/>
    <n v="0"/>
    <n v="0.05"/>
    <n v="4.74"/>
    <n v="1.46"/>
    <n v="1.03"/>
    <n v="0"/>
    <n v="0"/>
    <n v="0.04"/>
    <n v="9.0299999999999994"/>
    <n v="17.09"/>
    <n v="1.94"/>
    <n v="0"/>
    <n v="0.52"/>
    <n v="52.5"/>
    <n v="16.14"/>
    <n v="11.36"/>
    <n v="0"/>
    <n v="0"/>
    <n v="0.45"/>
    <n v="2"/>
    <x v="2"/>
  </r>
  <r>
    <x v="3"/>
    <x v="269"/>
    <x v="13"/>
    <x v="23"/>
    <n v="90"/>
    <n v="7"/>
    <n v="10"/>
    <n v="7"/>
    <n v="0"/>
    <n v="2"/>
    <n v="41"/>
    <s v="Jerrod Coleman"/>
    <s v="Collections Group"/>
    <d v="2025-01-06T00:00:00"/>
    <d v="1899-12-30T14:00:23"/>
    <d v="1899-12-30T22:59:27"/>
    <n v="8.98"/>
    <n v="8.98"/>
    <n v="1.43"/>
    <n v="0.09"/>
    <n v="0"/>
    <n v="0.4"/>
    <n v="5.66"/>
    <n v="1.39"/>
    <n v="0"/>
    <n v="0"/>
    <n v="0"/>
    <n v="0"/>
    <n v="8.98"/>
    <n v="15.97"/>
    <n v="0.98"/>
    <n v="0"/>
    <n v="4.5"/>
    <n v="63.01"/>
    <n v="15.51"/>
    <n v="0"/>
    <n v="0"/>
    <n v="0"/>
    <n v="0.04"/>
    <n v="2"/>
    <x v="2"/>
  </r>
  <r>
    <x v="4"/>
    <x v="269"/>
    <x v="13"/>
    <x v="52"/>
    <n v="47"/>
    <n v="2"/>
    <n v="3"/>
    <n v="4"/>
    <n v="0"/>
    <n v="0"/>
    <n v="25"/>
    <s v="Rosette Rwabugahya"/>
    <s v="Collections Group"/>
    <d v="2025-01-06T00:00:00"/>
    <d v="1899-12-30T13:59:17"/>
    <d v="1899-12-30T23:18:29"/>
    <n v="9.32"/>
    <n v="9.32"/>
    <n v="2.89"/>
    <n v="0.52"/>
    <n v="0"/>
    <n v="0.55000000000000004"/>
    <n v="3.99"/>
    <n v="1.36"/>
    <n v="0"/>
    <n v="0"/>
    <n v="0"/>
    <n v="0.01"/>
    <n v="9.32"/>
    <n v="31.05"/>
    <n v="5.59"/>
    <n v="0"/>
    <n v="5.92"/>
    <n v="42.77"/>
    <n v="14.61"/>
    <n v="0"/>
    <n v="0"/>
    <n v="0"/>
    <n v="0.06"/>
    <n v="2"/>
    <x v="2"/>
  </r>
  <r>
    <x v="5"/>
    <x v="269"/>
    <x v="13"/>
    <x v="108"/>
    <n v="65"/>
    <n v="5"/>
    <n v="2"/>
    <n v="7"/>
    <n v="0"/>
    <n v="0"/>
    <n v="33"/>
    <s v="Sabigh Masood"/>
    <s v="Collections Group"/>
    <d v="2025-01-06T00:00:00"/>
    <d v="1899-12-30T14:00:26"/>
    <d v="1899-12-30T19:01:27"/>
    <n v="5.0199999999999996"/>
    <n v="5.0199999999999996"/>
    <n v="0.5"/>
    <n v="0.28999999999999998"/>
    <n v="0"/>
    <n v="0.63"/>
    <n v="2.97"/>
    <n v="0.25"/>
    <n v="0.09"/>
    <n v="0.27"/>
    <n v="0"/>
    <n v="0"/>
    <n v="5.0199999999999996"/>
    <n v="10.029999999999999"/>
    <n v="5.87"/>
    <n v="0"/>
    <n v="12.6"/>
    <n v="59.26"/>
    <n v="5.0199999999999996"/>
    <n v="1.77"/>
    <n v="5.38"/>
    <n v="0"/>
    <n v="7.0000000000000007E-2"/>
    <n v="2"/>
    <x v="2"/>
  </r>
  <r>
    <x v="6"/>
    <x v="269"/>
    <x v="13"/>
    <x v="334"/>
    <n v="0"/>
    <n v="0"/>
    <n v="0"/>
    <n v="0"/>
    <n v="0"/>
    <n v="0"/>
    <n v="0"/>
    <m/>
    <m/>
    <m/>
    <m/>
    <m/>
    <m/>
    <m/>
    <m/>
    <m/>
    <m/>
    <m/>
    <m/>
    <m/>
    <m/>
    <m/>
    <m/>
    <m/>
    <m/>
    <m/>
    <m/>
    <m/>
    <m/>
    <m/>
    <m/>
    <m/>
    <m/>
    <m/>
    <m/>
    <n v="2"/>
    <x v="2"/>
  </r>
  <r>
    <x v="1"/>
    <x v="270"/>
    <x v="13"/>
    <x v="21"/>
    <n v="76"/>
    <n v="7"/>
    <n v="3"/>
    <n v="12"/>
    <n v="0"/>
    <n v="0"/>
    <n v="32"/>
    <s v="Derice Warnsley"/>
    <s v="Collections Group"/>
    <d v="2025-01-03T00:00:00"/>
    <d v="1899-12-30T13:59:23"/>
    <d v="1899-12-30T23:00:03"/>
    <n v="9.02"/>
    <n v="9.01"/>
    <n v="2.06"/>
    <n v="0.1"/>
    <n v="0"/>
    <n v="0.04"/>
    <n v="4.8099999999999996"/>
    <n v="1.49"/>
    <n v="0.49"/>
    <n v="0"/>
    <n v="0"/>
    <n v="0.02"/>
    <n v="9.01"/>
    <n v="22.93"/>
    <n v="1.07"/>
    <n v="0"/>
    <n v="0.47"/>
    <n v="53.37"/>
    <n v="16.59"/>
    <n v="5.39"/>
    <n v="0"/>
    <n v="0"/>
    <n v="0.19"/>
    <n v="6"/>
    <x v="3"/>
  </r>
  <r>
    <x v="19"/>
    <x v="270"/>
    <x v="13"/>
    <x v="75"/>
    <n v="32"/>
    <n v="2"/>
    <n v="4"/>
    <n v="7"/>
    <n v="0"/>
    <n v="0"/>
    <n v="1"/>
    <s v="Fantina Mullet"/>
    <s v="Collections Group"/>
    <d v="2025-01-03T00:00:00"/>
    <d v="1899-12-30T13:58:06"/>
    <d v="1899-12-30T23:00:08"/>
    <n v="9.0299999999999994"/>
    <n v="9.0299999999999994"/>
    <n v="1.82"/>
    <n v="0.55000000000000004"/>
    <n v="0"/>
    <n v="0.12"/>
    <n v="4.54"/>
    <n v="1.66"/>
    <n v="0.31"/>
    <n v="0"/>
    <n v="0"/>
    <n v="0.03"/>
    <n v="9.0299999999999994"/>
    <n v="20.12"/>
    <n v="6.13"/>
    <n v="0"/>
    <n v="1.37"/>
    <n v="50.31"/>
    <n v="18.34"/>
    <n v="3.4"/>
    <n v="0"/>
    <n v="0"/>
    <n v="0.34"/>
    <n v="6"/>
    <x v="3"/>
  </r>
  <r>
    <x v="4"/>
    <x v="270"/>
    <x v="13"/>
    <x v="89"/>
    <n v="42"/>
    <n v="4"/>
    <n v="2"/>
    <n v="6"/>
    <n v="1"/>
    <n v="0"/>
    <n v="14"/>
    <s v="Rosette Rwabugahya"/>
    <s v="Collections Group"/>
    <d v="2025-01-03T00:00:00"/>
    <d v="1899-12-30T13:58:29"/>
    <d v="1899-12-30T23:01:24"/>
    <n v="9.0500000000000007"/>
    <n v="9.0500000000000007"/>
    <n v="2.66"/>
    <n v="0.52"/>
    <n v="0"/>
    <n v="0.6"/>
    <n v="3.39"/>
    <n v="1.48"/>
    <n v="0.4"/>
    <n v="0"/>
    <n v="0"/>
    <n v="0.01"/>
    <n v="9.0500000000000007"/>
    <n v="29.37"/>
    <n v="5.71"/>
    <n v="0"/>
    <n v="6.65"/>
    <n v="37.42"/>
    <n v="16.39"/>
    <n v="4.41"/>
    <n v="0"/>
    <n v="0"/>
    <n v="0.06"/>
    <n v="6"/>
    <x v="3"/>
  </r>
  <r>
    <x v="5"/>
    <x v="270"/>
    <x v="13"/>
    <x v="64"/>
    <n v="67"/>
    <n v="2"/>
    <n v="7"/>
    <n v="5"/>
    <n v="0"/>
    <n v="0"/>
    <n v="36"/>
    <s v="Sabigh Masood"/>
    <s v="Collections Group"/>
    <d v="2025-01-03T00:00:00"/>
    <d v="1899-12-30T13:58:08"/>
    <d v="1899-12-30T23:07:48"/>
    <n v="9.15"/>
    <n v="9.16"/>
    <n v="2.04"/>
    <n v="0.21"/>
    <n v="0"/>
    <n v="0.57999999999999996"/>
    <n v="3.61"/>
    <n v="1.94"/>
    <n v="0.78"/>
    <n v="0"/>
    <n v="0"/>
    <n v="0"/>
    <n v="9.16"/>
    <n v="22.29"/>
    <n v="2.2799999999999998"/>
    <n v="0"/>
    <n v="6.36"/>
    <n v="39.44"/>
    <n v="21.13"/>
    <n v="8.4600000000000009"/>
    <n v="0"/>
    <n v="0"/>
    <n v="0.04"/>
    <n v="6"/>
    <x v="3"/>
  </r>
  <r>
    <x v="9"/>
    <x v="270"/>
    <x v="13"/>
    <x v="13"/>
    <n v="3"/>
    <n v="0"/>
    <n v="0"/>
    <n v="0"/>
    <n v="0"/>
    <n v="0"/>
    <n v="0"/>
    <m/>
    <m/>
    <m/>
    <m/>
    <m/>
    <m/>
    <m/>
    <m/>
    <m/>
    <m/>
    <m/>
    <m/>
    <m/>
    <m/>
    <m/>
    <m/>
    <m/>
    <m/>
    <m/>
    <m/>
    <m/>
    <m/>
    <m/>
    <m/>
    <m/>
    <m/>
    <m/>
    <m/>
    <n v="6"/>
    <x v="3"/>
  </r>
  <r>
    <x v="6"/>
    <x v="270"/>
    <x v="13"/>
    <x v="302"/>
    <n v="0"/>
    <n v="0"/>
    <n v="0"/>
    <n v="0"/>
    <n v="0"/>
    <n v="0"/>
    <n v="0"/>
    <m/>
    <m/>
    <m/>
    <m/>
    <m/>
    <m/>
    <m/>
    <m/>
    <m/>
    <m/>
    <m/>
    <m/>
    <m/>
    <m/>
    <m/>
    <m/>
    <m/>
    <m/>
    <m/>
    <m/>
    <m/>
    <m/>
    <m/>
    <m/>
    <m/>
    <m/>
    <m/>
    <m/>
    <n v="6"/>
    <x v="3"/>
  </r>
  <r>
    <x v="1"/>
    <x v="271"/>
    <x v="13"/>
    <x v="41"/>
    <n v="142"/>
    <n v="20"/>
    <n v="15"/>
    <n v="25"/>
    <n v="0"/>
    <n v="0"/>
    <n v="55"/>
    <s v="Derice Warnsley"/>
    <s v="Collections Group"/>
    <d v="2025-01-02T00:00:00"/>
    <d v="1899-12-30T13:59:45"/>
    <d v="1899-12-30T23:00:19"/>
    <n v="9.02"/>
    <n v="9"/>
    <n v="3.47"/>
    <n v="0.44"/>
    <n v="0"/>
    <n v="0.09"/>
    <n v="3.49"/>
    <n v="1.49"/>
    <n v="0"/>
    <n v="0"/>
    <n v="0"/>
    <n v="0.02"/>
    <n v="9"/>
    <n v="38.57"/>
    <n v="4.9400000000000004"/>
    <n v="0"/>
    <n v="1.02"/>
    <n v="38.71"/>
    <n v="16.57"/>
    <n v="0"/>
    <n v="0"/>
    <n v="0"/>
    <n v="0.19"/>
    <n v="5"/>
    <x v="4"/>
  </r>
  <r>
    <x v="19"/>
    <x v="271"/>
    <x v="13"/>
    <x v="23"/>
    <n v="56"/>
    <n v="5"/>
    <n v="12"/>
    <n v="16"/>
    <n v="0"/>
    <n v="0"/>
    <n v="10"/>
    <s v="Fantina Mullet"/>
    <s v="Collections Group"/>
    <d v="2025-01-02T00:00:00"/>
    <d v="1899-12-30T13:57:33"/>
    <d v="1899-12-30T23:00:37"/>
    <n v="9.0500000000000007"/>
    <n v="9.06"/>
    <n v="1.77"/>
    <n v="1.1200000000000001"/>
    <n v="0"/>
    <n v="0.06"/>
    <n v="4.26"/>
    <n v="1.5"/>
    <n v="0.3"/>
    <n v="0"/>
    <n v="0"/>
    <n v="0.04"/>
    <n v="9.06"/>
    <n v="19.57"/>
    <n v="12.34"/>
    <n v="0"/>
    <n v="0.66"/>
    <n v="47.02"/>
    <n v="16.62"/>
    <n v="3.37"/>
    <n v="0"/>
    <n v="0"/>
    <n v="0.43"/>
    <n v="5"/>
    <x v="4"/>
  </r>
  <r>
    <x v="4"/>
    <x v="271"/>
    <x v="13"/>
    <x v="99"/>
    <n v="44"/>
    <n v="9"/>
    <n v="6"/>
    <n v="3"/>
    <n v="0"/>
    <n v="3"/>
    <n v="8"/>
    <s v="Rosette Rwabugahya"/>
    <s v="Collections Group"/>
    <d v="2025-01-02T00:00:00"/>
    <d v="1899-12-30T13:57:54"/>
    <d v="1899-12-30T23:08:52"/>
    <n v="9.18"/>
    <n v="9.18"/>
    <n v="3.76"/>
    <n v="1.04"/>
    <n v="0"/>
    <n v="0.74"/>
    <n v="2.13"/>
    <n v="1.5"/>
    <n v="0"/>
    <n v="0"/>
    <n v="0"/>
    <n v="0.01"/>
    <n v="9.18"/>
    <n v="40.98"/>
    <n v="11.37"/>
    <n v="0"/>
    <n v="8.06"/>
    <n v="23.19"/>
    <n v="16.350000000000001"/>
    <n v="0"/>
    <n v="0"/>
    <n v="0"/>
    <n v="0.05"/>
    <n v="5"/>
    <x v="4"/>
  </r>
  <r>
    <x v="5"/>
    <x v="271"/>
    <x v="13"/>
    <x v="18"/>
    <n v="96"/>
    <n v="14"/>
    <n v="14"/>
    <n v="19"/>
    <n v="0"/>
    <n v="0"/>
    <n v="34"/>
    <s v="Sabigh Masood"/>
    <s v="Collections Group"/>
    <d v="2025-01-02T00:00:00"/>
    <d v="1899-12-30T13:58:36"/>
    <d v="1899-12-30T23:01:15"/>
    <n v="9.0500000000000007"/>
    <n v="8.99"/>
    <n v="2.73"/>
    <n v="0.41"/>
    <n v="0"/>
    <n v="0.49"/>
    <n v="3.12"/>
    <n v="1.4"/>
    <n v="0.54"/>
    <n v="0"/>
    <n v="0.28000000000000003"/>
    <n v="0.01"/>
    <n v="8.99"/>
    <n v="30.34"/>
    <n v="4.58"/>
    <n v="0"/>
    <n v="5.46"/>
    <n v="34.75"/>
    <n v="15.62"/>
    <n v="6.02"/>
    <n v="0"/>
    <n v="3.09"/>
    <n v="0.13"/>
    <n v="5"/>
    <x v="4"/>
  </r>
  <r>
    <x v="12"/>
    <x v="271"/>
    <x v="13"/>
    <x v="13"/>
    <n v="2"/>
    <n v="0"/>
    <n v="0"/>
    <n v="1"/>
    <n v="0"/>
    <n v="0"/>
    <n v="0"/>
    <s v="Tiffany Lane-Allen"/>
    <s v="Collections Group"/>
    <d v="2025-01-02T00:00:00"/>
    <d v="1899-12-30T16:44:51"/>
    <d v="1899-12-30T22:46:10"/>
    <n v="6.03"/>
    <n v="0.4"/>
    <n v="0.26"/>
    <n v="0"/>
    <n v="0"/>
    <n v="0.04"/>
    <n v="0"/>
    <n v="0"/>
    <n v="0"/>
    <n v="0"/>
    <n v="0"/>
    <n v="0.09"/>
    <n v="0.4"/>
    <n v="66.13"/>
    <n v="0"/>
    <n v="0"/>
    <n v="10.75"/>
    <n v="0"/>
    <n v="0"/>
    <n v="0"/>
    <n v="0"/>
    <n v="0"/>
    <n v="23.11"/>
    <n v="5"/>
    <x v="4"/>
  </r>
  <r>
    <x v="6"/>
    <x v="271"/>
    <x v="13"/>
    <x v="317"/>
    <n v="0"/>
    <n v="0"/>
    <n v="0"/>
    <n v="0"/>
    <n v="0"/>
    <n v="0"/>
    <n v="0"/>
    <m/>
    <m/>
    <m/>
    <m/>
    <m/>
    <m/>
    <m/>
    <m/>
    <m/>
    <m/>
    <m/>
    <m/>
    <m/>
    <m/>
    <m/>
    <m/>
    <m/>
    <m/>
    <m/>
    <m/>
    <m/>
    <m/>
    <m/>
    <m/>
    <m/>
    <m/>
    <m/>
    <m/>
    <m/>
    <x v="6"/>
  </r>
  <r>
    <x v="6"/>
    <x v="272"/>
    <x v="14"/>
    <x v="335"/>
    <m/>
    <m/>
    <m/>
    <m/>
    <m/>
    <m/>
    <m/>
    <m/>
    <m/>
    <m/>
    <m/>
    <m/>
    <m/>
    <m/>
    <m/>
    <m/>
    <m/>
    <m/>
    <m/>
    <m/>
    <m/>
    <m/>
    <m/>
    <m/>
    <m/>
    <m/>
    <m/>
    <m/>
    <m/>
    <m/>
    <m/>
    <m/>
    <m/>
    <m/>
    <m/>
    <m/>
    <x v="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
  <r>
    <x v="0"/>
    <x v="0"/>
  </r>
  <r>
    <x v="1"/>
    <x v="1"/>
  </r>
  <r>
    <x v="2"/>
    <x v="2"/>
  </r>
  <r>
    <x v="1"/>
    <x v="3"/>
  </r>
  <r>
    <x v="3"/>
    <x v="2"/>
  </r>
  <r>
    <x v="0"/>
    <x v="4"/>
  </r>
  <r>
    <x v="4"/>
    <x v="2"/>
  </r>
  <r>
    <x v="5"/>
    <x v="2"/>
  </r>
  <r>
    <x v="1"/>
    <x v="5"/>
  </r>
  <r>
    <x v="1"/>
    <x v="6"/>
  </r>
  <r>
    <x v="1"/>
    <x v="7"/>
  </r>
  <r>
    <x v="1"/>
    <x v="8"/>
  </r>
  <r>
    <x v="0"/>
    <x v="9"/>
  </r>
  <r>
    <x v="1"/>
    <x v="10"/>
  </r>
  <r>
    <x v="1"/>
    <x v="11"/>
  </r>
  <r>
    <x v="1"/>
    <x v="12"/>
  </r>
  <r>
    <x v="1"/>
    <x v="13"/>
  </r>
  <r>
    <x v="1"/>
    <x v="14"/>
  </r>
  <r>
    <x v="6"/>
    <x v="2"/>
  </r>
  <r>
    <x v="7"/>
    <x v="2"/>
  </r>
  <r>
    <x v="8"/>
    <x v="2"/>
  </r>
  <r>
    <x v="9"/>
    <x v="2"/>
  </r>
  <r>
    <x v="0"/>
    <x v="7"/>
  </r>
  <r>
    <x v="1"/>
    <x v="15"/>
  </r>
  <r>
    <x v="1"/>
    <x v="16"/>
  </r>
  <r>
    <x v="1"/>
    <x v="4"/>
  </r>
  <r>
    <x v="1"/>
    <x v="17"/>
  </r>
  <r>
    <x v="0"/>
    <x v="16"/>
  </r>
  <r>
    <x v="1"/>
    <x v="18"/>
  </r>
  <r>
    <x v="10"/>
    <x v="2"/>
  </r>
  <r>
    <x v="0"/>
    <x v="19"/>
  </r>
  <r>
    <x v="1"/>
    <x v="20"/>
  </r>
  <r>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56A1A5-0D43-3147-A3E9-4413457DB57B}" name="PivotTable7" cacheId="4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5:M278" firstHeaderRow="0" firstDataRow="1" firstDataCol="2" rowPageCount="1" colPageCount="1"/>
  <pivotFields count="42">
    <pivotField compact="0" outline="0" showAll="0" defaultSubtotal="0"/>
    <pivotField axis="axisRow" compact="0" numFmtId="14" outline="0" showAll="0" sortType="descending" defaultSubtotal="0">
      <items count="273">
        <item h="1" x="2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s>
    </pivotField>
    <pivotField compact="0" outline="0" subtotalTop="0" showAll="0" defaultSubtotal="0">
      <items count="15">
        <item x="13"/>
        <item x="12"/>
        <item x="11"/>
        <item x="10"/>
        <item x="9"/>
        <item x="8"/>
        <item x="7"/>
        <item x="6"/>
        <item x="5"/>
        <item x="4"/>
        <item x="3"/>
        <item x="2"/>
        <item x="1"/>
        <item x="0"/>
        <item x="14"/>
      </items>
    </pivotField>
    <pivotField axis="axisPage" dataField="1" compact="0" outline="0" multipleItemSelectionAllowed="1" showAll="0" defaultSubtotal="0">
      <items count="336">
        <item h="1" x="13"/>
        <item h="1" x="3"/>
        <item h="1" x="211"/>
        <item h="1" x="249"/>
        <item h="1" x="224"/>
        <item h="1" x="168"/>
        <item h="1" x="190"/>
        <item h="1" x="221"/>
        <item h="1" x="213"/>
        <item x="112"/>
        <item x="154"/>
        <item x="147"/>
        <item x="114"/>
        <item x="121"/>
        <item x="178"/>
        <item x="24"/>
        <item x="76"/>
        <item x="120"/>
        <item x="74"/>
        <item x="73"/>
        <item x="109"/>
        <item x="104"/>
        <item x="110"/>
        <item x="113"/>
        <item x="108"/>
        <item x="90"/>
        <item x="118"/>
        <item x="116"/>
        <item x="69"/>
        <item x="75"/>
        <item x="52"/>
        <item x="89"/>
        <item x="64"/>
        <item x="18"/>
        <item x="56"/>
        <item x="21"/>
        <item x="51"/>
        <item x="99"/>
        <item x="42"/>
        <item x="39"/>
        <item x="78"/>
        <item x="40"/>
        <item x="53"/>
        <item x="23"/>
        <item x="31"/>
        <item x="68"/>
        <item x="61"/>
        <item x="19"/>
        <item x="38"/>
        <item x="65"/>
        <item x="41"/>
        <item x="0"/>
        <item x="34"/>
        <item x="16"/>
        <item x="6"/>
        <item x="32"/>
        <item x="59"/>
        <item x="27"/>
        <item x="9"/>
        <item x="33"/>
        <item x="66"/>
        <item x="8"/>
        <item x="4"/>
        <item x="37"/>
        <item x="1"/>
        <item x="25"/>
        <item x="2"/>
        <item x="12"/>
        <item x="44"/>
        <item x="7"/>
        <item x="29"/>
        <item x="55"/>
        <item x="22"/>
        <item x="94"/>
        <item x="50"/>
        <item x="28"/>
        <item x="17"/>
        <item x="14"/>
        <item x="49"/>
        <item x="36"/>
        <item x="11"/>
        <item x="45"/>
        <item x="47"/>
        <item x="156"/>
        <item x="128"/>
        <item x="150"/>
        <item x="152"/>
        <item x="175"/>
        <item x="142"/>
        <item x="71"/>
        <item x="163"/>
        <item x="48"/>
        <item x="141"/>
        <item x="63"/>
        <item x="62"/>
        <item x="143"/>
        <item x="129"/>
        <item x="131"/>
        <item x="158"/>
        <item x="126"/>
        <item x="138"/>
        <item x="149"/>
        <item x="137"/>
        <item x="162"/>
        <item x="167"/>
        <item x="170"/>
        <item x="164"/>
        <item x="133"/>
        <item x="183"/>
        <item x="181"/>
        <item x="125"/>
        <item x="172"/>
        <item x="157"/>
        <item x="186"/>
        <item x="182"/>
        <item x="185"/>
        <item x="188"/>
        <item x="171"/>
        <item x="132"/>
        <item x="174"/>
        <item x="140"/>
        <item x="176"/>
        <item x="160"/>
        <item x="282"/>
        <item x="179"/>
        <item x="151"/>
        <item x="130"/>
        <item x="184"/>
        <item x="173"/>
        <item x="169"/>
        <item x="177"/>
        <item x="159"/>
        <item x="161"/>
        <item x="122"/>
        <item x="165"/>
        <item x="153"/>
        <item x="189"/>
        <item x="139"/>
        <item x="115"/>
        <item x="117"/>
        <item x="119"/>
        <item x="187"/>
        <item x="205"/>
        <item x="197"/>
        <item x="206"/>
        <item x="111"/>
        <item x="200"/>
        <item x="144"/>
        <item x="166"/>
        <item x="201"/>
        <item x="202"/>
        <item x="135"/>
        <item x="136"/>
        <item x="207"/>
        <item x="180"/>
        <item x="198"/>
        <item x="123"/>
        <item x="124"/>
        <item x="145"/>
        <item x="203"/>
        <item x="146"/>
        <item x="191"/>
        <item x="210"/>
        <item x="155"/>
        <item x="204"/>
        <item x="194"/>
        <item x="208"/>
        <item x="226"/>
        <item x="195"/>
        <item x="216"/>
        <item x="148"/>
        <item x="199"/>
        <item x="192"/>
        <item x="196"/>
        <item x="258"/>
        <item x="193"/>
        <item x="222"/>
        <item x="217"/>
        <item x="212"/>
        <item x="218"/>
        <item x="223"/>
        <item x="215"/>
        <item x="209"/>
        <item x="227"/>
        <item x="214"/>
        <item x="233"/>
        <item x="219"/>
        <item x="220"/>
        <item x="228"/>
        <item x="230"/>
        <item x="234"/>
        <item x="237"/>
        <item x="134"/>
        <item x="225"/>
        <item x="231"/>
        <item x="235"/>
        <item x="238"/>
        <item x="291"/>
        <item x="236"/>
        <item x="242"/>
        <item x="229"/>
        <item x="239"/>
        <item x="240"/>
        <item x="232"/>
        <item x="253"/>
        <item x="248"/>
        <item x="241"/>
        <item x="250"/>
        <item x="244"/>
        <item x="243"/>
        <item x="261"/>
        <item x="245"/>
        <item x="246"/>
        <item x="254"/>
        <item x="257"/>
        <item x="251"/>
        <item x="247"/>
        <item x="270"/>
        <item x="252"/>
        <item x="256"/>
        <item x="275"/>
        <item x="259"/>
        <item x="260"/>
        <item x="269"/>
        <item x="255"/>
        <item x="271"/>
        <item x="262"/>
        <item x="272"/>
        <item x="263"/>
        <item x="273"/>
        <item x="264"/>
        <item x="267"/>
        <item x="265"/>
        <item x="266"/>
        <item x="276"/>
        <item x="274"/>
        <item x="268"/>
        <item x="279"/>
        <item x="286"/>
        <item x="127"/>
        <item x="277"/>
        <item x="284"/>
        <item x="280"/>
        <item x="285"/>
        <item x="281"/>
        <item x="278"/>
        <item x="287"/>
        <item x="288"/>
        <item x="289"/>
        <item x="295"/>
        <item x="290"/>
        <item x="283"/>
        <item x="334"/>
        <item x="333"/>
        <item x="305"/>
        <item x="292"/>
        <item x="296"/>
        <item x="328"/>
        <item x="297"/>
        <item x="309"/>
        <item x="293"/>
        <item x="319"/>
        <item x="301"/>
        <item x="310"/>
        <item x="306"/>
        <item x="298"/>
        <item x="329"/>
        <item x="299"/>
        <item x="302"/>
        <item x="294"/>
        <item x="311"/>
        <item x="315"/>
        <item x="331"/>
        <item x="332"/>
        <item x="54"/>
        <item x="303"/>
        <item x="307"/>
        <item x="300"/>
        <item x="320"/>
        <item x="330"/>
        <item x="327"/>
        <item x="308"/>
        <item x="312"/>
        <item x="316"/>
        <item x="304"/>
        <item x="317"/>
        <item x="321"/>
        <item x="313"/>
        <item x="314"/>
        <item x="325"/>
        <item x="322"/>
        <item x="72"/>
        <item x="318"/>
        <item x="323"/>
        <item x="324"/>
        <item x="326"/>
        <item x="101"/>
        <item x="82"/>
        <item x="103"/>
        <item x="87"/>
        <item x="96"/>
        <item x="98"/>
        <item x="77"/>
        <item x="105"/>
        <item x="92"/>
        <item x="95"/>
        <item x="91"/>
        <item x="85"/>
        <item x="102"/>
        <item x="93"/>
        <item x="84"/>
        <item x="80"/>
        <item x="88"/>
        <item x="100"/>
        <item x="106"/>
        <item x="83"/>
        <item x="43"/>
        <item x="60"/>
        <item x="97"/>
        <item x="79"/>
        <item x="81"/>
        <item x="107"/>
        <item x="57"/>
        <item x="15"/>
        <item x="86"/>
        <item x="70"/>
        <item x="35"/>
        <item x="20"/>
        <item x="67"/>
        <item x="58"/>
        <item x="30"/>
        <item x="5"/>
        <item x="26"/>
        <item x="46"/>
        <item x="10"/>
        <item x="335"/>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dataField="1" compact="0" outline="0" showAll="0" defaultSubtotal="0"/>
    <pivotField dataField="1" compact="0" outline="0" showAll="0" defaultSubtotal="0"/>
    <pivotField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7">
        <item x="2"/>
        <item x="1"/>
        <item x="0"/>
        <item x="4"/>
        <item x="3"/>
        <item x="5"/>
        <item x="6"/>
      </items>
    </pivotField>
    <pivotField dataField="1" compact="0" outline="0" subtotalTop="0" dragToRow="0" dragToCol="0" dragToPage="0" showAll="0" defaultSubtotal="0"/>
  </pivotFields>
  <rowFields count="2">
    <field x="1"/>
    <field x="40"/>
  </rowFields>
  <rowItems count="273">
    <i>
      <x v="1"/>
      <x v="2"/>
    </i>
    <i>
      <x v="2"/>
      <x v="1"/>
    </i>
    <i>
      <x v="3"/>
      <x/>
    </i>
    <i>
      <x v="4"/>
      <x v="4"/>
    </i>
    <i>
      <x v="5"/>
      <x v="3"/>
    </i>
    <i>
      <x v="6"/>
      <x v="2"/>
    </i>
    <i>
      <x v="7"/>
      <x v="1"/>
    </i>
    <i>
      <x v="8"/>
      <x/>
    </i>
    <i>
      <x v="9"/>
      <x v="4"/>
    </i>
    <i>
      <x v="10"/>
      <x v="3"/>
    </i>
    <i>
      <x v="11"/>
      <x v="2"/>
    </i>
    <i>
      <x v="12"/>
      <x v="1"/>
    </i>
    <i>
      <x v="13"/>
      <x v="4"/>
    </i>
    <i>
      <x v="14"/>
      <x v="3"/>
    </i>
    <i>
      <x v="15"/>
      <x v="2"/>
    </i>
    <i>
      <x v="16"/>
      <x v="1"/>
    </i>
    <i>
      <x v="17"/>
      <x/>
    </i>
    <i>
      <x v="18"/>
      <x v="4"/>
    </i>
    <i>
      <x v="19"/>
      <x v="3"/>
    </i>
    <i>
      <x v="20"/>
      <x v="2"/>
    </i>
    <i>
      <x v="21"/>
      <x v="1"/>
    </i>
    <i>
      <x v="22"/>
      <x/>
    </i>
    <i>
      <x v="23"/>
      <x v="4"/>
    </i>
    <i>
      <x v="24"/>
      <x v="1"/>
    </i>
    <i>
      <x v="25"/>
      <x/>
    </i>
    <i>
      <x v="26"/>
      <x v="1"/>
    </i>
    <i>
      <x v="27"/>
      <x/>
    </i>
    <i>
      <x v="28"/>
      <x v="4"/>
    </i>
    <i>
      <x v="29"/>
      <x v="3"/>
    </i>
    <i>
      <x v="30"/>
      <x v="2"/>
    </i>
    <i>
      <x v="31"/>
      <x v="1"/>
    </i>
    <i>
      <x v="32"/>
      <x/>
    </i>
    <i>
      <x v="33"/>
      <x v="4"/>
    </i>
    <i>
      <x v="34"/>
      <x v="3"/>
    </i>
    <i>
      <x v="35"/>
      <x v="2"/>
    </i>
    <i>
      <x v="36"/>
      <x v="1"/>
    </i>
    <i>
      <x v="37"/>
      <x/>
    </i>
    <i>
      <x v="38"/>
      <x v="4"/>
    </i>
    <i>
      <x v="39"/>
      <x v="3"/>
    </i>
    <i>
      <x v="40"/>
      <x v="2"/>
    </i>
    <i>
      <x v="41"/>
      <x v="1"/>
    </i>
    <i>
      <x v="42"/>
      <x/>
    </i>
    <i>
      <x v="43"/>
      <x v="2"/>
    </i>
    <i>
      <x v="44"/>
      <x v="1"/>
    </i>
    <i>
      <x v="45"/>
      <x/>
    </i>
    <i>
      <x v="46"/>
      <x v="4"/>
    </i>
    <i>
      <x v="47"/>
      <x v="3"/>
    </i>
    <i>
      <x v="48"/>
      <x v="2"/>
    </i>
    <i>
      <x v="49"/>
      <x v="1"/>
    </i>
    <i>
      <x v="50"/>
      <x/>
    </i>
    <i>
      <x v="51"/>
      <x v="4"/>
    </i>
    <i>
      <x v="52"/>
      <x v="3"/>
    </i>
    <i>
      <x v="53"/>
      <x v="2"/>
    </i>
    <i>
      <x v="54"/>
      <x v="1"/>
    </i>
    <i>
      <x v="55"/>
      <x/>
    </i>
    <i>
      <x v="56"/>
      <x v="4"/>
    </i>
    <i>
      <x v="57"/>
      <x v="3"/>
    </i>
    <i>
      <x v="58"/>
      <x v="2"/>
    </i>
    <i>
      <x v="59"/>
      <x v="1"/>
    </i>
    <i>
      <x v="60"/>
      <x/>
    </i>
    <i>
      <x v="61"/>
      <x v="4"/>
    </i>
    <i>
      <x v="62"/>
      <x v="3"/>
    </i>
    <i>
      <x v="63"/>
      <x v="2"/>
    </i>
    <i>
      <x v="64"/>
      <x v="1"/>
    </i>
    <i>
      <x v="65"/>
      <x/>
    </i>
    <i>
      <x v="66"/>
      <x v="4"/>
    </i>
    <i>
      <x v="67"/>
      <x v="3"/>
    </i>
    <i>
      <x v="68"/>
      <x v="2"/>
    </i>
    <i>
      <x v="69"/>
      <x v="1"/>
    </i>
    <i>
      <x v="70"/>
      <x/>
    </i>
    <i>
      <x v="71"/>
      <x v="4"/>
    </i>
    <i>
      <x v="72"/>
      <x v="3"/>
    </i>
    <i>
      <x v="73"/>
      <x v="2"/>
    </i>
    <i>
      <x v="74"/>
      <x v="1"/>
    </i>
    <i>
      <x v="75"/>
      <x/>
    </i>
    <i>
      <x v="76"/>
      <x v="4"/>
    </i>
    <i>
      <x v="77"/>
      <x v="3"/>
    </i>
    <i>
      <x v="78"/>
      <x v="2"/>
    </i>
    <i>
      <x v="79"/>
      <x v="1"/>
    </i>
    <i>
      <x v="80"/>
      <x/>
    </i>
    <i>
      <x v="82"/>
      <x v="4"/>
    </i>
    <i>
      <x v="83"/>
      <x v="3"/>
    </i>
    <i>
      <x v="84"/>
      <x v="2"/>
    </i>
    <i>
      <x v="85"/>
      <x v="1"/>
    </i>
    <i>
      <x v="86"/>
      <x/>
    </i>
    <i>
      <x v="87"/>
      <x v="4"/>
    </i>
    <i>
      <x v="88"/>
      <x v="3"/>
    </i>
    <i>
      <x v="89"/>
      <x v="2"/>
    </i>
    <i>
      <x v="90"/>
      <x v="1"/>
    </i>
    <i>
      <x v="91"/>
      <x/>
    </i>
    <i>
      <x v="92"/>
      <x v="4"/>
    </i>
    <i>
      <x v="93"/>
      <x v="3"/>
    </i>
    <i>
      <x v="94"/>
      <x v="2"/>
    </i>
    <i>
      <x v="95"/>
      <x v="1"/>
    </i>
    <i>
      <x v="96"/>
      <x/>
    </i>
    <i>
      <x v="97"/>
      <x v="4"/>
    </i>
    <i>
      <x v="98"/>
      <x v="3"/>
    </i>
    <i>
      <x v="99"/>
      <x v="2"/>
    </i>
    <i>
      <x v="100"/>
      <x v="1"/>
    </i>
    <i>
      <x v="101"/>
      <x/>
    </i>
    <i>
      <x v="102"/>
      <x v="4"/>
    </i>
    <i>
      <x v="103"/>
      <x v="3"/>
    </i>
    <i>
      <x v="104"/>
      <x v="2"/>
    </i>
    <i>
      <x v="105"/>
      <x v="1"/>
    </i>
    <i>
      <x v="106"/>
      <x v="4"/>
    </i>
    <i>
      <x v="107"/>
      <x v="3"/>
    </i>
    <i>
      <x v="108"/>
      <x v="2"/>
    </i>
    <i>
      <x v="109"/>
      <x v="1"/>
    </i>
    <i>
      <x v="110"/>
      <x/>
    </i>
    <i>
      <x v="111"/>
      <x v="4"/>
    </i>
    <i>
      <x v="112"/>
      <x v="3"/>
    </i>
    <i>
      <x v="113"/>
      <x v="2"/>
    </i>
    <i>
      <x v="114"/>
      <x v="1"/>
    </i>
    <i>
      <x v="115"/>
      <x/>
    </i>
    <i>
      <x v="116"/>
      <x v="4"/>
    </i>
    <i>
      <x v="117"/>
      <x v="3"/>
    </i>
    <i>
      <x v="118"/>
      <x v="2"/>
    </i>
    <i>
      <x v="119"/>
      <x v="1"/>
    </i>
    <i>
      <x v="120"/>
      <x/>
    </i>
    <i>
      <x v="121"/>
      <x v="4"/>
    </i>
    <i>
      <x v="122"/>
      <x v="3"/>
    </i>
    <i>
      <x v="123"/>
      <x v="2"/>
    </i>
    <i>
      <x v="124"/>
      <x v="1"/>
    </i>
    <i>
      <x v="125"/>
      <x/>
    </i>
    <i>
      <x v="126"/>
      <x v="4"/>
    </i>
    <i>
      <x v="127"/>
      <x v="3"/>
    </i>
    <i>
      <x v="128"/>
      <x v="2"/>
    </i>
    <i>
      <x v="129"/>
      <x v="1"/>
    </i>
    <i>
      <x v="130"/>
      <x/>
    </i>
    <i>
      <x v="131"/>
      <x v="4"/>
    </i>
    <i>
      <x v="132"/>
      <x v="3"/>
    </i>
    <i>
      <x v="133"/>
      <x v="2"/>
    </i>
    <i>
      <x v="134"/>
      <x v="1"/>
    </i>
    <i>
      <x v="135"/>
      <x/>
    </i>
    <i>
      <x v="136"/>
      <x v="4"/>
    </i>
    <i>
      <x v="137"/>
      <x v="3"/>
    </i>
    <i>
      <x v="138"/>
      <x v="2"/>
    </i>
    <i>
      <x v="139"/>
      <x v="1"/>
    </i>
    <i>
      <x v="140"/>
      <x/>
    </i>
    <i>
      <x v="141"/>
      <x v="4"/>
    </i>
    <i>
      <x v="142"/>
      <x v="3"/>
    </i>
    <i>
      <x v="143"/>
      <x v="2"/>
    </i>
    <i>
      <x v="144"/>
      <x v="1"/>
    </i>
    <i>
      <x v="145"/>
      <x/>
    </i>
    <i>
      <x v="146"/>
      <x v="3"/>
    </i>
    <i>
      <x v="147"/>
      <x v="2"/>
    </i>
    <i>
      <x v="148"/>
      <x v="1"/>
    </i>
    <i>
      <x v="149"/>
      <x/>
    </i>
    <i>
      <x v="150"/>
      <x v="4"/>
    </i>
    <i>
      <x v="151"/>
      <x v="3"/>
    </i>
    <i>
      <x v="152"/>
      <x v="2"/>
    </i>
    <i>
      <x v="153"/>
      <x v="1"/>
    </i>
    <i>
      <x v="154"/>
      <x/>
    </i>
    <i>
      <x v="155"/>
      <x v="4"/>
    </i>
    <i>
      <x v="156"/>
      <x v="2"/>
    </i>
    <i>
      <x v="157"/>
      <x v="1"/>
    </i>
    <i>
      <x v="158"/>
      <x/>
    </i>
    <i>
      <x v="159"/>
      <x v="4"/>
    </i>
    <i>
      <x v="160"/>
      <x v="3"/>
    </i>
    <i>
      <x v="161"/>
      <x v="2"/>
    </i>
    <i>
      <x v="162"/>
      <x v="1"/>
    </i>
    <i>
      <x v="163"/>
      <x/>
    </i>
    <i>
      <x v="164"/>
      <x v="4"/>
    </i>
    <i>
      <x v="165"/>
      <x v="3"/>
    </i>
    <i>
      <x v="166"/>
      <x v="2"/>
    </i>
    <i>
      <x v="167"/>
      <x v="1"/>
    </i>
    <i>
      <x v="168"/>
      <x/>
    </i>
    <i>
      <x v="169"/>
      <x v="4"/>
    </i>
    <i>
      <x v="170"/>
      <x v="3"/>
    </i>
    <i>
      <x v="171"/>
      <x v="2"/>
    </i>
    <i>
      <x v="172"/>
      <x v="1"/>
    </i>
    <i>
      <x v="173"/>
      <x v="4"/>
    </i>
    <i>
      <x v="174"/>
      <x v="3"/>
    </i>
    <i>
      <x v="175"/>
      <x v="2"/>
    </i>
    <i>
      <x v="176"/>
      <x v="1"/>
    </i>
    <i>
      <x v="177"/>
      <x/>
    </i>
    <i>
      <x v="178"/>
      <x v="4"/>
    </i>
    <i>
      <x v="179"/>
      <x v="3"/>
    </i>
    <i>
      <x v="180"/>
      <x v="2"/>
    </i>
    <i>
      <x v="181"/>
      <x v="1"/>
    </i>
    <i>
      <x v="182"/>
      <x/>
    </i>
    <i>
      <x v="183"/>
      <x v="4"/>
    </i>
    <i>
      <x v="184"/>
      <x v="3"/>
    </i>
    <i>
      <x v="185"/>
      <x v="2"/>
    </i>
    <i>
      <x v="186"/>
      <x v="1"/>
    </i>
    <i>
      <x v="187"/>
      <x/>
    </i>
    <i>
      <x v="188"/>
      <x v="4"/>
    </i>
    <i>
      <x v="189"/>
      <x v="3"/>
    </i>
    <i>
      <x v="190"/>
      <x v="2"/>
    </i>
    <i>
      <x v="191"/>
      <x v="1"/>
    </i>
    <i>
      <x v="192"/>
      <x/>
    </i>
    <i>
      <x v="193"/>
      <x v="4"/>
    </i>
    <i>
      <x v="194"/>
      <x v="3"/>
    </i>
    <i>
      <x v="195"/>
      <x v="2"/>
    </i>
    <i>
      <x v="196"/>
      <x v="1"/>
    </i>
    <i>
      <x v="197"/>
      <x/>
    </i>
    <i>
      <x v="198"/>
      <x v="4"/>
    </i>
    <i>
      <x v="199"/>
      <x v="3"/>
    </i>
    <i>
      <x v="200"/>
      <x v="2"/>
    </i>
    <i>
      <x v="201"/>
      <x v="1"/>
    </i>
    <i>
      <x v="202"/>
      <x/>
    </i>
    <i>
      <x v="203"/>
      <x v="4"/>
    </i>
    <i>
      <x v="204"/>
      <x v="3"/>
    </i>
    <i>
      <x v="205"/>
      <x v="2"/>
    </i>
    <i>
      <x v="206"/>
      <x v="1"/>
    </i>
    <i>
      <x v="207"/>
      <x/>
    </i>
    <i>
      <x v="208"/>
      <x v="4"/>
    </i>
    <i>
      <x v="209"/>
      <x v="3"/>
    </i>
    <i>
      <x v="210"/>
      <x v="2"/>
    </i>
    <i>
      <x v="211"/>
      <x v="1"/>
    </i>
    <i>
      <x v="212"/>
      <x/>
    </i>
    <i>
      <x v="213"/>
      <x v="4"/>
    </i>
    <i>
      <x v="214"/>
      <x v="3"/>
    </i>
    <i>
      <x v="215"/>
      <x v="2"/>
    </i>
    <i>
      <x v="216"/>
      <x v="1"/>
    </i>
    <i>
      <x v="217"/>
      <x/>
    </i>
    <i>
      <x v="218"/>
      <x v="4"/>
    </i>
    <i>
      <x v="219"/>
      <x v="3"/>
    </i>
    <i>
      <x v="220"/>
      <x v="2"/>
    </i>
    <i>
      <x v="221"/>
      <x v="1"/>
    </i>
    <i>
      <x v="222"/>
      <x/>
    </i>
    <i>
      <x v="223"/>
      <x v="4"/>
    </i>
    <i>
      <x v="224"/>
      <x v="3"/>
    </i>
    <i>
      <x v="225"/>
      <x v="2"/>
    </i>
    <i>
      <x v="226"/>
      <x v="1"/>
    </i>
    <i>
      <x v="227"/>
      <x/>
    </i>
    <i>
      <x v="228"/>
      <x v="4"/>
    </i>
    <i>
      <x v="229"/>
      <x v="3"/>
    </i>
    <i>
      <x v="230"/>
      <x v="2"/>
    </i>
    <i>
      <x v="231"/>
      <x v="1"/>
    </i>
    <i>
      <x v="232"/>
      <x/>
    </i>
    <i>
      <x v="233"/>
      <x v="4"/>
    </i>
    <i>
      <x v="234"/>
      <x v="3"/>
    </i>
    <i>
      <x v="235"/>
      <x v="2"/>
    </i>
    <i>
      <x v="236"/>
      <x v="1"/>
    </i>
    <i>
      <x v="237"/>
      <x/>
    </i>
    <i>
      <x v="238"/>
      <x v="4"/>
    </i>
    <i>
      <x v="239"/>
      <x v="3"/>
    </i>
    <i>
      <x v="240"/>
      <x v="2"/>
    </i>
    <i>
      <x v="241"/>
      <x v="1"/>
    </i>
    <i>
      <x v="242"/>
      <x v="4"/>
    </i>
    <i>
      <x v="243"/>
      <x v="3"/>
    </i>
    <i>
      <x v="244"/>
      <x v="2"/>
    </i>
    <i>
      <x v="245"/>
      <x v="1"/>
    </i>
    <i>
      <x v="246"/>
      <x/>
    </i>
    <i>
      <x v="247"/>
      <x v="4"/>
    </i>
    <i>
      <x v="248"/>
      <x v="3"/>
    </i>
    <i>
      <x v="249"/>
      <x v="2"/>
    </i>
    <i>
      <x v="250"/>
      <x v="1"/>
    </i>
    <i>
      <x v="251"/>
      <x/>
    </i>
    <i>
      <x v="252"/>
      <x v="4"/>
    </i>
    <i>
      <x v="253"/>
      <x v="3"/>
    </i>
    <i>
      <x v="254"/>
      <x v="2"/>
    </i>
    <i>
      <x v="255"/>
      <x v="1"/>
    </i>
    <i>
      <x v="256"/>
      <x/>
    </i>
    <i>
      <x v="257"/>
      <x v="4"/>
    </i>
    <i>
      <x v="258"/>
      <x v="3"/>
    </i>
    <i>
      <x v="259"/>
      <x v="2"/>
    </i>
    <i>
      <x v="260"/>
      <x v="1"/>
    </i>
    <i>
      <x v="261"/>
      <x v="4"/>
    </i>
    <i>
      <x v="262"/>
      <x v="3"/>
    </i>
    <i>
      <x v="263"/>
      <x v="2"/>
    </i>
    <i>
      <x v="264"/>
      <x v="1"/>
    </i>
    <i>
      <x v="265"/>
      <x/>
    </i>
    <i>
      <x v="266"/>
      <x v="4"/>
    </i>
    <i>
      <x v="267"/>
      <x v="3"/>
    </i>
    <i>
      <x v="268"/>
      <x v="2"/>
    </i>
    <i>
      <x v="269"/>
      <x v="1"/>
    </i>
    <i>
      <x v="270"/>
      <x/>
    </i>
    <i>
      <x v="271"/>
      <x v="4"/>
    </i>
    <i>
      <x v="272"/>
      <x v="3"/>
    </i>
    <i r="1">
      <x v="6"/>
    </i>
    <i t="grand">
      <x/>
    </i>
  </rowItems>
  <colFields count="1">
    <field x="-2"/>
  </colFields>
  <colItems count="9">
    <i>
      <x/>
    </i>
    <i i="1">
      <x v="1"/>
    </i>
    <i i="2">
      <x v="2"/>
    </i>
    <i i="3">
      <x v="3"/>
    </i>
    <i i="4">
      <x v="4"/>
    </i>
    <i i="5">
      <x v="5"/>
    </i>
    <i i="6">
      <x v="6"/>
    </i>
    <i i="7">
      <x v="7"/>
    </i>
    <i i="8">
      <x v="8"/>
    </i>
  </colItems>
  <pageFields count="1">
    <pageField fld="3" hier="-1"/>
  </pageFields>
  <dataFields count="9">
    <dataField name="Sum of UNIQUE_ACCNTS" fld="3" baseField="0" baseItem="0"/>
    <dataField name="Sum of Total Contacted" fld="41" baseField="0" baseItem="0"/>
    <dataField name="Average of TOTAL_TRACKED_HOURS" fld="17" subtotal="average" baseField="0" baseItem="0"/>
    <dataField name="Average of CALL_TIME_HOURS" fld="18" subtotal="average" baseField="0" baseItem="0"/>
    <dataField name="Average of EMAIL_TIME_HOURS" fld="19" subtotal="average" baseField="0" baseItem="0"/>
    <dataField name="Average of WRAP_TIME_HOURS" fld="21" subtotal="average" baseField="0" baseItem="0"/>
    <dataField name="Average of MEETING_TRAINING_HOURS" fld="24" subtotal="average" baseField="0" baseItem="0"/>
    <dataField name="Average of BREAK_LUNCH_HOURS" fld="23" subtotal="average" baseField="0" baseItem="0"/>
    <dataField name="Average of IDLE_TIME_HOURS" fld="22" subtotal="average" baseField="0" baseItem="0"/>
  </dataFields>
  <formats count="4">
    <format dxfId="3">
      <pivotArea outline="0" fieldPosition="0">
        <references count="3">
          <reference field="4294967294" count="6" selected="0">
            <x v="3"/>
            <x v="4"/>
            <x v="5"/>
            <x v="6"/>
            <x v="7"/>
            <x v="8"/>
          </reference>
          <reference field="1" count="270" selected="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reference>
          <reference field="40" count="5" selected="0">
            <x v="0"/>
            <x v="1"/>
            <x v="2"/>
            <x v="3"/>
            <x v="4"/>
          </reference>
        </references>
      </pivotArea>
    </format>
    <format dxfId="2">
      <pivotArea outline="0" fieldPosition="0">
        <references count="3">
          <reference field="4294967294" count="6" selected="0">
            <x v="3"/>
            <x v="4"/>
            <x v="5"/>
            <x v="6"/>
            <x v="7"/>
            <x v="8"/>
          </reference>
          <reference field="1" count="1" selected="0">
            <x v="272"/>
          </reference>
          <reference field="40" count="1" selected="0">
            <x v="3"/>
          </reference>
        </references>
      </pivotArea>
    </format>
    <format dxfId="1">
      <pivotArea outline="0" fieldPosition="0">
        <references count="3">
          <reference field="4294967294" count="1" selected="0">
            <x v="2"/>
          </reference>
          <reference field="1" count="270" selected="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reference>
          <reference field="40" count="5" selected="0">
            <x v="0"/>
            <x v="1"/>
            <x v="2"/>
            <x v="3"/>
            <x v="4"/>
          </reference>
        </references>
      </pivotArea>
    </format>
    <format dxfId="0">
      <pivotArea outline="0" fieldPosition="0">
        <references count="3">
          <reference field="4294967294" count="1" selected="0">
            <x v="2"/>
          </reference>
          <reference field="1" count="1" selected="0">
            <x v="272"/>
          </reference>
          <reference field="40"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D65846-25CC-FF42-99EF-63FE6FEC4B4D}" name="PivotTable8" cacheId="4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P5:Y20" firstHeaderRow="0" firstDataRow="1" firstDataCol="1" rowPageCount="1" colPageCount="1"/>
  <pivotFields count="42">
    <pivotField compact="0" outline="0" showAll="0" defaultSubtotal="0">
      <items count="20">
        <item x="16"/>
        <item x="0"/>
        <item x="15"/>
        <item x="1"/>
        <item x="19"/>
        <item x="2"/>
        <item x="18"/>
        <item x="3"/>
        <item x="11"/>
        <item x="8"/>
        <item x="17"/>
        <item x="14"/>
        <item x="13"/>
        <item x="7"/>
        <item x="4"/>
        <item x="5"/>
        <item x="10"/>
        <item x="12"/>
        <item x="9"/>
        <item x="6"/>
      </items>
    </pivotField>
    <pivotField compact="0" numFmtId="14" outline="0" showAll="0" sortType="descending" defaultSubtotal="0">
      <items count="273">
        <item h="1" x="2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s>
    </pivotField>
    <pivotField axis="axisRow" compact="0" outline="0" subtotalTop="0" showAll="0" sortType="descending" defaultSubtotal="0">
      <items count="15">
        <item h="1" x="14"/>
        <item x="0"/>
        <item x="1"/>
        <item x="2"/>
        <item x="3"/>
        <item x="4"/>
        <item x="5"/>
        <item x="6"/>
        <item x="7"/>
        <item x="8"/>
        <item x="9"/>
        <item x="10"/>
        <item x="11"/>
        <item x="12"/>
        <item x="13"/>
      </items>
    </pivotField>
    <pivotField axis="axisPage" dataField="1" compact="0" outline="0" multipleItemSelectionAllowed="1" showAll="0" defaultSubtotal="0">
      <items count="336">
        <item h="1" x="13"/>
        <item h="1" x="3"/>
        <item h="1" x="211"/>
        <item h="1" x="249"/>
        <item h="1" x="224"/>
        <item h="1" x="168"/>
        <item h="1" x="190"/>
        <item h="1" x="221"/>
        <item h="1" x="213"/>
        <item x="112"/>
        <item x="154"/>
        <item x="147"/>
        <item x="114"/>
        <item x="121"/>
        <item x="178"/>
        <item x="24"/>
        <item x="76"/>
        <item x="120"/>
        <item x="74"/>
        <item x="73"/>
        <item x="109"/>
        <item x="104"/>
        <item x="110"/>
        <item x="113"/>
        <item x="108"/>
        <item x="90"/>
        <item x="118"/>
        <item x="116"/>
        <item x="69"/>
        <item x="75"/>
        <item x="52"/>
        <item x="89"/>
        <item x="64"/>
        <item x="18"/>
        <item x="56"/>
        <item x="21"/>
        <item x="51"/>
        <item x="99"/>
        <item x="42"/>
        <item x="39"/>
        <item x="78"/>
        <item x="40"/>
        <item x="53"/>
        <item x="23"/>
        <item x="31"/>
        <item x="68"/>
        <item x="61"/>
        <item x="19"/>
        <item x="38"/>
        <item x="65"/>
        <item x="41"/>
        <item x="0"/>
        <item x="34"/>
        <item x="16"/>
        <item x="6"/>
        <item x="32"/>
        <item x="59"/>
        <item x="27"/>
        <item x="9"/>
        <item x="33"/>
        <item x="66"/>
        <item x="8"/>
        <item x="4"/>
        <item x="37"/>
        <item x="1"/>
        <item x="25"/>
        <item x="2"/>
        <item x="12"/>
        <item x="44"/>
        <item x="7"/>
        <item x="29"/>
        <item x="55"/>
        <item x="22"/>
        <item x="94"/>
        <item x="50"/>
        <item x="28"/>
        <item x="17"/>
        <item x="14"/>
        <item x="49"/>
        <item x="36"/>
        <item x="11"/>
        <item x="45"/>
        <item x="47"/>
        <item x="156"/>
        <item x="128"/>
        <item x="150"/>
        <item x="152"/>
        <item x="175"/>
        <item x="142"/>
        <item x="71"/>
        <item x="163"/>
        <item x="48"/>
        <item x="141"/>
        <item x="63"/>
        <item x="62"/>
        <item x="143"/>
        <item x="129"/>
        <item x="131"/>
        <item x="158"/>
        <item x="126"/>
        <item x="138"/>
        <item x="149"/>
        <item x="137"/>
        <item x="162"/>
        <item x="167"/>
        <item x="170"/>
        <item x="164"/>
        <item x="133"/>
        <item x="183"/>
        <item x="181"/>
        <item x="125"/>
        <item x="172"/>
        <item x="157"/>
        <item x="186"/>
        <item x="182"/>
        <item x="185"/>
        <item x="188"/>
        <item x="171"/>
        <item x="132"/>
        <item x="174"/>
        <item x="140"/>
        <item x="176"/>
        <item x="160"/>
        <item x="282"/>
        <item x="179"/>
        <item x="151"/>
        <item x="130"/>
        <item x="184"/>
        <item x="173"/>
        <item x="169"/>
        <item x="177"/>
        <item x="159"/>
        <item x="161"/>
        <item x="122"/>
        <item x="165"/>
        <item x="153"/>
        <item x="189"/>
        <item x="139"/>
        <item x="115"/>
        <item x="117"/>
        <item x="119"/>
        <item x="187"/>
        <item x="205"/>
        <item x="197"/>
        <item x="206"/>
        <item x="111"/>
        <item x="200"/>
        <item x="144"/>
        <item x="166"/>
        <item x="201"/>
        <item x="202"/>
        <item x="135"/>
        <item x="136"/>
        <item x="207"/>
        <item x="180"/>
        <item x="198"/>
        <item x="123"/>
        <item x="124"/>
        <item x="145"/>
        <item x="203"/>
        <item x="146"/>
        <item x="191"/>
        <item x="210"/>
        <item x="155"/>
        <item x="204"/>
        <item x="194"/>
        <item x="208"/>
        <item x="226"/>
        <item x="195"/>
        <item x="216"/>
        <item x="148"/>
        <item x="199"/>
        <item x="192"/>
        <item x="196"/>
        <item x="258"/>
        <item x="193"/>
        <item x="222"/>
        <item x="217"/>
        <item x="212"/>
        <item x="218"/>
        <item x="223"/>
        <item x="215"/>
        <item x="209"/>
        <item x="227"/>
        <item x="214"/>
        <item x="233"/>
        <item x="219"/>
        <item x="220"/>
        <item x="228"/>
        <item x="230"/>
        <item x="234"/>
        <item x="237"/>
        <item x="134"/>
        <item x="225"/>
        <item x="231"/>
        <item x="235"/>
        <item x="238"/>
        <item x="291"/>
        <item x="236"/>
        <item x="242"/>
        <item x="229"/>
        <item x="239"/>
        <item x="240"/>
        <item x="232"/>
        <item x="253"/>
        <item x="248"/>
        <item x="241"/>
        <item x="250"/>
        <item x="244"/>
        <item x="243"/>
        <item x="261"/>
        <item x="245"/>
        <item x="246"/>
        <item x="254"/>
        <item x="257"/>
        <item x="251"/>
        <item x="247"/>
        <item x="270"/>
        <item x="252"/>
        <item x="256"/>
        <item x="275"/>
        <item x="259"/>
        <item x="260"/>
        <item x="269"/>
        <item x="255"/>
        <item x="271"/>
        <item x="262"/>
        <item x="272"/>
        <item x="263"/>
        <item x="273"/>
        <item x="264"/>
        <item x="267"/>
        <item x="265"/>
        <item x="266"/>
        <item x="276"/>
        <item x="274"/>
        <item x="268"/>
        <item x="279"/>
        <item x="286"/>
        <item x="127"/>
        <item x="277"/>
        <item x="284"/>
        <item x="280"/>
        <item x="285"/>
        <item x="281"/>
        <item x="278"/>
        <item x="287"/>
        <item x="288"/>
        <item x="289"/>
        <item x="295"/>
        <item x="290"/>
        <item x="283"/>
        <item x="334"/>
        <item x="333"/>
        <item x="305"/>
        <item x="292"/>
        <item x="296"/>
        <item x="328"/>
        <item x="297"/>
        <item x="309"/>
        <item x="293"/>
        <item x="319"/>
        <item x="301"/>
        <item x="310"/>
        <item x="306"/>
        <item x="298"/>
        <item x="329"/>
        <item x="299"/>
        <item x="302"/>
        <item x="294"/>
        <item x="311"/>
        <item x="315"/>
        <item x="331"/>
        <item x="332"/>
        <item x="54"/>
        <item x="303"/>
        <item x="307"/>
        <item x="300"/>
        <item x="320"/>
        <item x="330"/>
        <item x="327"/>
        <item x="308"/>
        <item x="312"/>
        <item x="316"/>
        <item x="304"/>
        <item x="317"/>
        <item x="321"/>
        <item x="313"/>
        <item x="314"/>
        <item x="325"/>
        <item x="322"/>
        <item x="72"/>
        <item x="318"/>
        <item x="323"/>
        <item x="324"/>
        <item x="326"/>
        <item x="101"/>
        <item x="82"/>
        <item x="103"/>
        <item x="87"/>
        <item x="96"/>
        <item x="98"/>
        <item x="77"/>
        <item x="105"/>
        <item x="92"/>
        <item x="95"/>
        <item x="91"/>
        <item x="85"/>
        <item x="102"/>
        <item x="93"/>
        <item x="84"/>
        <item x="80"/>
        <item x="88"/>
        <item x="100"/>
        <item x="106"/>
        <item x="83"/>
        <item x="43"/>
        <item x="60"/>
        <item x="97"/>
        <item x="79"/>
        <item x="81"/>
        <item x="107"/>
        <item x="57"/>
        <item x="15"/>
        <item x="86"/>
        <item x="70"/>
        <item x="35"/>
        <item x="20"/>
        <item x="67"/>
        <item x="58"/>
        <item x="30"/>
        <item x="5"/>
        <item x="26"/>
        <item x="46"/>
        <item x="10"/>
        <item x="335"/>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dataField="1" compact="0" outline="0" showAll="0" defaultSubtotal="0"/>
    <pivotField dataField="1" compact="0" outline="0" showAll="0" defaultSubtotal="0"/>
    <pivotField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7">
        <item x="2"/>
        <item x="1"/>
        <item x="0"/>
        <item x="4"/>
        <item x="3"/>
        <item x="5"/>
        <item x="6"/>
      </items>
    </pivotField>
    <pivotField dataField="1" compact="0" outline="0" subtotalTop="0" dragToRow="0" dragToCol="0" dragToPage="0" showAll="0" defaultSubtotal="0"/>
  </pivotFields>
  <rowFields count="1">
    <field x="2"/>
  </rowFields>
  <rowItems count="15">
    <i>
      <x v="1"/>
    </i>
    <i>
      <x v="2"/>
    </i>
    <i>
      <x v="3"/>
    </i>
    <i>
      <x v="4"/>
    </i>
    <i>
      <x v="5"/>
    </i>
    <i>
      <x v="6"/>
    </i>
    <i>
      <x v="7"/>
    </i>
    <i>
      <x v="8"/>
    </i>
    <i>
      <x v="9"/>
    </i>
    <i>
      <x v="10"/>
    </i>
    <i>
      <x v="11"/>
    </i>
    <i>
      <x v="12"/>
    </i>
    <i>
      <x v="13"/>
    </i>
    <i>
      <x v="14"/>
    </i>
    <i t="grand">
      <x/>
    </i>
  </rowItems>
  <colFields count="1">
    <field x="-2"/>
  </colFields>
  <colItems count="9">
    <i>
      <x/>
    </i>
    <i i="1">
      <x v="1"/>
    </i>
    <i i="2">
      <x v="2"/>
    </i>
    <i i="3">
      <x v="3"/>
    </i>
    <i i="4">
      <x v="4"/>
    </i>
    <i i="5">
      <x v="5"/>
    </i>
    <i i="6">
      <x v="6"/>
    </i>
    <i i="7">
      <x v="7"/>
    </i>
    <i i="8">
      <x v="8"/>
    </i>
  </colItems>
  <pageFields count="1">
    <pageField fld="3" hier="-1"/>
  </pageFields>
  <dataFields count="9">
    <dataField name="Sum of UNIQUE_ACCNTS" fld="3" baseField="0" baseItem="0"/>
    <dataField name="Sum of Total Contacted" fld="41" baseField="0" baseItem="0"/>
    <dataField name="Average of TOTAL_TRACKED_HOURS" fld="17" subtotal="average" baseField="0" baseItem="0" numFmtId="43"/>
    <dataField name="Average of CALL_TIME_HOURS" fld="18" subtotal="average" baseField="0" baseItem="0" numFmtId="43"/>
    <dataField name="Average of EMAIL_TIME_HOURS" fld="19" subtotal="average" baseField="0" baseItem="0" numFmtId="43"/>
    <dataField name="Average of WRAP_TIME_HOURS" fld="21" subtotal="average" baseField="0" baseItem="0" numFmtId="43"/>
    <dataField name="Average of MEETING_TRAINING_HOURS" fld="24" subtotal="average" baseField="0" baseItem="0" numFmtId="43"/>
    <dataField name="Average of BREAK_LUNCH_HOURS" fld="23" subtotal="average" baseField="0" baseItem="0" numFmtId="43"/>
    <dataField name="Average of IDLE_TIME_HOURS" fld="22" subtotal="average" baseField="0" baseItem="0" numFmtId="43"/>
  </dataFields>
  <formats count="2">
    <format dxfId="5">
      <pivotArea outline="0" fieldPosition="0">
        <references count="1">
          <reference field="4294967294" count="6" selected="0">
            <x v="3"/>
            <x v="4"/>
            <x v="5"/>
            <x v="6"/>
            <x v="7"/>
            <x v="8"/>
          </reference>
        </references>
      </pivotArea>
    </format>
    <format dxfId="4">
      <pivotArea outline="0"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79183A-0A75-6C45-A350-2A6CB3325F75}" name="PivotTable11" cacheId="4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E4:F38" firstHeaderRow="1" firstDataRow="1" firstDataCol="2"/>
  <pivotFields count="2">
    <pivotField axis="axisRow" compact="0" outline="0" showAll="0" defaultSubtotal="0">
      <items count="11">
        <item x="7"/>
        <item x="8"/>
        <item x="4"/>
        <item x="0"/>
        <item x="1"/>
        <item x="6"/>
        <item x="3"/>
        <item x="9"/>
        <item x="5"/>
        <item x="2"/>
        <item x="10"/>
      </items>
    </pivotField>
    <pivotField axis="axisRow" compact="0" outline="0" showAll="0" defaultSubtotal="0">
      <items count="21">
        <item x="8"/>
        <item x="3"/>
        <item x="18"/>
        <item x="19"/>
        <item x="12"/>
        <item x="4"/>
        <item x="9"/>
        <item x="20"/>
        <item x="0"/>
        <item x="10"/>
        <item x="16"/>
        <item x="1"/>
        <item x="6"/>
        <item x="14"/>
        <item x="7"/>
        <item x="15"/>
        <item x="17"/>
        <item x="11"/>
        <item x="5"/>
        <item x="13"/>
        <item x="2"/>
      </items>
    </pivotField>
  </pivotFields>
  <rowFields count="2">
    <field x="0"/>
    <field x="1"/>
  </rowFields>
  <rowItems count="34">
    <i>
      <x/>
      <x v="20"/>
    </i>
    <i>
      <x v="1"/>
      <x v="20"/>
    </i>
    <i>
      <x v="2"/>
      <x v="20"/>
    </i>
    <i>
      <x v="3"/>
      <x v="3"/>
    </i>
    <i r="1">
      <x v="5"/>
    </i>
    <i r="1">
      <x v="6"/>
    </i>
    <i r="1">
      <x v="8"/>
    </i>
    <i r="1">
      <x v="10"/>
    </i>
    <i r="1">
      <x v="14"/>
    </i>
    <i r="1">
      <x v="20"/>
    </i>
    <i>
      <x v="4"/>
      <x/>
    </i>
    <i r="1">
      <x v="1"/>
    </i>
    <i r="1">
      <x v="2"/>
    </i>
    <i r="1">
      <x v="4"/>
    </i>
    <i r="1">
      <x v="5"/>
    </i>
    <i r="1">
      <x v="7"/>
    </i>
    <i r="1">
      <x v="9"/>
    </i>
    <i r="1">
      <x v="10"/>
    </i>
    <i r="1">
      <x v="11"/>
    </i>
    <i r="1">
      <x v="12"/>
    </i>
    <i r="1">
      <x v="13"/>
    </i>
    <i r="1">
      <x v="14"/>
    </i>
    <i r="1">
      <x v="15"/>
    </i>
    <i r="1">
      <x v="16"/>
    </i>
    <i r="1">
      <x v="17"/>
    </i>
    <i r="1">
      <x v="18"/>
    </i>
    <i r="1">
      <x v="19"/>
    </i>
    <i>
      <x v="5"/>
      <x v="20"/>
    </i>
    <i>
      <x v="6"/>
      <x v="20"/>
    </i>
    <i>
      <x v="7"/>
      <x v="20"/>
    </i>
    <i>
      <x v="8"/>
      <x v="20"/>
    </i>
    <i>
      <x v="9"/>
      <x v="20"/>
    </i>
    <i>
      <x v="10"/>
      <x v="20"/>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NT_NAME" xr10:uid="{4B9524BF-7094-BE4C-9B76-C263C162FE55}" sourceName="AGENT_NAME">
  <pivotTables>
    <pivotTable tabId="2" name="PivotTable8"/>
  </pivotTables>
  <data>
    <tabular pivotCacheId="1651827648">
      <items count="20">
        <i x="16" s="1"/>
        <i x="0" s="1"/>
        <i x="15" s="1"/>
        <i x="1" s="1"/>
        <i x="19" s="1"/>
        <i x="2" s="1"/>
        <i x="3" s="1"/>
        <i x="4" s="1"/>
        <i x="5" s="1"/>
        <i x="6" s="1"/>
        <i x="18" s="1" nd="1"/>
        <i x="11" s="1" nd="1"/>
        <i x="8" s="1" nd="1"/>
        <i x="17" s="1" nd="1"/>
        <i x="14" s="1" nd="1"/>
        <i x="13" s="1" nd="1"/>
        <i x="7" s="1" nd="1"/>
        <i x="10" s="1" nd="1"/>
        <i x="12" s="1" nd="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NT_NAME" xr10:uid="{1F080559-939D-B745-BADD-548E59336A33}" cache="Slicer_AGENT_NAME" caption="AGENT_NAME" startItem="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1619E-847C-224C-8A25-FA3BD72CEB4F}">
  <dimension ref="C6:C308"/>
  <sheetViews>
    <sheetView showGridLines="0" topLeftCell="A274" workbookViewId="0">
      <selection activeCell="C102" sqref="C102"/>
    </sheetView>
  </sheetViews>
  <sheetFormatPr baseColWidth="10" defaultRowHeight="16" x14ac:dyDescent="0.2"/>
  <cols>
    <col min="1" max="2" width="2.83203125" customWidth="1"/>
  </cols>
  <sheetData>
    <row r="6" spans="3:3" x14ac:dyDescent="0.2">
      <c r="C6" t="s">
        <v>123</v>
      </c>
    </row>
    <row r="7" spans="3:3" x14ac:dyDescent="0.2">
      <c r="C7" t="s">
        <v>124</v>
      </c>
    </row>
    <row r="8" spans="3:3" x14ac:dyDescent="0.2">
      <c r="C8" t="s">
        <v>125</v>
      </c>
    </row>
    <row r="9" spans="3:3" x14ac:dyDescent="0.2">
      <c r="C9" t="s">
        <v>126</v>
      </c>
    </row>
    <row r="10" spans="3:3" x14ac:dyDescent="0.2">
      <c r="C10" t="s">
        <v>127</v>
      </c>
    </row>
    <row r="11" spans="3:3" x14ac:dyDescent="0.2">
      <c r="C11" t="s">
        <v>128</v>
      </c>
    </row>
    <row r="12" spans="3:3" x14ac:dyDescent="0.2">
      <c r="C12" t="s">
        <v>129</v>
      </c>
    </row>
    <row r="13" spans="3:3" x14ac:dyDescent="0.2">
      <c r="C13" t="s">
        <v>130</v>
      </c>
    </row>
    <row r="14" spans="3:3" x14ac:dyDescent="0.2">
      <c r="C14" t="s">
        <v>131</v>
      </c>
    </row>
    <row r="15" spans="3:3" x14ac:dyDescent="0.2">
      <c r="C15" t="s">
        <v>132</v>
      </c>
    </row>
    <row r="16" spans="3:3" x14ac:dyDescent="0.2">
      <c r="C16" t="s">
        <v>133</v>
      </c>
    </row>
    <row r="17" spans="3:3" x14ac:dyDescent="0.2">
      <c r="C17" t="s">
        <v>134</v>
      </c>
    </row>
    <row r="18" spans="3:3" x14ac:dyDescent="0.2">
      <c r="C18" t="s">
        <v>135</v>
      </c>
    </row>
    <row r="19" spans="3:3" x14ac:dyDescent="0.2">
      <c r="C19" t="s">
        <v>136</v>
      </c>
    </row>
    <row r="20" spans="3:3" x14ac:dyDescent="0.2">
      <c r="C20" t="s">
        <v>137</v>
      </c>
    </row>
    <row r="21" spans="3:3" x14ac:dyDescent="0.2">
      <c r="C21" t="s">
        <v>138</v>
      </c>
    </row>
    <row r="22" spans="3:3" x14ac:dyDescent="0.2">
      <c r="C22" t="s">
        <v>139</v>
      </c>
    </row>
    <row r="23" spans="3:3" x14ac:dyDescent="0.2">
      <c r="C23" t="s">
        <v>140</v>
      </c>
    </row>
    <row r="24" spans="3:3" x14ac:dyDescent="0.2">
      <c r="C24" t="s">
        <v>141</v>
      </c>
    </row>
    <row r="25" spans="3:3" x14ac:dyDescent="0.2">
      <c r="C25" t="s">
        <v>142</v>
      </c>
    </row>
    <row r="26" spans="3:3" x14ac:dyDescent="0.2">
      <c r="C26" t="s">
        <v>143</v>
      </c>
    </row>
    <row r="27" spans="3:3" x14ac:dyDescent="0.2">
      <c r="C27" t="s">
        <v>144</v>
      </c>
    </row>
    <row r="29" spans="3:3" x14ac:dyDescent="0.2">
      <c r="C29" t="s">
        <v>145</v>
      </c>
    </row>
    <row r="32" spans="3:3" x14ac:dyDescent="0.2">
      <c r="C32" t="s">
        <v>146</v>
      </c>
    </row>
    <row r="33" spans="3:3" x14ac:dyDescent="0.2">
      <c r="C33" t="s">
        <v>147</v>
      </c>
    </row>
    <row r="34" spans="3:3" x14ac:dyDescent="0.2">
      <c r="C34" t="s">
        <v>148</v>
      </c>
    </row>
    <row r="35" spans="3:3" x14ac:dyDescent="0.2">
      <c r="C35" t="s">
        <v>149</v>
      </c>
    </row>
    <row r="36" spans="3:3" x14ac:dyDescent="0.2">
      <c r="C36" t="s">
        <v>125</v>
      </c>
    </row>
    <row r="37" spans="3:3" x14ac:dyDescent="0.2">
      <c r="C37" t="s">
        <v>150</v>
      </c>
    </row>
    <row r="38" spans="3:3" x14ac:dyDescent="0.2">
      <c r="C38" t="s">
        <v>151</v>
      </c>
    </row>
    <row r="39" spans="3:3" x14ac:dyDescent="0.2">
      <c r="C39" t="s">
        <v>152</v>
      </c>
    </row>
    <row r="40" spans="3:3" x14ac:dyDescent="0.2">
      <c r="C40" t="s">
        <v>153</v>
      </c>
    </row>
    <row r="41" spans="3:3" x14ac:dyDescent="0.2">
      <c r="C41" t="s">
        <v>154</v>
      </c>
    </row>
    <row r="42" spans="3:3" x14ac:dyDescent="0.2">
      <c r="C42" t="s">
        <v>155</v>
      </c>
    </row>
    <row r="43" spans="3:3" x14ac:dyDescent="0.2">
      <c r="C43" t="s">
        <v>156</v>
      </c>
    </row>
    <row r="44" spans="3:3" x14ac:dyDescent="0.2">
      <c r="C44" t="s">
        <v>157</v>
      </c>
    </row>
    <row r="45" spans="3:3" x14ac:dyDescent="0.2">
      <c r="C45" t="s">
        <v>158</v>
      </c>
    </row>
    <row r="46" spans="3:3" x14ac:dyDescent="0.2">
      <c r="C46" t="s">
        <v>159</v>
      </c>
    </row>
    <row r="47" spans="3:3" x14ac:dyDescent="0.2">
      <c r="C47" t="s">
        <v>160</v>
      </c>
    </row>
    <row r="48" spans="3:3" x14ac:dyDescent="0.2">
      <c r="C48" t="s">
        <v>144</v>
      </c>
    </row>
    <row r="49" spans="3:3" x14ac:dyDescent="0.2">
      <c r="C49" t="s">
        <v>161</v>
      </c>
    </row>
    <row r="50" spans="3:3" x14ac:dyDescent="0.2">
      <c r="C50" t="s">
        <v>162</v>
      </c>
    </row>
    <row r="51" spans="3:3" x14ac:dyDescent="0.2">
      <c r="C51" t="s">
        <v>163</v>
      </c>
    </row>
    <row r="52" spans="3:3" x14ac:dyDescent="0.2">
      <c r="C52" t="s">
        <v>164</v>
      </c>
    </row>
    <row r="53" spans="3:3" x14ac:dyDescent="0.2">
      <c r="C53" t="s">
        <v>165</v>
      </c>
    </row>
    <row r="54" spans="3:3" x14ac:dyDescent="0.2">
      <c r="C54" t="s">
        <v>125</v>
      </c>
    </row>
    <row r="55" spans="3:3" x14ac:dyDescent="0.2">
      <c r="C55" t="s">
        <v>166</v>
      </c>
    </row>
    <row r="56" spans="3:3" x14ac:dyDescent="0.2">
      <c r="C56" t="s">
        <v>167</v>
      </c>
    </row>
    <row r="57" spans="3:3" x14ac:dyDescent="0.2">
      <c r="C57" t="s">
        <v>168</v>
      </c>
    </row>
    <row r="58" spans="3:3" x14ac:dyDescent="0.2">
      <c r="C58" t="s">
        <v>169</v>
      </c>
    </row>
    <row r="59" spans="3:3" x14ac:dyDescent="0.2">
      <c r="C59" t="s">
        <v>170</v>
      </c>
    </row>
    <row r="60" spans="3:3" x14ac:dyDescent="0.2">
      <c r="C60" t="s">
        <v>171</v>
      </c>
    </row>
    <row r="61" spans="3:3" x14ac:dyDescent="0.2">
      <c r="C61" t="s">
        <v>144</v>
      </c>
    </row>
    <row r="62" spans="3:3" x14ac:dyDescent="0.2">
      <c r="C62" t="s">
        <v>147</v>
      </c>
    </row>
    <row r="63" spans="3:3" x14ac:dyDescent="0.2">
      <c r="C63" t="s">
        <v>172</v>
      </c>
    </row>
    <row r="64" spans="3:3" x14ac:dyDescent="0.2">
      <c r="C64" t="s">
        <v>125</v>
      </c>
    </row>
    <row r="65" spans="3:3" x14ac:dyDescent="0.2">
      <c r="C65" t="s">
        <v>173</v>
      </c>
    </row>
    <row r="66" spans="3:3" x14ac:dyDescent="0.2">
      <c r="C66" t="s">
        <v>174</v>
      </c>
    </row>
    <row r="67" spans="3:3" x14ac:dyDescent="0.2">
      <c r="C67" t="s">
        <v>175</v>
      </c>
    </row>
    <row r="68" spans="3:3" x14ac:dyDescent="0.2">
      <c r="C68" t="s">
        <v>176</v>
      </c>
    </row>
    <row r="69" spans="3:3" x14ac:dyDescent="0.2">
      <c r="C69" t="s">
        <v>177</v>
      </c>
    </row>
    <row r="70" spans="3:3" x14ac:dyDescent="0.2">
      <c r="C70" t="s">
        <v>178</v>
      </c>
    </row>
    <row r="71" spans="3:3" x14ac:dyDescent="0.2">
      <c r="C71" t="s">
        <v>179</v>
      </c>
    </row>
    <row r="72" spans="3:3" x14ac:dyDescent="0.2">
      <c r="C72" t="s">
        <v>180</v>
      </c>
    </row>
    <row r="73" spans="3:3" x14ac:dyDescent="0.2">
      <c r="C73" t="s">
        <v>181</v>
      </c>
    </row>
    <row r="74" spans="3:3" x14ac:dyDescent="0.2">
      <c r="C74" t="s">
        <v>182</v>
      </c>
    </row>
    <row r="75" spans="3:3" x14ac:dyDescent="0.2">
      <c r="C75" t="s">
        <v>154</v>
      </c>
    </row>
    <row r="76" spans="3:3" x14ac:dyDescent="0.2">
      <c r="C76" t="s">
        <v>183</v>
      </c>
    </row>
    <row r="77" spans="3:3" x14ac:dyDescent="0.2">
      <c r="C77" t="s">
        <v>184</v>
      </c>
    </row>
    <row r="78" spans="3:3" x14ac:dyDescent="0.2">
      <c r="C78" t="s">
        <v>144</v>
      </c>
    </row>
    <row r="79" spans="3:3" x14ac:dyDescent="0.2">
      <c r="C79" t="s">
        <v>185</v>
      </c>
    </row>
    <row r="80" spans="3:3" x14ac:dyDescent="0.2">
      <c r="C80" t="s">
        <v>186</v>
      </c>
    </row>
    <row r="82" spans="3:3" x14ac:dyDescent="0.2">
      <c r="C82" t="s">
        <v>187</v>
      </c>
    </row>
    <row r="83" spans="3:3" x14ac:dyDescent="0.2">
      <c r="C83" t="s">
        <v>125</v>
      </c>
    </row>
    <row r="84" spans="3:3" x14ac:dyDescent="0.2">
      <c r="C84" t="s">
        <v>188</v>
      </c>
    </row>
    <row r="85" spans="3:3" x14ac:dyDescent="0.2">
      <c r="C85" t="s">
        <v>189</v>
      </c>
    </row>
    <row r="86" spans="3:3" x14ac:dyDescent="0.2">
      <c r="C86" t="s">
        <v>190</v>
      </c>
    </row>
    <row r="87" spans="3:3" x14ac:dyDescent="0.2">
      <c r="C87" t="s">
        <v>191</v>
      </c>
    </row>
    <row r="88" spans="3:3" x14ac:dyDescent="0.2">
      <c r="C88" t="s">
        <v>192</v>
      </c>
    </row>
    <row r="89" spans="3:3" x14ac:dyDescent="0.2">
      <c r="C89" t="s">
        <v>193</v>
      </c>
    </row>
    <row r="90" spans="3:3" x14ac:dyDescent="0.2">
      <c r="C90" t="s">
        <v>194</v>
      </c>
    </row>
    <row r="91" spans="3:3" x14ac:dyDescent="0.2">
      <c r="C91" t="s">
        <v>195</v>
      </c>
    </row>
    <row r="92" spans="3:3" x14ac:dyDescent="0.2">
      <c r="C92" t="s">
        <v>196</v>
      </c>
    </row>
    <row r="93" spans="3:3" x14ac:dyDescent="0.2">
      <c r="C93" t="s">
        <v>197</v>
      </c>
    </row>
    <row r="94" spans="3:3" x14ac:dyDescent="0.2">
      <c r="C94" t="s">
        <v>198</v>
      </c>
    </row>
    <row r="95" spans="3:3" x14ac:dyDescent="0.2">
      <c r="C95" t="s">
        <v>199</v>
      </c>
    </row>
    <row r="96" spans="3:3" x14ac:dyDescent="0.2">
      <c r="C96" t="s">
        <v>200</v>
      </c>
    </row>
    <row r="97" spans="3:3" x14ac:dyDescent="0.2">
      <c r="C97" t="s">
        <v>201</v>
      </c>
    </row>
    <row r="98" spans="3:3" x14ac:dyDescent="0.2">
      <c r="C98" t="s">
        <v>144</v>
      </c>
    </row>
    <row r="99" spans="3:3" x14ac:dyDescent="0.2">
      <c r="C99" t="s">
        <v>202</v>
      </c>
    </row>
    <row r="100" spans="3:3" x14ac:dyDescent="0.2">
      <c r="C100" t="s">
        <v>203</v>
      </c>
    </row>
    <row r="103" spans="3:3" x14ac:dyDescent="0.2">
      <c r="C103" t="s">
        <v>204</v>
      </c>
    </row>
    <row r="104" spans="3:3" x14ac:dyDescent="0.2">
      <c r="C104" t="s">
        <v>205</v>
      </c>
    </row>
    <row r="105" spans="3:3" x14ac:dyDescent="0.2">
      <c r="C105" t="s">
        <v>206</v>
      </c>
    </row>
    <row r="106" spans="3:3" x14ac:dyDescent="0.2">
      <c r="C106" t="s">
        <v>207</v>
      </c>
    </row>
    <row r="107" spans="3:3" x14ac:dyDescent="0.2">
      <c r="C107" t="s">
        <v>208</v>
      </c>
    </row>
    <row r="108" spans="3:3" x14ac:dyDescent="0.2">
      <c r="C108" t="s">
        <v>209</v>
      </c>
    </row>
    <row r="109" spans="3:3" x14ac:dyDescent="0.2">
      <c r="C109" t="s">
        <v>210</v>
      </c>
    </row>
    <row r="110" spans="3:3" x14ac:dyDescent="0.2">
      <c r="C110" t="s">
        <v>211</v>
      </c>
    </row>
    <row r="111" spans="3:3" x14ac:dyDescent="0.2">
      <c r="C111" t="s">
        <v>212</v>
      </c>
    </row>
    <row r="112" spans="3:3" x14ac:dyDescent="0.2">
      <c r="C112" t="s">
        <v>213</v>
      </c>
    </row>
    <row r="113" spans="3:3" x14ac:dyDescent="0.2">
      <c r="C113" t="s">
        <v>214</v>
      </c>
    </row>
    <row r="114" spans="3:3" x14ac:dyDescent="0.2">
      <c r="C114" t="s">
        <v>215</v>
      </c>
    </row>
    <row r="115" spans="3:3" x14ac:dyDescent="0.2">
      <c r="C115" t="s">
        <v>216</v>
      </c>
    </row>
    <row r="116" spans="3:3" x14ac:dyDescent="0.2">
      <c r="C116" t="s">
        <v>217</v>
      </c>
    </row>
    <row r="117" spans="3:3" x14ac:dyDescent="0.2">
      <c r="C117" t="s">
        <v>218</v>
      </c>
    </row>
    <row r="118" spans="3:3" x14ac:dyDescent="0.2">
      <c r="C118" t="s">
        <v>219</v>
      </c>
    </row>
    <row r="119" spans="3:3" x14ac:dyDescent="0.2">
      <c r="C119" t="s">
        <v>214</v>
      </c>
    </row>
    <row r="120" spans="3:3" x14ac:dyDescent="0.2">
      <c r="C120" t="s">
        <v>220</v>
      </c>
    </row>
    <row r="121" spans="3:3" x14ac:dyDescent="0.2">
      <c r="C121" t="s">
        <v>221</v>
      </c>
    </row>
    <row r="122" spans="3:3" x14ac:dyDescent="0.2">
      <c r="C122" t="s">
        <v>222</v>
      </c>
    </row>
    <row r="123" spans="3:3" x14ac:dyDescent="0.2">
      <c r="C123" t="s">
        <v>223</v>
      </c>
    </row>
    <row r="124" spans="3:3" x14ac:dyDescent="0.2">
      <c r="C124" t="s">
        <v>224</v>
      </c>
    </row>
    <row r="125" spans="3:3" x14ac:dyDescent="0.2">
      <c r="C125" t="s">
        <v>225</v>
      </c>
    </row>
    <row r="126" spans="3:3" x14ac:dyDescent="0.2">
      <c r="C126" t="s">
        <v>226</v>
      </c>
    </row>
    <row r="127" spans="3:3" x14ac:dyDescent="0.2">
      <c r="C127" t="s">
        <v>227</v>
      </c>
    </row>
    <row r="128" spans="3:3" x14ac:dyDescent="0.2">
      <c r="C128" t="s">
        <v>228</v>
      </c>
    </row>
    <row r="129" spans="3:3" x14ac:dyDescent="0.2">
      <c r="C129" t="s">
        <v>229</v>
      </c>
    </row>
    <row r="130" spans="3:3" x14ac:dyDescent="0.2">
      <c r="C130" t="s">
        <v>214</v>
      </c>
    </row>
    <row r="131" spans="3:3" x14ac:dyDescent="0.2">
      <c r="C131" t="s">
        <v>230</v>
      </c>
    </row>
    <row r="132" spans="3:3" x14ac:dyDescent="0.2">
      <c r="C132" t="s">
        <v>231</v>
      </c>
    </row>
    <row r="133" spans="3:3" x14ac:dyDescent="0.2">
      <c r="C133" t="s">
        <v>232</v>
      </c>
    </row>
    <row r="134" spans="3:3" x14ac:dyDescent="0.2">
      <c r="C134" t="s">
        <v>233</v>
      </c>
    </row>
    <row r="135" spans="3:3" x14ac:dyDescent="0.2">
      <c r="C135" t="s">
        <v>234</v>
      </c>
    </row>
    <row r="136" spans="3:3" x14ac:dyDescent="0.2">
      <c r="C136" t="s">
        <v>235</v>
      </c>
    </row>
    <row r="137" spans="3:3" x14ac:dyDescent="0.2">
      <c r="C137" t="s">
        <v>125</v>
      </c>
    </row>
    <row r="138" spans="3:3" x14ac:dyDescent="0.2">
      <c r="C138" t="s">
        <v>236</v>
      </c>
    </row>
    <row r="139" spans="3:3" x14ac:dyDescent="0.2">
      <c r="C139" t="s">
        <v>237</v>
      </c>
    </row>
    <row r="140" spans="3:3" x14ac:dyDescent="0.2">
      <c r="C140" t="s">
        <v>238</v>
      </c>
    </row>
    <row r="141" spans="3:3" x14ac:dyDescent="0.2">
      <c r="C141" t="s">
        <v>239</v>
      </c>
    </row>
    <row r="142" spans="3:3" x14ac:dyDescent="0.2">
      <c r="C142" t="s">
        <v>240</v>
      </c>
    </row>
    <row r="143" spans="3:3" x14ac:dyDescent="0.2">
      <c r="C143" t="s">
        <v>241</v>
      </c>
    </row>
    <row r="144" spans="3:3" x14ac:dyDescent="0.2">
      <c r="C144" t="s">
        <v>242</v>
      </c>
    </row>
    <row r="145" spans="3:3" x14ac:dyDescent="0.2">
      <c r="C145" t="s">
        <v>243</v>
      </c>
    </row>
    <row r="146" spans="3:3" x14ac:dyDescent="0.2">
      <c r="C146" t="s">
        <v>244</v>
      </c>
    </row>
    <row r="147" spans="3:3" x14ac:dyDescent="0.2">
      <c r="C147" t="s">
        <v>245</v>
      </c>
    </row>
    <row r="148" spans="3:3" x14ac:dyDescent="0.2">
      <c r="C148" t="s">
        <v>246</v>
      </c>
    </row>
    <row r="149" spans="3:3" x14ac:dyDescent="0.2">
      <c r="C149" t="s">
        <v>247</v>
      </c>
    </row>
    <row r="150" spans="3:3" x14ac:dyDescent="0.2">
      <c r="C150" t="s">
        <v>248</v>
      </c>
    </row>
    <row r="151" spans="3:3" x14ac:dyDescent="0.2">
      <c r="C151" t="s">
        <v>249</v>
      </c>
    </row>
    <row r="152" spans="3:3" x14ac:dyDescent="0.2">
      <c r="C152" t="e">
        <f>-- order by call_date desc, EVENT_TIME desc</f>
        <v>#NAME?</v>
      </c>
    </row>
    <row r="153" spans="3:3" x14ac:dyDescent="0.2">
      <c r="C153" t="s">
        <v>144</v>
      </c>
    </row>
    <row r="154" spans="3:3" x14ac:dyDescent="0.2">
      <c r="C154" t="e" cm="1">
        <f t="array" ref="C154">-- Select * from agent_data</f>
        <v>#NAME?</v>
      </c>
    </row>
    <row r="155" spans="3:3" x14ac:dyDescent="0.2">
      <c r="C155" t="s">
        <v>250</v>
      </c>
    </row>
    <row r="156" spans="3:3" x14ac:dyDescent="0.2">
      <c r="C156" t="s">
        <v>251</v>
      </c>
    </row>
    <row r="158" spans="3:3" x14ac:dyDescent="0.2">
      <c r="C158" t="s">
        <v>147</v>
      </c>
    </row>
    <row r="159" spans="3:3" x14ac:dyDescent="0.2">
      <c r="C159" t="s">
        <v>252</v>
      </c>
    </row>
    <row r="160" spans="3:3" x14ac:dyDescent="0.2">
      <c r="C160" t="s">
        <v>253</v>
      </c>
    </row>
    <row r="161" spans="3:3" x14ac:dyDescent="0.2">
      <c r="C161" t="s">
        <v>205</v>
      </c>
    </row>
    <row r="162" spans="3:3" x14ac:dyDescent="0.2">
      <c r="C162" t="s">
        <v>254</v>
      </c>
    </row>
    <row r="163" spans="3:3" x14ac:dyDescent="0.2">
      <c r="C163" t="s">
        <v>255</v>
      </c>
    </row>
    <row r="164" spans="3:3" x14ac:dyDescent="0.2">
      <c r="C164" t="s">
        <v>256</v>
      </c>
    </row>
    <row r="165" spans="3:3" x14ac:dyDescent="0.2">
      <c r="C165" t="s">
        <v>257</v>
      </c>
    </row>
    <row r="166" spans="3:3" x14ac:dyDescent="0.2">
      <c r="C166" t="s">
        <v>258</v>
      </c>
    </row>
    <row r="167" spans="3:3" x14ac:dyDescent="0.2">
      <c r="C167" t="s">
        <v>259</v>
      </c>
    </row>
    <row r="168" spans="3:3" x14ac:dyDescent="0.2">
      <c r="C168" t="s">
        <v>260</v>
      </c>
    </row>
    <row r="169" spans="3:3" x14ac:dyDescent="0.2">
      <c r="C169" t="s">
        <v>261</v>
      </c>
    </row>
    <row r="170" spans="3:3" x14ac:dyDescent="0.2">
      <c r="C170" t="s">
        <v>262</v>
      </c>
    </row>
    <row r="171" spans="3:3" x14ac:dyDescent="0.2">
      <c r="C171" t="s">
        <v>263</v>
      </c>
    </row>
    <row r="172" spans="3:3" x14ac:dyDescent="0.2">
      <c r="C172" t="s">
        <v>264</v>
      </c>
    </row>
    <row r="173" spans="3:3" x14ac:dyDescent="0.2">
      <c r="C173" t="s">
        <v>265</v>
      </c>
    </row>
    <row r="174" spans="3:3" x14ac:dyDescent="0.2">
      <c r="C174" t="s">
        <v>266</v>
      </c>
    </row>
    <row r="175" spans="3:3" x14ac:dyDescent="0.2">
      <c r="C175" t="s">
        <v>234</v>
      </c>
    </row>
    <row r="177" spans="3:3" x14ac:dyDescent="0.2">
      <c r="C177" t="s">
        <v>267</v>
      </c>
    </row>
    <row r="178" spans="3:3" x14ac:dyDescent="0.2">
      <c r="C178" t="s">
        <v>268</v>
      </c>
    </row>
    <row r="179" spans="3:3" x14ac:dyDescent="0.2">
      <c r="C179" t="s">
        <v>205</v>
      </c>
    </row>
    <row r="180" spans="3:3" x14ac:dyDescent="0.2">
      <c r="C180" t="s">
        <v>254</v>
      </c>
    </row>
    <row r="181" spans="3:3" x14ac:dyDescent="0.2">
      <c r="C181" t="s">
        <v>255</v>
      </c>
    </row>
    <row r="182" spans="3:3" x14ac:dyDescent="0.2">
      <c r="C182" t="s">
        <v>256</v>
      </c>
    </row>
    <row r="183" spans="3:3" x14ac:dyDescent="0.2">
      <c r="C183" t="s">
        <v>214</v>
      </c>
    </row>
    <row r="184" spans="3:3" x14ac:dyDescent="0.2">
      <c r="C184" t="s">
        <v>269</v>
      </c>
    </row>
    <row r="185" spans="3:3" x14ac:dyDescent="0.2">
      <c r="C185" t="s">
        <v>270</v>
      </c>
    </row>
    <row r="186" spans="3:3" x14ac:dyDescent="0.2">
      <c r="C186" t="s">
        <v>271</v>
      </c>
    </row>
    <row r="187" spans="3:3" x14ac:dyDescent="0.2">
      <c r="C187" t="s">
        <v>272</v>
      </c>
    </row>
    <row r="188" spans="3:3" x14ac:dyDescent="0.2">
      <c r="C188" t="s">
        <v>273</v>
      </c>
    </row>
    <row r="189" spans="3:3" x14ac:dyDescent="0.2">
      <c r="C189" t="s">
        <v>274</v>
      </c>
    </row>
    <row r="190" spans="3:3" x14ac:dyDescent="0.2">
      <c r="C190" t="s">
        <v>214</v>
      </c>
    </row>
    <row r="191" spans="3:3" x14ac:dyDescent="0.2">
      <c r="C191" t="s">
        <v>275</v>
      </c>
    </row>
    <row r="192" spans="3:3" x14ac:dyDescent="0.2">
      <c r="C192" t="s">
        <v>270</v>
      </c>
    </row>
    <row r="193" spans="3:3" x14ac:dyDescent="0.2">
      <c r="C193" t="s">
        <v>276</v>
      </c>
    </row>
    <row r="194" spans="3:3" x14ac:dyDescent="0.2">
      <c r="C194" t="s">
        <v>273</v>
      </c>
    </row>
    <row r="195" spans="3:3" x14ac:dyDescent="0.2">
      <c r="C195" t="s">
        <v>277</v>
      </c>
    </row>
    <row r="196" spans="3:3" x14ac:dyDescent="0.2">
      <c r="C196" t="s">
        <v>214</v>
      </c>
    </row>
    <row r="197" spans="3:3" x14ac:dyDescent="0.2">
      <c r="C197" t="s">
        <v>278</v>
      </c>
    </row>
    <row r="198" spans="3:3" x14ac:dyDescent="0.2">
      <c r="C198" t="s">
        <v>270</v>
      </c>
    </row>
    <row r="199" spans="3:3" x14ac:dyDescent="0.2">
      <c r="C199" t="s">
        <v>279</v>
      </c>
    </row>
    <row r="200" spans="3:3" x14ac:dyDescent="0.2">
      <c r="C200" t="s">
        <v>273</v>
      </c>
    </row>
    <row r="201" spans="3:3" x14ac:dyDescent="0.2">
      <c r="C201" t="s">
        <v>280</v>
      </c>
    </row>
    <row r="202" spans="3:3" x14ac:dyDescent="0.2">
      <c r="C202" t="s">
        <v>214</v>
      </c>
    </row>
    <row r="203" spans="3:3" x14ac:dyDescent="0.2">
      <c r="C203" t="s">
        <v>281</v>
      </c>
    </row>
    <row r="204" spans="3:3" x14ac:dyDescent="0.2">
      <c r="C204" t="s">
        <v>270</v>
      </c>
    </row>
    <row r="205" spans="3:3" x14ac:dyDescent="0.2">
      <c r="C205" t="s">
        <v>282</v>
      </c>
    </row>
    <row r="206" spans="3:3" x14ac:dyDescent="0.2">
      <c r="C206" t="s">
        <v>283</v>
      </c>
    </row>
    <row r="207" spans="3:3" x14ac:dyDescent="0.2">
      <c r="C207" t="s">
        <v>273</v>
      </c>
    </row>
    <row r="208" spans="3:3" x14ac:dyDescent="0.2">
      <c r="C208" t="s">
        <v>284</v>
      </c>
    </row>
    <row r="209" spans="3:3" x14ac:dyDescent="0.2">
      <c r="C209" t="s">
        <v>214</v>
      </c>
    </row>
    <row r="210" spans="3:3" x14ac:dyDescent="0.2">
      <c r="C210" t="s">
        <v>285</v>
      </c>
    </row>
    <row r="211" spans="3:3" x14ac:dyDescent="0.2">
      <c r="C211" t="s">
        <v>270</v>
      </c>
    </row>
    <row r="212" spans="3:3" x14ac:dyDescent="0.2">
      <c r="C212" t="s">
        <v>286</v>
      </c>
    </row>
    <row r="213" spans="3:3" x14ac:dyDescent="0.2">
      <c r="C213" t="s">
        <v>273</v>
      </c>
    </row>
    <row r="214" spans="3:3" x14ac:dyDescent="0.2">
      <c r="C214" t="s">
        <v>287</v>
      </c>
    </row>
    <row r="215" spans="3:3" x14ac:dyDescent="0.2">
      <c r="C215" t="s">
        <v>214</v>
      </c>
    </row>
    <row r="216" spans="3:3" x14ac:dyDescent="0.2">
      <c r="C216" t="s">
        <v>288</v>
      </c>
    </row>
    <row r="217" spans="3:3" x14ac:dyDescent="0.2">
      <c r="C217" t="s">
        <v>270</v>
      </c>
    </row>
    <row r="218" spans="3:3" x14ac:dyDescent="0.2">
      <c r="C218" t="s">
        <v>289</v>
      </c>
    </row>
    <row r="219" spans="3:3" x14ac:dyDescent="0.2">
      <c r="C219" t="s">
        <v>273</v>
      </c>
    </row>
    <row r="220" spans="3:3" x14ac:dyDescent="0.2">
      <c r="C220" t="s">
        <v>290</v>
      </c>
    </row>
    <row r="221" spans="3:3" x14ac:dyDescent="0.2">
      <c r="C221" t="s">
        <v>214</v>
      </c>
    </row>
    <row r="222" spans="3:3" x14ac:dyDescent="0.2">
      <c r="C222" t="s">
        <v>291</v>
      </c>
    </row>
    <row r="223" spans="3:3" x14ac:dyDescent="0.2">
      <c r="C223" t="s">
        <v>270</v>
      </c>
    </row>
    <row r="224" spans="3:3" x14ac:dyDescent="0.2">
      <c r="C224" t="s">
        <v>292</v>
      </c>
    </row>
    <row r="225" spans="3:3" x14ac:dyDescent="0.2">
      <c r="C225" t="s">
        <v>273</v>
      </c>
    </row>
    <row r="226" spans="3:3" x14ac:dyDescent="0.2">
      <c r="C226" t="s">
        <v>293</v>
      </c>
    </row>
    <row r="227" spans="3:3" x14ac:dyDescent="0.2">
      <c r="C227" t="s">
        <v>214</v>
      </c>
    </row>
    <row r="228" spans="3:3" x14ac:dyDescent="0.2">
      <c r="C228" t="s">
        <v>294</v>
      </c>
    </row>
    <row r="229" spans="3:3" x14ac:dyDescent="0.2">
      <c r="C229" t="s">
        <v>270</v>
      </c>
    </row>
    <row r="230" spans="3:3" x14ac:dyDescent="0.2">
      <c r="C230" t="s">
        <v>295</v>
      </c>
    </row>
    <row r="231" spans="3:3" x14ac:dyDescent="0.2">
      <c r="C231" t="s">
        <v>273</v>
      </c>
    </row>
    <row r="232" spans="3:3" x14ac:dyDescent="0.2">
      <c r="C232" t="s">
        <v>296</v>
      </c>
    </row>
    <row r="233" spans="3:3" x14ac:dyDescent="0.2">
      <c r="C233" t="s">
        <v>214</v>
      </c>
    </row>
    <row r="234" spans="3:3" x14ac:dyDescent="0.2">
      <c r="C234" t="s">
        <v>297</v>
      </c>
    </row>
    <row r="235" spans="3:3" x14ac:dyDescent="0.2">
      <c r="C235" t="s">
        <v>270</v>
      </c>
    </row>
    <row r="236" spans="3:3" x14ac:dyDescent="0.2">
      <c r="C236" t="s">
        <v>298</v>
      </c>
    </row>
    <row r="237" spans="3:3" x14ac:dyDescent="0.2">
      <c r="C237" t="s">
        <v>273</v>
      </c>
    </row>
    <row r="238" spans="3:3" x14ac:dyDescent="0.2">
      <c r="C238" t="s">
        <v>299</v>
      </c>
    </row>
    <row r="239" spans="3:3" x14ac:dyDescent="0.2">
      <c r="C239" t="s">
        <v>214</v>
      </c>
    </row>
    <row r="240" spans="3:3" x14ac:dyDescent="0.2">
      <c r="C240" t="s">
        <v>300</v>
      </c>
    </row>
    <row r="241" spans="3:3" x14ac:dyDescent="0.2">
      <c r="C241" t="s">
        <v>301</v>
      </c>
    </row>
    <row r="242" spans="3:3" x14ac:dyDescent="0.2">
      <c r="C242" t="s">
        <v>302</v>
      </c>
    </row>
    <row r="243" spans="3:3" x14ac:dyDescent="0.2">
      <c r="C243" t="s">
        <v>273</v>
      </c>
    </row>
    <row r="244" spans="3:3" x14ac:dyDescent="0.2">
      <c r="C244" t="s">
        <v>303</v>
      </c>
    </row>
    <row r="245" spans="3:3" x14ac:dyDescent="0.2">
      <c r="C245" t="s">
        <v>214</v>
      </c>
    </row>
    <row r="246" spans="3:3" x14ac:dyDescent="0.2">
      <c r="C246" t="s">
        <v>304</v>
      </c>
    </row>
    <row r="247" spans="3:3" x14ac:dyDescent="0.2">
      <c r="C247" t="s">
        <v>270</v>
      </c>
    </row>
    <row r="248" spans="3:3" x14ac:dyDescent="0.2">
      <c r="C248" t="s">
        <v>305</v>
      </c>
    </row>
    <row r="249" spans="3:3" x14ac:dyDescent="0.2">
      <c r="C249" t="s">
        <v>273</v>
      </c>
    </row>
    <row r="250" spans="3:3" x14ac:dyDescent="0.2">
      <c r="C250" t="s">
        <v>306</v>
      </c>
    </row>
    <row r="251" spans="3:3" x14ac:dyDescent="0.2">
      <c r="C251" t="s">
        <v>214</v>
      </c>
    </row>
    <row r="252" spans="3:3" x14ac:dyDescent="0.2">
      <c r="C252" t="s">
        <v>265</v>
      </c>
    </row>
    <row r="253" spans="3:3" x14ac:dyDescent="0.2">
      <c r="C253" t="s">
        <v>266</v>
      </c>
    </row>
    <row r="254" spans="3:3" x14ac:dyDescent="0.2">
      <c r="C254" t="s">
        <v>144</v>
      </c>
    </row>
    <row r="255" spans="3:3" x14ac:dyDescent="0.2">
      <c r="C255" t="s">
        <v>307</v>
      </c>
    </row>
    <row r="256" spans="3:3" x14ac:dyDescent="0.2">
      <c r="C256" t="s">
        <v>308</v>
      </c>
    </row>
    <row r="257" spans="3:3" x14ac:dyDescent="0.2">
      <c r="C257" t="s">
        <v>309</v>
      </c>
    </row>
    <row r="258" spans="3:3" x14ac:dyDescent="0.2">
      <c r="C258" t="s">
        <v>310</v>
      </c>
    </row>
    <row r="259" spans="3:3" x14ac:dyDescent="0.2">
      <c r="C259" t="s">
        <v>311</v>
      </c>
    </row>
    <row r="260" spans="3:3" x14ac:dyDescent="0.2">
      <c r="C260" t="s">
        <v>312</v>
      </c>
    </row>
    <row r="261" spans="3:3" x14ac:dyDescent="0.2">
      <c r="C261" t="s">
        <v>313</v>
      </c>
    </row>
    <row r="262" spans="3:3" x14ac:dyDescent="0.2">
      <c r="C262" t="s">
        <v>314</v>
      </c>
    </row>
    <row r="263" spans="3:3" x14ac:dyDescent="0.2">
      <c r="C263" t="s">
        <v>315</v>
      </c>
    </row>
    <row r="264" spans="3:3" x14ac:dyDescent="0.2">
      <c r="C264" t="s">
        <v>316</v>
      </c>
    </row>
    <row r="265" spans="3:3" x14ac:dyDescent="0.2">
      <c r="C265" t="s">
        <v>317</v>
      </c>
    </row>
    <row r="266" spans="3:3" x14ac:dyDescent="0.2">
      <c r="C266" t="s">
        <v>312</v>
      </c>
    </row>
    <row r="267" spans="3:3" x14ac:dyDescent="0.2">
      <c r="C267" t="s">
        <v>318</v>
      </c>
    </row>
    <row r="268" spans="3:3" x14ac:dyDescent="0.2">
      <c r="C268" t="s">
        <v>319</v>
      </c>
    </row>
    <row r="269" spans="3:3" x14ac:dyDescent="0.2">
      <c r="C269" t="s">
        <v>320</v>
      </c>
    </row>
    <row r="270" spans="3:3" x14ac:dyDescent="0.2">
      <c r="C270" t="s">
        <v>321</v>
      </c>
    </row>
    <row r="271" spans="3:3" x14ac:dyDescent="0.2">
      <c r="C271" t="s">
        <v>322</v>
      </c>
    </row>
    <row r="272" spans="3:3" x14ac:dyDescent="0.2">
      <c r="C272" t="s">
        <v>323</v>
      </c>
    </row>
    <row r="273" spans="3:3" x14ac:dyDescent="0.2">
      <c r="C273" t="s">
        <v>324</v>
      </c>
    </row>
    <row r="274" spans="3:3" x14ac:dyDescent="0.2">
      <c r="C274" t="s">
        <v>325</v>
      </c>
    </row>
    <row r="275" spans="3:3" x14ac:dyDescent="0.2">
      <c r="C275" t="s">
        <v>326</v>
      </c>
    </row>
    <row r="276" spans="3:3" x14ac:dyDescent="0.2">
      <c r="C276" t="s">
        <v>327</v>
      </c>
    </row>
    <row r="277" spans="3:3" x14ac:dyDescent="0.2">
      <c r="C277" t="s">
        <v>328</v>
      </c>
    </row>
    <row r="278" spans="3:3" x14ac:dyDescent="0.2">
      <c r="C278" t="s">
        <v>312</v>
      </c>
    </row>
    <row r="279" spans="3:3" x14ac:dyDescent="0.2">
      <c r="C279" t="s">
        <v>329</v>
      </c>
    </row>
    <row r="280" spans="3:3" x14ac:dyDescent="0.2">
      <c r="C280" t="s">
        <v>330</v>
      </c>
    </row>
    <row r="281" spans="3:3" x14ac:dyDescent="0.2">
      <c r="C281" t="s">
        <v>331</v>
      </c>
    </row>
    <row r="282" spans="3:3" x14ac:dyDescent="0.2">
      <c r="C282" t="s">
        <v>332</v>
      </c>
    </row>
    <row r="283" spans="3:3" x14ac:dyDescent="0.2">
      <c r="C283" t="s">
        <v>312</v>
      </c>
    </row>
    <row r="284" spans="3:3" x14ac:dyDescent="0.2">
      <c r="C284" t="s">
        <v>333</v>
      </c>
    </row>
    <row r="285" spans="3:3" x14ac:dyDescent="0.2">
      <c r="C285" t="s">
        <v>334</v>
      </c>
    </row>
    <row r="286" spans="3:3" x14ac:dyDescent="0.2">
      <c r="C286" t="s">
        <v>335</v>
      </c>
    </row>
    <row r="287" spans="3:3" x14ac:dyDescent="0.2">
      <c r="C287" t="s">
        <v>336</v>
      </c>
    </row>
    <row r="288" spans="3:3" x14ac:dyDescent="0.2">
      <c r="C288" t="s">
        <v>337</v>
      </c>
    </row>
    <row r="289" spans="3:3" x14ac:dyDescent="0.2">
      <c r="C289" t="s">
        <v>338</v>
      </c>
    </row>
    <row r="290" spans="3:3" x14ac:dyDescent="0.2">
      <c r="C290" t="s">
        <v>339</v>
      </c>
    </row>
    <row r="291" spans="3:3" x14ac:dyDescent="0.2">
      <c r="C291" t="s">
        <v>340</v>
      </c>
    </row>
    <row r="292" spans="3:3" x14ac:dyDescent="0.2">
      <c r="C292" t="s">
        <v>341</v>
      </c>
    </row>
    <row r="293" spans="3:3" x14ac:dyDescent="0.2">
      <c r="C293" t="s">
        <v>342</v>
      </c>
    </row>
    <row r="294" spans="3:3" x14ac:dyDescent="0.2">
      <c r="C294" t="s">
        <v>343</v>
      </c>
    </row>
    <row r="296" spans="3:3" x14ac:dyDescent="0.2">
      <c r="C296" t="s">
        <v>344</v>
      </c>
    </row>
    <row r="297" spans="3:3" x14ac:dyDescent="0.2">
      <c r="C297" t="s">
        <v>345</v>
      </c>
    </row>
    <row r="298" spans="3:3" x14ac:dyDescent="0.2">
      <c r="C298" t="s">
        <v>346</v>
      </c>
    </row>
    <row r="299" spans="3:3" x14ac:dyDescent="0.2">
      <c r="C299" t="s">
        <v>347</v>
      </c>
    </row>
    <row r="300" spans="3:3" x14ac:dyDescent="0.2">
      <c r="C300" t="s">
        <v>348</v>
      </c>
    </row>
    <row r="301" spans="3:3" x14ac:dyDescent="0.2">
      <c r="C301" t="s">
        <v>144</v>
      </c>
    </row>
    <row r="302" spans="3:3" x14ac:dyDescent="0.2">
      <c r="C302" t="s">
        <v>166</v>
      </c>
    </row>
    <row r="303" spans="3:3" x14ac:dyDescent="0.2">
      <c r="C303" t="s">
        <v>349</v>
      </c>
    </row>
    <row r="304" spans="3:3" x14ac:dyDescent="0.2">
      <c r="C304" t="s">
        <v>350</v>
      </c>
    </row>
    <row r="305" spans="3:3" x14ac:dyDescent="0.2">
      <c r="C305" t="s">
        <v>351</v>
      </c>
    </row>
    <row r="306" spans="3:3" x14ac:dyDescent="0.2">
      <c r="C306" t="s">
        <v>352</v>
      </c>
    </row>
    <row r="307" spans="3:3" x14ac:dyDescent="0.2">
      <c r="C307" t="s">
        <v>353</v>
      </c>
    </row>
    <row r="308" spans="3:3" x14ac:dyDescent="0.2">
      <c r="C308" t="s">
        <v>354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20EA4-2552-BC45-B93C-2F9BDE7D2A16}">
  <dimension ref="A1:AZ1627"/>
  <sheetViews>
    <sheetView workbookViewId="0">
      <selection activeCell="A2" sqref="A2:A4"/>
    </sheetView>
  </sheetViews>
  <sheetFormatPr baseColWidth="10" defaultRowHeight="16" x14ac:dyDescent="0.2"/>
  <cols>
    <col min="1" max="1" width="18.1640625" bestFit="1" customWidth="1"/>
    <col min="2" max="2" width="10.1640625" bestFit="1" customWidth="1"/>
    <col min="3" max="3" width="10.1640625" customWidth="1"/>
  </cols>
  <sheetData>
    <row r="1" spans="1:52" x14ac:dyDescent="0.2">
      <c r="A1" t="s">
        <v>0</v>
      </c>
      <c r="B1" t="s">
        <v>1</v>
      </c>
      <c r="C1" t="s">
        <v>78</v>
      </c>
      <c r="D1" t="s">
        <v>2</v>
      </c>
      <c r="E1" t="s">
        <v>3</v>
      </c>
      <c r="F1" t="s">
        <v>4</v>
      </c>
      <c r="G1" t="s">
        <v>5</v>
      </c>
      <c r="H1" t="s">
        <v>6</v>
      </c>
      <c r="I1" t="s">
        <v>7</v>
      </c>
      <c r="J1" t="s">
        <v>8</v>
      </c>
      <c r="K1" t="s">
        <v>9</v>
      </c>
      <c r="L1" t="s">
        <v>10</v>
      </c>
      <c r="M1" t="s">
        <v>11</v>
      </c>
      <c r="N1" t="s">
        <v>1</v>
      </c>
      <c r="O1" t="s">
        <v>12</v>
      </c>
      <c r="P1" t="s">
        <v>13</v>
      </c>
      <c r="Q1" t="s">
        <v>14</v>
      </c>
      <c r="R1" t="s">
        <v>15</v>
      </c>
      <c r="S1" t="s">
        <v>16</v>
      </c>
      <c r="T1" t="s">
        <v>17</v>
      </c>
      <c r="U1" t="s">
        <v>18</v>
      </c>
      <c r="V1" t="s">
        <v>19</v>
      </c>
      <c r="W1" t="s">
        <v>20</v>
      </c>
      <c r="X1" t="s">
        <v>21</v>
      </c>
      <c r="Y1" t="s">
        <v>22</v>
      </c>
      <c r="Z1" t="s">
        <v>23</v>
      </c>
      <c r="AA1" t="s">
        <v>24</v>
      </c>
      <c r="AB1" t="s">
        <v>25</v>
      </c>
      <c r="AC1" t="s">
        <v>26</v>
      </c>
      <c r="AD1" t="s">
        <v>27</v>
      </c>
      <c r="AE1" t="s">
        <v>28</v>
      </c>
      <c r="AF1" t="s">
        <v>29</v>
      </c>
      <c r="AG1" t="s">
        <v>30</v>
      </c>
      <c r="AH1" t="s">
        <v>31</v>
      </c>
      <c r="AI1" t="s">
        <v>32</v>
      </c>
      <c r="AJ1" t="s">
        <v>33</v>
      </c>
      <c r="AK1" t="s">
        <v>34</v>
      </c>
      <c r="AL1" t="s">
        <v>35</v>
      </c>
      <c r="AM1" t="s">
        <v>36</v>
      </c>
      <c r="AN1" t="s">
        <v>60</v>
      </c>
      <c r="AO1" t="s">
        <v>59</v>
      </c>
    </row>
    <row r="2" spans="1:52" x14ac:dyDescent="0.2">
      <c r="A2" t="s">
        <v>37</v>
      </c>
      <c r="B2" s="1">
        <v>46057</v>
      </c>
      <c r="C2" s="1">
        <f>EOMONTH(B2,0)</f>
        <v>46081</v>
      </c>
      <c r="D2">
        <v>52</v>
      </c>
      <c r="E2">
        <v>132</v>
      </c>
      <c r="F2">
        <v>3</v>
      </c>
      <c r="G2">
        <v>6</v>
      </c>
      <c r="H2">
        <v>11</v>
      </c>
      <c r="I2">
        <v>2</v>
      </c>
      <c r="J2">
        <v>9</v>
      </c>
      <c r="K2">
        <v>70</v>
      </c>
      <c r="L2" t="s">
        <v>37</v>
      </c>
      <c r="M2" t="s">
        <v>38</v>
      </c>
      <c r="N2" s="1">
        <v>46057</v>
      </c>
      <c r="O2" s="2">
        <v>0.58391203703703709</v>
      </c>
      <c r="P2" s="2">
        <v>0.95898148148148143</v>
      </c>
      <c r="Q2">
        <v>9</v>
      </c>
      <c r="R2">
        <v>8.11</v>
      </c>
      <c r="S2">
        <v>3.21</v>
      </c>
      <c r="T2">
        <v>0.39</v>
      </c>
      <c r="U2">
        <v>0</v>
      </c>
      <c r="V2">
        <v>0.48</v>
      </c>
      <c r="W2">
        <v>3.35</v>
      </c>
      <c r="X2">
        <v>0.68</v>
      </c>
      <c r="Y2">
        <v>0</v>
      </c>
      <c r="Z2">
        <v>0</v>
      </c>
      <c r="AA2">
        <v>0</v>
      </c>
      <c r="AB2">
        <v>0.01</v>
      </c>
      <c r="AC2">
        <v>8.11</v>
      </c>
      <c r="AD2">
        <v>39.520000000000003</v>
      </c>
      <c r="AE2">
        <v>4.8499999999999996</v>
      </c>
      <c r="AF2">
        <v>0</v>
      </c>
      <c r="AG2">
        <v>5.88</v>
      </c>
      <c r="AH2">
        <v>41.24</v>
      </c>
      <c r="AI2">
        <v>8.34</v>
      </c>
      <c r="AJ2">
        <v>0</v>
      </c>
      <c r="AK2">
        <v>0</v>
      </c>
      <c r="AL2">
        <v>0</v>
      </c>
      <c r="AM2">
        <v>0.17</v>
      </c>
      <c r="AN2">
        <f>WEEKDAY(B2,1)</f>
        <v>4</v>
      </c>
      <c r="AO2" t="str">
        <f>VLOOKUP(AN2,$AY$2:$AZ$8,2,FALSE)</f>
        <v>Wednesday</v>
      </c>
      <c r="AY2">
        <v>1</v>
      </c>
      <c r="AZ2" t="s">
        <v>61</v>
      </c>
    </row>
    <row r="3" spans="1:52" x14ac:dyDescent="0.2">
      <c r="A3" t="s">
        <v>39</v>
      </c>
      <c r="B3" s="1">
        <v>46057</v>
      </c>
      <c r="C3" s="1">
        <f t="shared" ref="C3:C66" si="0">EOMONTH(B3,0)</f>
        <v>46081</v>
      </c>
      <c r="D3">
        <v>65</v>
      </c>
      <c r="E3">
        <v>159</v>
      </c>
      <c r="F3">
        <v>12</v>
      </c>
      <c r="G3">
        <v>8</v>
      </c>
      <c r="H3">
        <v>26</v>
      </c>
      <c r="I3">
        <v>0</v>
      </c>
      <c r="J3">
        <v>7</v>
      </c>
      <c r="K3">
        <v>65</v>
      </c>
      <c r="L3" t="s">
        <v>39</v>
      </c>
      <c r="M3" t="s">
        <v>38</v>
      </c>
      <c r="N3" s="1">
        <v>46057</v>
      </c>
      <c r="O3" s="2">
        <v>0.58365740740740746</v>
      </c>
      <c r="P3" s="2">
        <v>0.9583680555555556</v>
      </c>
      <c r="Q3">
        <v>9</v>
      </c>
      <c r="R3">
        <v>8.99</v>
      </c>
      <c r="S3">
        <v>3.83</v>
      </c>
      <c r="T3">
        <v>0.24</v>
      </c>
      <c r="U3">
        <v>0</v>
      </c>
      <c r="V3">
        <v>0.12</v>
      </c>
      <c r="W3">
        <v>3.3</v>
      </c>
      <c r="X3">
        <v>1.5</v>
      </c>
      <c r="Y3">
        <v>0</v>
      </c>
      <c r="Z3">
        <v>0</v>
      </c>
      <c r="AA3">
        <v>0</v>
      </c>
      <c r="AB3">
        <v>0</v>
      </c>
      <c r="AC3">
        <v>8.99</v>
      </c>
      <c r="AD3">
        <v>42.58</v>
      </c>
      <c r="AE3">
        <v>2.65</v>
      </c>
      <c r="AF3">
        <v>0</v>
      </c>
      <c r="AG3">
        <v>1.31</v>
      </c>
      <c r="AH3">
        <v>36.69</v>
      </c>
      <c r="AI3">
        <v>16.72</v>
      </c>
      <c r="AJ3">
        <v>0</v>
      </c>
      <c r="AK3">
        <v>0</v>
      </c>
      <c r="AL3">
        <v>0</v>
      </c>
      <c r="AM3">
        <v>0.05</v>
      </c>
      <c r="AN3">
        <f t="shared" ref="AN3:AN66" si="1">WEEKDAY(B3,1)</f>
        <v>4</v>
      </c>
      <c r="AO3" t="str">
        <f t="shared" ref="AO3:AO66" si="2">VLOOKUP(AN3,$AY$2:$AZ$8,2,FALSE)</f>
        <v>Wednesday</v>
      </c>
      <c r="AY3">
        <v>2</v>
      </c>
      <c r="AZ3" t="s">
        <v>62</v>
      </c>
    </row>
    <row r="4" spans="1:52" x14ac:dyDescent="0.2">
      <c r="A4" t="s">
        <v>40</v>
      </c>
      <c r="B4" s="1">
        <v>46057</v>
      </c>
      <c r="C4" s="1">
        <f t="shared" si="0"/>
        <v>46081</v>
      </c>
      <c r="D4">
        <v>67</v>
      </c>
      <c r="E4">
        <v>179</v>
      </c>
      <c r="F4">
        <v>3</v>
      </c>
      <c r="G4">
        <v>2</v>
      </c>
      <c r="H4">
        <v>18</v>
      </c>
      <c r="I4">
        <v>0</v>
      </c>
      <c r="J4">
        <v>0</v>
      </c>
      <c r="K4">
        <v>107</v>
      </c>
      <c r="L4" t="s">
        <v>40</v>
      </c>
      <c r="M4" t="s">
        <v>38</v>
      </c>
      <c r="N4" s="1">
        <v>46057</v>
      </c>
      <c r="O4" s="2">
        <v>0.58369212962962957</v>
      </c>
      <c r="P4" s="2">
        <v>0.95835648148148145</v>
      </c>
      <c r="Q4">
        <v>9</v>
      </c>
      <c r="R4">
        <v>8.99</v>
      </c>
      <c r="S4">
        <v>2.57</v>
      </c>
      <c r="T4">
        <v>0.59</v>
      </c>
      <c r="U4">
        <v>0</v>
      </c>
      <c r="V4">
        <v>0.4</v>
      </c>
      <c r="W4">
        <v>3.89</v>
      </c>
      <c r="X4">
        <v>1.52</v>
      </c>
      <c r="Y4">
        <v>0</v>
      </c>
      <c r="Z4">
        <v>0</v>
      </c>
      <c r="AA4">
        <v>0</v>
      </c>
      <c r="AB4">
        <v>0</v>
      </c>
      <c r="AC4">
        <v>8.99</v>
      </c>
      <c r="AD4">
        <v>28.63</v>
      </c>
      <c r="AE4">
        <v>6.6</v>
      </c>
      <c r="AF4">
        <v>0</v>
      </c>
      <c r="AG4">
        <v>4.49</v>
      </c>
      <c r="AH4">
        <v>43.28</v>
      </c>
      <c r="AI4">
        <v>16.96</v>
      </c>
      <c r="AJ4">
        <v>0</v>
      </c>
      <c r="AK4">
        <v>0</v>
      </c>
      <c r="AL4">
        <v>0</v>
      </c>
      <c r="AM4">
        <v>0.04</v>
      </c>
      <c r="AN4">
        <f t="shared" si="1"/>
        <v>4</v>
      </c>
      <c r="AO4" t="str">
        <f t="shared" si="2"/>
        <v>Wednesday</v>
      </c>
      <c r="AY4">
        <v>3</v>
      </c>
      <c r="AZ4" t="s">
        <v>63</v>
      </c>
    </row>
    <row r="5" spans="1:52" x14ac:dyDescent="0.2">
      <c r="A5" t="s">
        <v>41</v>
      </c>
      <c r="B5" s="1">
        <v>46057</v>
      </c>
      <c r="C5" s="1">
        <f t="shared" si="0"/>
        <v>46081</v>
      </c>
      <c r="D5">
        <v>65</v>
      </c>
      <c r="E5">
        <v>150</v>
      </c>
      <c r="F5">
        <v>6</v>
      </c>
      <c r="G5">
        <v>10</v>
      </c>
      <c r="H5">
        <v>14</v>
      </c>
      <c r="I5">
        <v>0</v>
      </c>
      <c r="J5">
        <v>5</v>
      </c>
      <c r="K5">
        <v>60</v>
      </c>
      <c r="L5" t="s">
        <v>41</v>
      </c>
      <c r="M5" t="s">
        <v>38</v>
      </c>
      <c r="N5" s="1">
        <v>46057</v>
      </c>
      <c r="O5" s="2">
        <v>0.58333333333333337</v>
      </c>
      <c r="P5" s="2">
        <v>0.95697916666666671</v>
      </c>
      <c r="Q5">
        <v>8.9700000000000006</v>
      </c>
      <c r="R5">
        <v>8.9700000000000006</v>
      </c>
      <c r="S5">
        <v>3.4</v>
      </c>
      <c r="T5">
        <v>0.32</v>
      </c>
      <c r="U5">
        <v>0</v>
      </c>
      <c r="V5">
        <v>0.37</v>
      </c>
      <c r="W5">
        <v>3.47</v>
      </c>
      <c r="X5">
        <v>1.4</v>
      </c>
      <c r="Y5">
        <v>0</v>
      </c>
      <c r="Z5">
        <v>0</v>
      </c>
      <c r="AA5">
        <v>0</v>
      </c>
      <c r="AB5">
        <v>0</v>
      </c>
      <c r="AC5">
        <v>8.9700000000000006</v>
      </c>
      <c r="AD5">
        <v>37.97</v>
      </c>
      <c r="AE5">
        <v>3.53</v>
      </c>
      <c r="AF5">
        <v>0</v>
      </c>
      <c r="AG5">
        <v>4.07</v>
      </c>
      <c r="AH5">
        <v>38.75</v>
      </c>
      <c r="AI5">
        <v>15.62</v>
      </c>
      <c r="AJ5">
        <v>0</v>
      </c>
      <c r="AK5">
        <v>0</v>
      </c>
      <c r="AL5">
        <v>0</v>
      </c>
      <c r="AM5">
        <v>0.05</v>
      </c>
      <c r="AN5">
        <f t="shared" si="1"/>
        <v>4</v>
      </c>
      <c r="AO5" t="str">
        <f t="shared" si="2"/>
        <v>Wednesday</v>
      </c>
      <c r="AY5">
        <v>4</v>
      </c>
      <c r="AZ5" t="s">
        <v>64</v>
      </c>
    </row>
    <row r="6" spans="1:52" x14ac:dyDescent="0.2">
      <c r="A6" t="s">
        <v>42</v>
      </c>
      <c r="B6" s="1">
        <v>46057</v>
      </c>
      <c r="C6" s="1">
        <f t="shared" si="0"/>
        <v>46081</v>
      </c>
      <c r="D6">
        <v>2</v>
      </c>
      <c r="E6">
        <v>2</v>
      </c>
      <c r="F6">
        <v>0</v>
      </c>
      <c r="G6">
        <v>0</v>
      </c>
      <c r="H6">
        <v>0</v>
      </c>
      <c r="I6">
        <v>0</v>
      </c>
      <c r="J6">
        <v>0</v>
      </c>
      <c r="K6">
        <v>0</v>
      </c>
      <c r="L6" t="s">
        <v>42</v>
      </c>
      <c r="M6" t="s">
        <v>38</v>
      </c>
      <c r="N6" s="1">
        <v>46057</v>
      </c>
      <c r="O6" s="2">
        <v>0.88861111111111113</v>
      </c>
      <c r="P6" s="2">
        <v>0.90776620370370376</v>
      </c>
      <c r="Q6">
        <v>0.47</v>
      </c>
      <c r="R6">
        <v>0.46</v>
      </c>
      <c r="S6">
        <v>0.45</v>
      </c>
      <c r="T6">
        <v>0</v>
      </c>
      <c r="U6">
        <v>0</v>
      </c>
      <c r="V6">
        <v>0.01</v>
      </c>
      <c r="W6">
        <v>0</v>
      </c>
      <c r="X6">
        <v>0</v>
      </c>
      <c r="Y6">
        <v>0</v>
      </c>
      <c r="Z6">
        <v>0</v>
      </c>
      <c r="AA6">
        <v>0</v>
      </c>
      <c r="AB6">
        <v>0.01</v>
      </c>
      <c r="AC6">
        <v>0.46</v>
      </c>
      <c r="AD6">
        <v>97.46</v>
      </c>
      <c r="AE6">
        <v>0</v>
      </c>
      <c r="AF6">
        <v>0</v>
      </c>
      <c r="AG6">
        <v>1.1499999999999999</v>
      </c>
      <c r="AH6">
        <v>0</v>
      </c>
      <c r="AI6">
        <v>0</v>
      </c>
      <c r="AJ6">
        <v>0</v>
      </c>
      <c r="AK6">
        <v>0</v>
      </c>
      <c r="AL6">
        <v>0</v>
      </c>
      <c r="AM6">
        <v>1.39</v>
      </c>
      <c r="AN6">
        <f t="shared" si="1"/>
        <v>4</v>
      </c>
      <c r="AO6" t="str">
        <f t="shared" si="2"/>
        <v>Wednesday</v>
      </c>
      <c r="AY6">
        <v>5</v>
      </c>
      <c r="AZ6" t="s">
        <v>65</v>
      </c>
    </row>
    <row r="7" spans="1:52" x14ac:dyDescent="0.2">
      <c r="A7" t="s">
        <v>43</v>
      </c>
      <c r="B7" s="1">
        <v>46057</v>
      </c>
      <c r="C7" s="1">
        <f t="shared" si="0"/>
        <v>46081</v>
      </c>
      <c r="D7">
        <v>63</v>
      </c>
      <c r="E7">
        <v>167</v>
      </c>
      <c r="F7">
        <v>4</v>
      </c>
      <c r="G7">
        <v>8</v>
      </c>
      <c r="H7">
        <v>23</v>
      </c>
      <c r="I7">
        <v>0</v>
      </c>
      <c r="J7">
        <v>2</v>
      </c>
      <c r="K7">
        <v>85</v>
      </c>
      <c r="L7" t="s">
        <v>43</v>
      </c>
      <c r="M7" t="s">
        <v>38</v>
      </c>
      <c r="N7" s="1">
        <v>46057</v>
      </c>
      <c r="O7" s="2">
        <v>0.58329861111111114</v>
      </c>
      <c r="P7" s="2">
        <v>0.95902777777777781</v>
      </c>
      <c r="Q7">
        <v>9.0299999999999994</v>
      </c>
      <c r="R7">
        <v>9.02</v>
      </c>
      <c r="S7">
        <v>2.71</v>
      </c>
      <c r="T7">
        <v>0.2</v>
      </c>
      <c r="U7">
        <v>0</v>
      </c>
      <c r="V7">
        <v>0.57999999999999996</v>
      </c>
      <c r="W7">
        <v>4.08</v>
      </c>
      <c r="X7">
        <v>1.45</v>
      </c>
      <c r="Y7">
        <v>0</v>
      </c>
      <c r="Z7">
        <v>0</v>
      </c>
      <c r="AA7">
        <v>0</v>
      </c>
      <c r="AB7">
        <v>0</v>
      </c>
      <c r="AC7">
        <v>9.02</v>
      </c>
      <c r="AD7">
        <v>30.1</v>
      </c>
      <c r="AE7">
        <v>2.1800000000000002</v>
      </c>
      <c r="AF7">
        <v>0</v>
      </c>
      <c r="AG7">
        <v>6.4</v>
      </c>
      <c r="AH7">
        <v>45.2</v>
      </c>
      <c r="AI7">
        <v>16.079999999999998</v>
      </c>
      <c r="AJ7">
        <v>0</v>
      </c>
      <c r="AK7">
        <v>0</v>
      </c>
      <c r="AL7">
        <v>0</v>
      </c>
      <c r="AM7">
        <v>0.05</v>
      </c>
      <c r="AN7">
        <f t="shared" si="1"/>
        <v>4</v>
      </c>
      <c r="AO7" t="str">
        <f t="shared" si="2"/>
        <v>Wednesday</v>
      </c>
      <c r="AY7">
        <v>6</v>
      </c>
      <c r="AZ7" t="s">
        <v>66</v>
      </c>
    </row>
    <row r="8" spans="1:52" x14ac:dyDescent="0.2">
      <c r="B8" s="1">
        <v>46057</v>
      </c>
      <c r="C8" s="1">
        <f t="shared" si="0"/>
        <v>46081</v>
      </c>
      <c r="D8">
        <v>1307</v>
      </c>
      <c r="E8">
        <v>0</v>
      </c>
      <c r="F8">
        <v>0</v>
      </c>
      <c r="G8">
        <v>0</v>
      </c>
      <c r="H8">
        <v>0</v>
      </c>
      <c r="I8">
        <v>0</v>
      </c>
      <c r="J8">
        <v>0</v>
      </c>
      <c r="K8">
        <v>0</v>
      </c>
      <c r="AN8">
        <f t="shared" si="1"/>
        <v>4</v>
      </c>
      <c r="AO8" t="str">
        <f t="shared" si="2"/>
        <v>Wednesday</v>
      </c>
      <c r="AY8">
        <v>7</v>
      </c>
      <c r="AZ8" t="s">
        <v>67</v>
      </c>
    </row>
    <row r="9" spans="1:52" x14ac:dyDescent="0.2">
      <c r="A9" t="s">
        <v>37</v>
      </c>
      <c r="B9" s="1">
        <v>46056</v>
      </c>
      <c r="C9" s="1">
        <f t="shared" si="0"/>
        <v>46081</v>
      </c>
      <c r="D9">
        <v>55</v>
      </c>
      <c r="E9">
        <v>131</v>
      </c>
      <c r="F9">
        <v>13</v>
      </c>
      <c r="G9">
        <v>6</v>
      </c>
      <c r="H9">
        <v>19</v>
      </c>
      <c r="I9">
        <v>1</v>
      </c>
      <c r="J9">
        <v>9</v>
      </c>
      <c r="K9">
        <v>55</v>
      </c>
      <c r="L9" t="s">
        <v>37</v>
      </c>
      <c r="M9" t="s">
        <v>38</v>
      </c>
      <c r="N9" s="1">
        <v>46056</v>
      </c>
      <c r="O9" s="2">
        <v>0.58475694444444448</v>
      </c>
      <c r="P9" s="2">
        <v>0.95847222222222217</v>
      </c>
      <c r="Q9">
        <v>8.9700000000000006</v>
      </c>
      <c r="R9">
        <v>8.9700000000000006</v>
      </c>
      <c r="S9">
        <v>3.62</v>
      </c>
      <c r="T9">
        <v>0.44</v>
      </c>
      <c r="U9">
        <v>0</v>
      </c>
      <c r="V9">
        <v>0.5</v>
      </c>
      <c r="W9">
        <v>2.89</v>
      </c>
      <c r="X9">
        <v>1.5</v>
      </c>
      <c r="Y9">
        <v>0</v>
      </c>
      <c r="Z9">
        <v>0</v>
      </c>
      <c r="AA9">
        <v>0</v>
      </c>
      <c r="AB9">
        <v>0</v>
      </c>
      <c r="AC9">
        <v>8.9700000000000006</v>
      </c>
      <c r="AD9">
        <v>40.39</v>
      </c>
      <c r="AE9">
        <v>4.91</v>
      </c>
      <c r="AF9">
        <v>0</v>
      </c>
      <c r="AG9">
        <v>5.62</v>
      </c>
      <c r="AH9">
        <v>32.25</v>
      </c>
      <c r="AI9">
        <v>16.78</v>
      </c>
      <c r="AJ9">
        <v>0</v>
      </c>
      <c r="AK9">
        <v>0</v>
      </c>
      <c r="AL9">
        <v>0</v>
      </c>
      <c r="AM9">
        <v>0.05</v>
      </c>
      <c r="AN9">
        <f t="shared" si="1"/>
        <v>3</v>
      </c>
      <c r="AO9" t="str">
        <f t="shared" si="2"/>
        <v>Tuesday</v>
      </c>
    </row>
    <row r="10" spans="1:52" x14ac:dyDescent="0.2">
      <c r="A10" t="s">
        <v>39</v>
      </c>
      <c r="B10" s="1">
        <v>46056</v>
      </c>
      <c r="C10" s="1">
        <f t="shared" si="0"/>
        <v>46081</v>
      </c>
      <c r="D10">
        <v>70</v>
      </c>
      <c r="E10">
        <v>160</v>
      </c>
      <c r="F10">
        <v>33</v>
      </c>
      <c r="G10">
        <v>13</v>
      </c>
      <c r="H10">
        <v>19</v>
      </c>
      <c r="I10">
        <v>0</v>
      </c>
      <c r="J10">
        <v>2</v>
      </c>
      <c r="K10">
        <v>70</v>
      </c>
      <c r="L10" t="s">
        <v>39</v>
      </c>
      <c r="M10" t="s">
        <v>38</v>
      </c>
      <c r="N10" s="1">
        <v>46056</v>
      </c>
      <c r="O10" s="2">
        <v>0.58236111111111111</v>
      </c>
      <c r="P10" s="2">
        <v>0.9584259259259259</v>
      </c>
      <c r="Q10">
        <v>9.0299999999999994</v>
      </c>
      <c r="R10">
        <v>9</v>
      </c>
      <c r="S10">
        <v>3.31</v>
      </c>
      <c r="T10">
        <v>0.21</v>
      </c>
      <c r="U10">
        <v>0</v>
      </c>
      <c r="V10">
        <v>0.15</v>
      </c>
      <c r="W10">
        <v>3.79</v>
      </c>
      <c r="X10">
        <v>1.51</v>
      </c>
      <c r="Y10">
        <v>0</v>
      </c>
      <c r="Z10">
        <v>0</v>
      </c>
      <c r="AA10">
        <v>0</v>
      </c>
      <c r="AB10">
        <v>0.04</v>
      </c>
      <c r="AC10">
        <v>9</v>
      </c>
      <c r="AD10">
        <v>36.79</v>
      </c>
      <c r="AE10">
        <v>2.29</v>
      </c>
      <c r="AF10">
        <v>0</v>
      </c>
      <c r="AG10">
        <v>1.66</v>
      </c>
      <c r="AH10">
        <v>42.11</v>
      </c>
      <c r="AI10">
        <v>16.73</v>
      </c>
      <c r="AJ10">
        <v>0</v>
      </c>
      <c r="AK10">
        <v>0</v>
      </c>
      <c r="AL10">
        <v>0</v>
      </c>
      <c r="AM10">
        <v>0.43</v>
      </c>
      <c r="AN10">
        <f t="shared" si="1"/>
        <v>3</v>
      </c>
      <c r="AO10" t="str">
        <f t="shared" si="2"/>
        <v>Tuesday</v>
      </c>
    </row>
    <row r="11" spans="1:52" x14ac:dyDescent="0.2">
      <c r="A11" t="s">
        <v>40</v>
      </c>
      <c r="B11" s="1">
        <v>46056</v>
      </c>
      <c r="C11" s="1">
        <f t="shared" si="0"/>
        <v>46081</v>
      </c>
      <c r="D11">
        <v>62</v>
      </c>
      <c r="E11">
        <v>143</v>
      </c>
      <c r="F11">
        <v>18</v>
      </c>
      <c r="G11">
        <v>7</v>
      </c>
      <c r="H11">
        <v>16</v>
      </c>
      <c r="I11">
        <v>0</v>
      </c>
      <c r="J11">
        <v>1</v>
      </c>
      <c r="K11">
        <v>74</v>
      </c>
      <c r="L11" t="s">
        <v>40</v>
      </c>
      <c r="M11" t="s">
        <v>38</v>
      </c>
      <c r="N11" s="1">
        <v>46056</v>
      </c>
      <c r="O11" s="2">
        <v>0.58391203703703709</v>
      </c>
      <c r="P11" s="2">
        <v>0.95853009259259259</v>
      </c>
      <c r="Q11">
        <v>9</v>
      </c>
      <c r="R11">
        <v>8.9499999999999993</v>
      </c>
      <c r="S11">
        <v>2.99</v>
      </c>
      <c r="T11">
        <v>0.66</v>
      </c>
      <c r="U11">
        <v>0</v>
      </c>
      <c r="V11">
        <v>0.38</v>
      </c>
      <c r="W11">
        <v>3.38</v>
      </c>
      <c r="X11">
        <v>1.53</v>
      </c>
      <c r="Y11">
        <v>0</v>
      </c>
      <c r="Z11">
        <v>0</v>
      </c>
      <c r="AA11">
        <v>0</v>
      </c>
      <c r="AB11">
        <v>0.01</v>
      </c>
      <c r="AC11">
        <v>8.9499999999999993</v>
      </c>
      <c r="AD11">
        <v>33.369999999999997</v>
      </c>
      <c r="AE11">
        <v>7.37</v>
      </c>
      <c r="AF11">
        <v>0</v>
      </c>
      <c r="AG11">
        <v>4.29</v>
      </c>
      <c r="AH11">
        <v>37.82</v>
      </c>
      <c r="AI11">
        <v>17.07</v>
      </c>
      <c r="AJ11">
        <v>0</v>
      </c>
      <c r="AK11">
        <v>0</v>
      </c>
      <c r="AL11">
        <v>0</v>
      </c>
      <c r="AM11">
        <v>7.0000000000000007E-2</v>
      </c>
      <c r="AN11">
        <f t="shared" si="1"/>
        <v>3</v>
      </c>
      <c r="AO11" t="str">
        <f t="shared" si="2"/>
        <v>Tuesday</v>
      </c>
    </row>
    <row r="12" spans="1:52" x14ac:dyDescent="0.2">
      <c r="A12" t="s">
        <v>41</v>
      </c>
      <c r="B12" s="1">
        <v>46056</v>
      </c>
      <c r="C12" s="1">
        <f t="shared" si="0"/>
        <v>46081</v>
      </c>
      <c r="D12">
        <v>59</v>
      </c>
      <c r="E12">
        <v>118</v>
      </c>
      <c r="F12">
        <v>13</v>
      </c>
      <c r="G12">
        <v>14</v>
      </c>
      <c r="H12">
        <v>7</v>
      </c>
      <c r="I12">
        <v>0</v>
      </c>
      <c r="J12">
        <v>5</v>
      </c>
      <c r="K12">
        <v>47</v>
      </c>
      <c r="L12" t="s">
        <v>41</v>
      </c>
      <c r="M12" t="s">
        <v>38</v>
      </c>
      <c r="N12" s="1">
        <v>46056</v>
      </c>
      <c r="O12" s="2">
        <v>0.58318287037037042</v>
      </c>
      <c r="P12" s="2">
        <v>0.95777777777777773</v>
      </c>
      <c r="Q12">
        <v>9</v>
      </c>
      <c r="R12">
        <v>8.11</v>
      </c>
      <c r="S12">
        <v>3.17</v>
      </c>
      <c r="T12">
        <v>1.39</v>
      </c>
      <c r="U12">
        <v>0</v>
      </c>
      <c r="V12">
        <v>0.28999999999999998</v>
      </c>
      <c r="W12">
        <v>2.68</v>
      </c>
      <c r="X12">
        <v>0.55000000000000004</v>
      </c>
      <c r="Y12">
        <v>0</v>
      </c>
      <c r="Z12">
        <v>0</v>
      </c>
      <c r="AA12">
        <v>0</v>
      </c>
      <c r="AB12">
        <v>0.01</v>
      </c>
      <c r="AC12">
        <v>8.11</v>
      </c>
      <c r="AD12">
        <v>39.130000000000003</v>
      </c>
      <c r="AE12">
        <v>17.14</v>
      </c>
      <c r="AF12">
        <v>0</v>
      </c>
      <c r="AG12">
        <v>3.63</v>
      </c>
      <c r="AH12">
        <v>33.119999999999997</v>
      </c>
      <c r="AI12">
        <v>6.81</v>
      </c>
      <c r="AJ12">
        <v>0</v>
      </c>
      <c r="AK12">
        <v>0</v>
      </c>
      <c r="AL12">
        <v>0</v>
      </c>
      <c r="AM12">
        <v>0.17</v>
      </c>
      <c r="AN12">
        <f t="shared" si="1"/>
        <v>3</v>
      </c>
      <c r="AO12" t="str">
        <f t="shared" si="2"/>
        <v>Tuesday</v>
      </c>
    </row>
    <row r="13" spans="1:52" x14ac:dyDescent="0.2">
      <c r="A13" t="s">
        <v>43</v>
      </c>
      <c r="B13" s="1">
        <v>46056</v>
      </c>
      <c r="C13" s="1">
        <f t="shared" si="0"/>
        <v>46081</v>
      </c>
      <c r="D13">
        <v>70</v>
      </c>
      <c r="E13">
        <v>207</v>
      </c>
      <c r="F13">
        <v>26</v>
      </c>
      <c r="G13">
        <v>15</v>
      </c>
      <c r="H13">
        <v>34</v>
      </c>
      <c r="I13">
        <v>0</v>
      </c>
      <c r="J13">
        <v>1</v>
      </c>
      <c r="K13">
        <v>76</v>
      </c>
      <c r="L13" t="s">
        <v>43</v>
      </c>
      <c r="M13" t="s">
        <v>38</v>
      </c>
      <c r="N13" s="1">
        <v>46056</v>
      </c>
      <c r="O13" s="2">
        <v>0.58347222222222217</v>
      </c>
      <c r="P13" s="2">
        <v>0.95979166666666671</v>
      </c>
      <c r="Q13">
        <v>9.0299999999999994</v>
      </c>
      <c r="R13">
        <v>9.0299999999999994</v>
      </c>
      <c r="S13">
        <v>2.97</v>
      </c>
      <c r="T13">
        <v>0.09</v>
      </c>
      <c r="U13">
        <v>0</v>
      </c>
      <c r="V13">
        <v>0.64</v>
      </c>
      <c r="W13">
        <v>3.84</v>
      </c>
      <c r="X13">
        <v>1.48</v>
      </c>
      <c r="Y13">
        <v>0</v>
      </c>
      <c r="Z13">
        <v>0</v>
      </c>
      <c r="AA13">
        <v>0.02</v>
      </c>
      <c r="AB13">
        <v>0</v>
      </c>
      <c r="AC13">
        <v>9.0299999999999994</v>
      </c>
      <c r="AD13">
        <v>32.85</v>
      </c>
      <c r="AE13">
        <v>0.95</v>
      </c>
      <c r="AF13">
        <v>0</v>
      </c>
      <c r="AG13">
        <v>7.04</v>
      </c>
      <c r="AH13">
        <v>42.53</v>
      </c>
      <c r="AI13">
        <v>16.41</v>
      </c>
      <c r="AJ13">
        <v>0</v>
      </c>
      <c r="AK13">
        <v>0</v>
      </c>
      <c r="AL13">
        <v>0.17</v>
      </c>
      <c r="AM13">
        <v>0.04</v>
      </c>
      <c r="AN13">
        <f t="shared" si="1"/>
        <v>3</v>
      </c>
      <c r="AO13" t="str">
        <f t="shared" si="2"/>
        <v>Tuesday</v>
      </c>
    </row>
    <row r="14" spans="1:52" x14ac:dyDescent="0.2">
      <c r="B14" s="1">
        <v>46056</v>
      </c>
      <c r="C14" s="1">
        <f t="shared" si="0"/>
        <v>46081</v>
      </c>
      <c r="D14">
        <v>1412</v>
      </c>
      <c r="E14">
        <v>0</v>
      </c>
      <c r="F14">
        <v>0</v>
      </c>
      <c r="G14">
        <v>0</v>
      </c>
      <c r="H14">
        <v>0</v>
      </c>
      <c r="I14">
        <v>0</v>
      </c>
      <c r="J14">
        <v>0</v>
      </c>
      <c r="K14">
        <v>0</v>
      </c>
      <c r="AN14">
        <f t="shared" si="1"/>
        <v>3</v>
      </c>
      <c r="AO14" t="str">
        <f t="shared" si="2"/>
        <v>Tuesday</v>
      </c>
    </row>
    <row r="15" spans="1:52" x14ac:dyDescent="0.2">
      <c r="A15" t="s">
        <v>39</v>
      </c>
      <c r="B15" s="1">
        <v>46055</v>
      </c>
      <c r="C15" s="1">
        <f t="shared" si="0"/>
        <v>46081</v>
      </c>
      <c r="D15">
        <v>83</v>
      </c>
      <c r="E15">
        <v>203</v>
      </c>
      <c r="F15">
        <v>18</v>
      </c>
      <c r="G15">
        <v>9</v>
      </c>
      <c r="H15">
        <v>23</v>
      </c>
      <c r="I15">
        <v>1</v>
      </c>
      <c r="J15">
        <v>1</v>
      </c>
      <c r="K15">
        <v>104</v>
      </c>
      <c r="L15" t="s">
        <v>39</v>
      </c>
      <c r="M15" t="s">
        <v>38</v>
      </c>
      <c r="N15" s="1">
        <v>46055</v>
      </c>
      <c r="O15" s="2">
        <v>0.583587962962963</v>
      </c>
      <c r="P15" s="2">
        <v>0.96056712962962965</v>
      </c>
      <c r="Q15">
        <v>9.0500000000000007</v>
      </c>
      <c r="R15">
        <v>9.0500000000000007</v>
      </c>
      <c r="S15">
        <v>3.5</v>
      </c>
      <c r="T15">
        <v>0.03</v>
      </c>
      <c r="U15">
        <v>0</v>
      </c>
      <c r="V15">
        <v>0.15</v>
      </c>
      <c r="W15">
        <v>3.86</v>
      </c>
      <c r="X15">
        <v>1.5</v>
      </c>
      <c r="Y15">
        <v>0</v>
      </c>
      <c r="Z15">
        <v>0</v>
      </c>
      <c r="AA15">
        <v>0</v>
      </c>
      <c r="AB15">
        <v>0.01</v>
      </c>
      <c r="AC15">
        <v>9.0500000000000007</v>
      </c>
      <c r="AD15">
        <v>38.68</v>
      </c>
      <c r="AE15">
        <v>0.38</v>
      </c>
      <c r="AF15">
        <v>0</v>
      </c>
      <c r="AG15">
        <v>1.63</v>
      </c>
      <c r="AH15">
        <v>42.67</v>
      </c>
      <c r="AI15">
        <v>16.54</v>
      </c>
      <c r="AJ15">
        <v>0</v>
      </c>
      <c r="AK15">
        <v>0</v>
      </c>
      <c r="AL15">
        <v>0</v>
      </c>
      <c r="AM15">
        <v>0.1</v>
      </c>
      <c r="AN15">
        <f t="shared" si="1"/>
        <v>2</v>
      </c>
      <c r="AO15" t="str">
        <f t="shared" si="2"/>
        <v>Monday</v>
      </c>
    </row>
    <row r="16" spans="1:52" x14ac:dyDescent="0.2">
      <c r="A16" t="s">
        <v>40</v>
      </c>
      <c r="B16" s="1">
        <v>46055</v>
      </c>
      <c r="C16" s="1">
        <f t="shared" si="0"/>
        <v>46081</v>
      </c>
      <c r="D16">
        <v>68</v>
      </c>
      <c r="E16">
        <v>161</v>
      </c>
      <c r="F16">
        <v>12</v>
      </c>
      <c r="G16">
        <v>5</v>
      </c>
      <c r="H16">
        <v>5</v>
      </c>
      <c r="I16">
        <v>0</v>
      </c>
      <c r="J16">
        <v>1</v>
      </c>
      <c r="K16">
        <v>94</v>
      </c>
      <c r="L16" t="s">
        <v>40</v>
      </c>
      <c r="M16" t="s">
        <v>38</v>
      </c>
      <c r="N16" s="1">
        <v>46055</v>
      </c>
      <c r="O16" s="2">
        <v>0.58387731481481486</v>
      </c>
      <c r="P16" s="2">
        <v>0.95840277777777783</v>
      </c>
      <c r="Q16">
        <v>9</v>
      </c>
      <c r="R16">
        <v>9.02</v>
      </c>
      <c r="S16">
        <v>2.61</v>
      </c>
      <c r="T16">
        <v>0.51</v>
      </c>
      <c r="U16">
        <v>0</v>
      </c>
      <c r="V16">
        <v>0.26</v>
      </c>
      <c r="W16">
        <v>3.14</v>
      </c>
      <c r="X16">
        <v>1.51</v>
      </c>
      <c r="Y16">
        <v>0.99</v>
      </c>
      <c r="Z16">
        <v>0</v>
      </c>
      <c r="AA16">
        <v>0</v>
      </c>
      <c r="AB16">
        <v>0</v>
      </c>
      <c r="AC16">
        <v>9.02</v>
      </c>
      <c r="AD16">
        <v>28.91</v>
      </c>
      <c r="AE16">
        <v>5.64</v>
      </c>
      <c r="AF16">
        <v>0</v>
      </c>
      <c r="AG16">
        <v>2.88</v>
      </c>
      <c r="AH16">
        <v>34.86</v>
      </c>
      <c r="AI16">
        <v>16.73</v>
      </c>
      <c r="AJ16">
        <v>10.93</v>
      </c>
      <c r="AK16">
        <v>0</v>
      </c>
      <c r="AL16">
        <v>0</v>
      </c>
      <c r="AM16">
        <v>0.05</v>
      </c>
      <c r="AN16">
        <f t="shared" si="1"/>
        <v>2</v>
      </c>
      <c r="AO16" t="str">
        <f t="shared" si="2"/>
        <v>Monday</v>
      </c>
    </row>
    <row r="17" spans="1:41" x14ac:dyDescent="0.2">
      <c r="A17" t="s">
        <v>44</v>
      </c>
      <c r="B17" s="1">
        <v>46055</v>
      </c>
      <c r="C17" s="1">
        <f t="shared" si="0"/>
        <v>46081</v>
      </c>
      <c r="D17">
        <v>1</v>
      </c>
      <c r="E17">
        <v>1</v>
      </c>
      <c r="F17">
        <v>0</v>
      </c>
      <c r="G17">
        <v>0</v>
      </c>
      <c r="H17">
        <v>0</v>
      </c>
      <c r="I17">
        <v>0</v>
      </c>
      <c r="J17">
        <v>0</v>
      </c>
      <c r="K17">
        <v>0</v>
      </c>
      <c r="AN17">
        <f t="shared" si="1"/>
        <v>2</v>
      </c>
      <c r="AO17" t="str">
        <f t="shared" si="2"/>
        <v>Monday</v>
      </c>
    </row>
    <row r="18" spans="1:41" x14ac:dyDescent="0.2">
      <c r="A18" t="s">
        <v>42</v>
      </c>
      <c r="B18" s="1">
        <v>46055</v>
      </c>
      <c r="C18" s="1">
        <f t="shared" si="0"/>
        <v>46081</v>
      </c>
      <c r="D18">
        <v>2</v>
      </c>
      <c r="E18">
        <v>2</v>
      </c>
      <c r="F18">
        <v>0</v>
      </c>
      <c r="G18">
        <v>0</v>
      </c>
      <c r="H18">
        <v>2</v>
      </c>
      <c r="I18">
        <v>0</v>
      </c>
      <c r="J18">
        <v>0</v>
      </c>
      <c r="K18">
        <v>0</v>
      </c>
      <c r="L18" t="s">
        <v>42</v>
      </c>
      <c r="M18" t="s">
        <v>38</v>
      </c>
      <c r="N18" s="1">
        <v>46055</v>
      </c>
      <c r="O18" s="2">
        <v>0.71134259259259258</v>
      </c>
      <c r="P18" s="2">
        <v>0.90165509259259258</v>
      </c>
      <c r="Q18">
        <v>4.57</v>
      </c>
      <c r="R18">
        <v>4.57</v>
      </c>
      <c r="S18">
        <v>4.55</v>
      </c>
      <c r="T18">
        <v>0</v>
      </c>
      <c r="U18">
        <v>0</v>
      </c>
      <c r="V18">
        <v>0.01</v>
      </c>
      <c r="W18">
        <v>0</v>
      </c>
      <c r="X18">
        <v>0</v>
      </c>
      <c r="Y18">
        <v>0</v>
      </c>
      <c r="Z18">
        <v>0</v>
      </c>
      <c r="AA18">
        <v>0</v>
      </c>
      <c r="AB18">
        <v>0</v>
      </c>
      <c r="AC18">
        <v>4.57</v>
      </c>
      <c r="AD18">
        <v>99.61</v>
      </c>
      <c r="AE18">
        <v>0</v>
      </c>
      <c r="AF18">
        <v>0</v>
      </c>
      <c r="AG18">
        <v>0.28999999999999998</v>
      </c>
      <c r="AH18">
        <v>0</v>
      </c>
      <c r="AI18">
        <v>0</v>
      </c>
      <c r="AJ18">
        <v>0</v>
      </c>
      <c r="AK18">
        <v>0</v>
      </c>
      <c r="AL18">
        <v>0</v>
      </c>
      <c r="AM18">
        <v>0.1</v>
      </c>
      <c r="AN18">
        <f t="shared" si="1"/>
        <v>2</v>
      </c>
      <c r="AO18" t="str">
        <f t="shared" si="2"/>
        <v>Monday</v>
      </c>
    </row>
    <row r="19" spans="1:41" x14ac:dyDescent="0.2">
      <c r="A19" t="s">
        <v>43</v>
      </c>
      <c r="B19" s="1">
        <v>46055</v>
      </c>
      <c r="C19" s="1">
        <f t="shared" si="0"/>
        <v>46081</v>
      </c>
      <c r="D19">
        <v>78</v>
      </c>
      <c r="E19">
        <v>179</v>
      </c>
      <c r="F19">
        <v>14</v>
      </c>
      <c r="G19">
        <v>4</v>
      </c>
      <c r="H19">
        <v>15</v>
      </c>
      <c r="I19">
        <v>0</v>
      </c>
      <c r="J19">
        <v>0</v>
      </c>
      <c r="K19">
        <v>85</v>
      </c>
      <c r="L19" t="s">
        <v>43</v>
      </c>
      <c r="M19" t="s">
        <v>38</v>
      </c>
      <c r="N19" s="1">
        <v>46055</v>
      </c>
      <c r="O19" s="2">
        <v>0.58296296296296302</v>
      </c>
      <c r="P19" s="2">
        <v>0.95894675925925921</v>
      </c>
      <c r="Q19">
        <v>9.02</v>
      </c>
      <c r="R19">
        <v>9.02</v>
      </c>
      <c r="S19">
        <v>3.4</v>
      </c>
      <c r="T19">
        <v>0.14000000000000001</v>
      </c>
      <c r="U19">
        <v>0</v>
      </c>
      <c r="V19">
        <v>0.51</v>
      </c>
      <c r="W19">
        <v>3.72</v>
      </c>
      <c r="X19">
        <v>1.25</v>
      </c>
      <c r="Y19">
        <v>0</v>
      </c>
      <c r="Z19">
        <v>0</v>
      </c>
      <c r="AA19">
        <v>0</v>
      </c>
      <c r="AB19">
        <v>0</v>
      </c>
      <c r="AC19">
        <v>9.02</v>
      </c>
      <c r="AD19">
        <v>37.630000000000003</v>
      </c>
      <c r="AE19">
        <v>1.55</v>
      </c>
      <c r="AF19">
        <v>0</v>
      </c>
      <c r="AG19">
        <v>5.7</v>
      </c>
      <c r="AH19">
        <v>41.18</v>
      </c>
      <c r="AI19">
        <v>13.89</v>
      </c>
      <c r="AJ19">
        <v>0</v>
      </c>
      <c r="AK19">
        <v>0</v>
      </c>
      <c r="AL19">
        <v>0</v>
      </c>
      <c r="AM19">
        <v>0.05</v>
      </c>
      <c r="AN19">
        <f t="shared" si="1"/>
        <v>2</v>
      </c>
      <c r="AO19" t="str">
        <f t="shared" si="2"/>
        <v>Monday</v>
      </c>
    </row>
    <row r="20" spans="1:41" x14ac:dyDescent="0.2">
      <c r="B20" s="1">
        <v>46055</v>
      </c>
      <c r="C20" s="1">
        <f t="shared" si="0"/>
        <v>46081</v>
      </c>
      <c r="D20">
        <v>1191</v>
      </c>
      <c r="E20">
        <v>0</v>
      </c>
      <c r="F20">
        <v>0</v>
      </c>
      <c r="G20">
        <v>0</v>
      </c>
      <c r="H20">
        <v>0</v>
      </c>
      <c r="I20">
        <v>0</v>
      </c>
      <c r="J20">
        <v>0</v>
      </c>
      <c r="K20">
        <v>0</v>
      </c>
      <c r="AN20">
        <f t="shared" si="1"/>
        <v>2</v>
      </c>
      <c r="AO20" t="str">
        <f t="shared" si="2"/>
        <v>Monday</v>
      </c>
    </row>
    <row r="21" spans="1:41" x14ac:dyDescent="0.2">
      <c r="A21" t="s">
        <v>37</v>
      </c>
      <c r="B21" s="1">
        <v>46052</v>
      </c>
      <c r="C21" s="1">
        <f t="shared" si="0"/>
        <v>46053</v>
      </c>
      <c r="D21">
        <v>54</v>
      </c>
      <c r="E21">
        <v>118</v>
      </c>
      <c r="F21">
        <v>4</v>
      </c>
      <c r="G21">
        <v>1</v>
      </c>
      <c r="H21">
        <v>7</v>
      </c>
      <c r="I21">
        <v>0</v>
      </c>
      <c r="J21">
        <v>3</v>
      </c>
      <c r="K21">
        <v>63</v>
      </c>
      <c r="L21" t="s">
        <v>37</v>
      </c>
      <c r="M21" t="s">
        <v>38</v>
      </c>
      <c r="N21" s="1">
        <v>46052</v>
      </c>
      <c r="O21" s="2">
        <v>0.58216435185185189</v>
      </c>
      <c r="P21" s="2">
        <v>0.9584259259259259</v>
      </c>
      <c r="Q21">
        <v>9.0299999999999994</v>
      </c>
      <c r="R21">
        <v>8.1199999999999992</v>
      </c>
      <c r="S21">
        <v>2.63</v>
      </c>
      <c r="T21">
        <v>0.28000000000000003</v>
      </c>
      <c r="U21">
        <v>0</v>
      </c>
      <c r="V21">
        <v>0.31</v>
      </c>
      <c r="W21">
        <v>3.73</v>
      </c>
      <c r="X21">
        <v>0.6</v>
      </c>
      <c r="Y21">
        <v>0.53</v>
      </c>
      <c r="Z21">
        <v>0</v>
      </c>
      <c r="AA21">
        <v>0</v>
      </c>
      <c r="AB21">
        <v>0.04</v>
      </c>
      <c r="AC21">
        <v>8.1199999999999992</v>
      </c>
      <c r="AD21">
        <v>32.39</v>
      </c>
      <c r="AE21">
        <v>3.41</v>
      </c>
      <c r="AF21">
        <v>0</v>
      </c>
      <c r="AG21">
        <v>3.84</v>
      </c>
      <c r="AH21">
        <v>45.97</v>
      </c>
      <c r="AI21">
        <v>7.34</v>
      </c>
      <c r="AJ21">
        <v>6.51</v>
      </c>
      <c r="AK21">
        <v>0</v>
      </c>
      <c r="AL21">
        <v>0</v>
      </c>
      <c r="AM21">
        <v>0.53</v>
      </c>
      <c r="AN21">
        <f t="shared" si="1"/>
        <v>6</v>
      </c>
      <c r="AO21" t="str">
        <f t="shared" si="2"/>
        <v>Friday</v>
      </c>
    </row>
    <row r="22" spans="1:41" x14ac:dyDescent="0.2">
      <c r="A22" t="s">
        <v>39</v>
      </c>
      <c r="B22" s="1">
        <v>46052</v>
      </c>
      <c r="C22" s="1">
        <f t="shared" si="0"/>
        <v>46053</v>
      </c>
      <c r="D22">
        <v>77</v>
      </c>
      <c r="E22">
        <v>153</v>
      </c>
      <c r="F22">
        <v>13</v>
      </c>
      <c r="G22">
        <v>8</v>
      </c>
      <c r="H22">
        <v>28</v>
      </c>
      <c r="I22">
        <v>2</v>
      </c>
      <c r="J22">
        <v>0</v>
      </c>
      <c r="K22">
        <v>74</v>
      </c>
      <c r="L22" t="s">
        <v>39</v>
      </c>
      <c r="M22" t="s">
        <v>38</v>
      </c>
      <c r="N22" s="1">
        <v>46052</v>
      </c>
      <c r="O22" s="2">
        <v>0.58307870370370374</v>
      </c>
      <c r="P22" s="2">
        <v>0.9584259259259259</v>
      </c>
      <c r="Q22">
        <v>9.02</v>
      </c>
      <c r="R22">
        <v>9.01</v>
      </c>
      <c r="S22">
        <v>3.37</v>
      </c>
      <c r="T22">
        <v>0.21</v>
      </c>
      <c r="U22">
        <v>0</v>
      </c>
      <c r="V22">
        <v>0.12</v>
      </c>
      <c r="W22">
        <v>3.84</v>
      </c>
      <c r="X22">
        <v>1.45</v>
      </c>
      <c r="Y22">
        <v>0</v>
      </c>
      <c r="Z22">
        <v>0</v>
      </c>
      <c r="AA22">
        <v>0</v>
      </c>
      <c r="AB22">
        <v>0.01</v>
      </c>
      <c r="AC22">
        <v>9.01</v>
      </c>
      <c r="AD22">
        <v>37.46</v>
      </c>
      <c r="AE22">
        <v>2.31</v>
      </c>
      <c r="AF22">
        <v>0</v>
      </c>
      <c r="AG22">
        <v>1.33</v>
      </c>
      <c r="AH22">
        <v>42.68</v>
      </c>
      <c r="AI22">
        <v>16.14</v>
      </c>
      <c r="AJ22">
        <v>0</v>
      </c>
      <c r="AK22">
        <v>0</v>
      </c>
      <c r="AL22">
        <v>0</v>
      </c>
      <c r="AM22">
        <v>0.08</v>
      </c>
      <c r="AN22">
        <f t="shared" si="1"/>
        <v>6</v>
      </c>
      <c r="AO22" t="str">
        <f t="shared" si="2"/>
        <v>Friday</v>
      </c>
    </row>
    <row r="23" spans="1:41" x14ac:dyDescent="0.2">
      <c r="A23" t="s">
        <v>40</v>
      </c>
      <c r="B23" s="1">
        <v>46052</v>
      </c>
      <c r="C23" s="1">
        <f t="shared" si="0"/>
        <v>46053</v>
      </c>
      <c r="D23">
        <v>62</v>
      </c>
      <c r="E23">
        <v>134</v>
      </c>
      <c r="F23">
        <v>8</v>
      </c>
      <c r="G23">
        <v>9</v>
      </c>
      <c r="H23">
        <v>8</v>
      </c>
      <c r="I23">
        <v>1</v>
      </c>
      <c r="J23">
        <v>3</v>
      </c>
      <c r="K23">
        <v>72</v>
      </c>
      <c r="L23" t="s">
        <v>40</v>
      </c>
      <c r="M23" t="s">
        <v>38</v>
      </c>
      <c r="N23" s="1">
        <v>46052</v>
      </c>
      <c r="O23" s="2">
        <v>0.58329861111111114</v>
      </c>
      <c r="P23" s="2">
        <v>0.95840277777777783</v>
      </c>
      <c r="Q23">
        <v>9.02</v>
      </c>
      <c r="R23">
        <v>9</v>
      </c>
      <c r="S23">
        <v>2.63</v>
      </c>
      <c r="T23">
        <v>0.31</v>
      </c>
      <c r="U23">
        <v>0</v>
      </c>
      <c r="V23">
        <v>0.33</v>
      </c>
      <c r="W23">
        <v>4.21</v>
      </c>
      <c r="X23">
        <v>1.51</v>
      </c>
      <c r="Y23">
        <v>0</v>
      </c>
      <c r="Z23">
        <v>0</v>
      </c>
      <c r="AA23">
        <v>0</v>
      </c>
      <c r="AB23">
        <v>0</v>
      </c>
      <c r="AC23">
        <v>9</v>
      </c>
      <c r="AD23">
        <v>29.19</v>
      </c>
      <c r="AE23">
        <v>3.49</v>
      </c>
      <c r="AF23">
        <v>0</v>
      </c>
      <c r="AG23">
        <v>3.68</v>
      </c>
      <c r="AH23">
        <v>46.77</v>
      </c>
      <c r="AI23">
        <v>16.829999999999998</v>
      </c>
      <c r="AJ23">
        <v>0</v>
      </c>
      <c r="AK23">
        <v>0</v>
      </c>
      <c r="AL23">
        <v>0</v>
      </c>
      <c r="AM23">
        <v>0.04</v>
      </c>
      <c r="AN23">
        <f t="shared" si="1"/>
        <v>6</v>
      </c>
      <c r="AO23" t="str">
        <f t="shared" si="2"/>
        <v>Friday</v>
      </c>
    </row>
    <row r="24" spans="1:41" x14ac:dyDescent="0.2">
      <c r="A24" t="s">
        <v>41</v>
      </c>
      <c r="B24" s="1">
        <v>46052</v>
      </c>
      <c r="C24" s="1">
        <f t="shared" si="0"/>
        <v>46053</v>
      </c>
      <c r="D24">
        <v>34</v>
      </c>
      <c r="E24">
        <v>58</v>
      </c>
      <c r="F24">
        <v>1</v>
      </c>
      <c r="G24">
        <v>3</v>
      </c>
      <c r="H24">
        <v>5</v>
      </c>
      <c r="I24">
        <v>0</v>
      </c>
      <c r="J24">
        <v>5</v>
      </c>
      <c r="K24">
        <v>29</v>
      </c>
      <c r="L24" t="s">
        <v>41</v>
      </c>
      <c r="M24" t="s">
        <v>38</v>
      </c>
      <c r="N24" s="1">
        <v>46052</v>
      </c>
      <c r="O24" s="2">
        <v>0.58324074074074073</v>
      </c>
      <c r="P24" s="2">
        <v>0.77041666666666664</v>
      </c>
      <c r="Q24">
        <v>4.5</v>
      </c>
      <c r="R24">
        <v>4.49</v>
      </c>
      <c r="S24">
        <v>1.36</v>
      </c>
      <c r="T24">
        <v>0.57999999999999996</v>
      </c>
      <c r="U24">
        <v>0</v>
      </c>
      <c r="V24">
        <v>0.12</v>
      </c>
      <c r="W24">
        <v>2.12</v>
      </c>
      <c r="X24">
        <v>0.3</v>
      </c>
      <c r="Y24">
        <v>0</v>
      </c>
      <c r="Z24">
        <v>0</v>
      </c>
      <c r="AA24">
        <v>0</v>
      </c>
      <c r="AB24">
        <v>0</v>
      </c>
      <c r="AC24">
        <v>4.49</v>
      </c>
      <c r="AD24">
        <v>30.22</v>
      </c>
      <c r="AE24">
        <v>12.98</v>
      </c>
      <c r="AF24">
        <v>0</v>
      </c>
      <c r="AG24">
        <v>2.68</v>
      </c>
      <c r="AH24">
        <v>47.28</v>
      </c>
      <c r="AI24">
        <v>6.75</v>
      </c>
      <c r="AJ24">
        <v>0</v>
      </c>
      <c r="AK24">
        <v>0</v>
      </c>
      <c r="AL24">
        <v>0</v>
      </c>
      <c r="AM24">
        <v>0.09</v>
      </c>
      <c r="AN24">
        <f t="shared" si="1"/>
        <v>6</v>
      </c>
      <c r="AO24" t="str">
        <f t="shared" si="2"/>
        <v>Friday</v>
      </c>
    </row>
    <row r="25" spans="1:41" x14ac:dyDescent="0.2">
      <c r="A25" t="s">
        <v>44</v>
      </c>
      <c r="B25" s="1">
        <v>46052</v>
      </c>
      <c r="C25" s="1">
        <f t="shared" si="0"/>
        <v>46053</v>
      </c>
      <c r="D25">
        <v>1</v>
      </c>
      <c r="E25">
        <v>4</v>
      </c>
      <c r="F25">
        <v>0</v>
      </c>
      <c r="G25">
        <v>0</v>
      </c>
      <c r="H25">
        <v>0</v>
      </c>
      <c r="I25">
        <v>0</v>
      </c>
      <c r="J25">
        <v>1</v>
      </c>
      <c r="K25">
        <v>0</v>
      </c>
      <c r="AN25">
        <f t="shared" si="1"/>
        <v>6</v>
      </c>
      <c r="AO25" t="str">
        <f t="shared" si="2"/>
        <v>Friday</v>
      </c>
    </row>
    <row r="26" spans="1:41" x14ac:dyDescent="0.2">
      <c r="A26" t="s">
        <v>43</v>
      </c>
      <c r="B26" s="1">
        <v>46052</v>
      </c>
      <c r="C26" s="1">
        <f t="shared" si="0"/>
        <v>46053</v>
      </c>
      <c r="D26">
        <v>48</v>
      </c>
      <c r="E26">
        <v>124</v>
      </c>
      <c r="F26">
        <v>8</v>
      </c>
      <c r="G26">
        <v>5</v>
      </c>
      <c r="H26">
        <v>6</v>
      </c>
      <c r="I26">
        <v>1</v>
      </c>
      <c r="J26">
        <v>0</v>
      </c>
      <c r="K26">
        <v>70</v>
      </c>
      <c r="L26" t="s">
        <v>43</v>
      </c>
      <c r="M26" t="s">
        <v>38</v>
      </c>
      <c r="N26" s="1">
        <v>46052</v>
      </c>
      <c r="O26" s="2">
        <v>0.58356481481481481</v>
      </c>
      <c r="P26" s="2">
        <v>0.95894675925925921</v>
      </c>
      <c r="Q26">
        <v>9</v>
      </c>
      <c r="R26">
        <v>9.01</v>
      </c>
      <c r="S26">
        <v>1.52</v>
      </c>
      <c r="T26">
        <v>0.17</v>
      </c>
      <c r="U26">
        <v>0</v>
      </c>
      <c r="V26">
        <v>0.59</v>
      </c>
      <c r="W26">
        <v>4.08</v>
      </c>
      <c r="X26">
        <v>1.92</v>
      </c>
      <c r="Y26">
        <v>0.71</v>
      </c>
      <c r="Z26">
        <v>0</v>
      </c>
      <c r="AA26">
        <v>0.02</v>
      </c>
      <c r="AB26">
        <v>0</v>
      </c>
      <c r="AC26">
        <v>9.01</v>
      </c>
      <c r="AD26">
        <v>16.829999999999998</v>
      </c>
      <c r="AE26">
        <v>1.91</v>
      </c>
      <c r="AF26">
        <v>0</v>
      </c>
      <c r="AG26">
        <v>6.57</v>
      </c>
      <c r="AH26">
        <v>45.27</v>
      </c>
      <c r="AI26">
        <v>21.29</v>
      </c>
      <c r="AJ26">
        <v>7.91</v>
      </c>
      <c r="AK26">
        <v>0</v>
      </c>
      <c r="AL26">
        <v>0.19</v>
      </c>
      <c r="AM26">
        <v>0.03</v>
      </c>
      <c r="AN26">
        <f t="shared" si="1"/>
        <v>6</v>
      </c>
      <c r="AO26" t="str">
        <f t="shared" si="2"/>
        <v>Friday</v>
      </c>
    </row>
    <row r="27" spans="1:41" x14ac:dyDescent="0.2">
      <c r="B27" s="1">
        <v>46052</v>
      </c>
      <c r="C27" s="1">
        <f t="shared" si="0"/>
        <v>46053</v>
      </c>
      <c r="D27">
        <v>1231</v>
      </c>
      <c r="E27">
        <v>0</v>
      </c>
      <c r="F27">
        <v>0</v>
      </c>
      <c r="G27">
        <v>0</v>
      </c>
      <c r="H27">
        <v>0</v>
      </c>
      <c r="I27">
        <v>0</v>
      </c>
      <c r="J27">
        <v>0</v>
      </c>
      <c r="K27">
        <v>0</v>
      </c>
      <c r="AN27">
        <f t="shared" si="1"/>
        <v>6</v>
      </c>
      <c r="AO27" t="str">
        <f t="shared" si="2"/>
        <v>Friday</v>
      </c>
    </row>
    <row r="28" spans="1:41" x14ac:dyDescent="0.2">
      <c r="A28" t="s">
        <v>37</v>
      </c>
      <c r="B28" s="1">
        <v>46051</v>
      </c>
      <c r="C28" s="1">
        <f t="shared" si="0"/>
        <v>46053</v>
      </c>
      <c r="D28">
        <v>36</v>
      </c>
      <c r="E28">
        <v>42</v>
      </c>
      <c r="F28">
        <v>3</v>
      </c>
      <c r="G28">
        <v>4</v>
      </c>
      <c r="H28">
        <v>3</v>
      </c>
      <c r="I28">
        <v>0</v>
      </c>
      <c r="J28">
        <v>1</v>
      </c>
      <c r="K28">
        <v>1</v>
      </c>
      <c r="L28" t="s">
        <v>37</v>
      </c>
      <c r="M28" t="s">
        <v>38</v>
      </c>
      <c r="N28" s="1">
        <v>46051</v>
      </c>
      <c r="O28" s="2">
        <v>0.58347222222222217</v>
      </c>
      <c r="P28" s="2">
        <v>0.95834490740740741</v>
      </c>
      <c r="Q28">
        <v>9</v>
      </c>
      <c r="R28">
        <v>9</v>
      </c>
      <c r="S28">
        <v>3.49</v>
      </c>
      <c r="T28">
        <v>0.31</v>
      </c>
      <c r="U28">
        <v>0</v>
      </c>
      <c r="V28">
        <v>0.28000000000000003</v>
      </c>
      <c r="W28">
        <v>1.95</v>
      </c>
      <c r="X28">
        <v>1.45</v>
      </c>
      <c r="Y28">
        <v>1.52</v>
      </c>
      <c r="Z28">
        <v>0</v>
      </c>
      <c r="AA28">
        <v>0</v>
      </c>
      <c r="AB28">
        <v>0</v>
      </c>
      <c r="AC28">
        <v>9</v>
      </c>
      <c r="AD28">
        <v>38.79</v>
      </c>
      <c r="AE28">
        <v>3.43</v>
      </c>
      <c r="AF28">
        <v>0</v>
      </c>
      <c r="AG28">
        <v>3.09</v>
      </c>
      <c r="AH28">
        <v>21.65</v>
      </c>
      <c r="AI28">
        <v>16.12</v>
      </c>
      <c r="AJ28">
        <v>16.88</v>
      </c>
      <c r="AK28">
        <v>0</v>
      </c>
      <c r="AL28">
        <v>0</v>
      </c>
      <c r="AM28">
        <v>0.05</v>
      </c>
      <c r="AN28">
        <f t="shared" si="1"/>
        <v>5</v>
      </c>
      <c r="AO28" t="str">
        <f t="shared" si="2"/>
        <v>Thursday</v>
      </c>
    </row>
    <row r="29" spans="1:41" x14ac:dyDescent="0.2">
      <c r="A29" t="s">
        <v>39</v>
      </c>
      <c r="B29" s="1">
        <v>46051</v>
      </c>
      <c r="C29" s="1">
        <f t="shared" si="0"/>
        <v>46053</v>
      </c>
      <c r="D29">
        <v>70</v>
      </c>
      <c r="E29">
        <v>78</v>
      </c>
      <c r="F29">
        <v>4</v>
      </c>
      <c r="G29">
        <v>1</v>
      </c>
      <c r="H29">
        <v>9</v>
      </c>
      <c r="I29">
        <v>1</v>
      </c>
      <c r="J29">
        <v>1</v>
      </c>
      <c r="K29">
        <v>1</v>
      </c>
      <c r="L29" t="s">
        <v>39</v>
      </c>
      <c r="M29" t="s">
        <v>38</v>
      </c>
      <c r="N29" s="1">
        <v>46051</v>
      </c>
      <c r="O29" s="2">
        <v>0.58348379629629632</v>
      </c>
      <c r="P29" s="2">
        <v>0.95994212962962966</v>
      </c>
      <c r="Q29">
        <v>9.0299999999999994</v>
      </c>
      <c r="R29">
        <v>9.0399999999999991</v>
      </c>
      <c r="S29">
        <v>2.68</v>
      </c>
      <c r="T29">
        <v>0.1</v>
      </c>
      <c r="U29">
        <v>0</v>
      </c>
      <c r="V29">
        <v>0.16</v>
      </c>
      <c r="W29">
        <v>2.95</v>
      </c>
      <c r="X29">
        <v>1.41</v>
      </c>
      <c r="Y29">
        <v>1.73</v>
      </c>
      <c r="Z29">
        <v>0</v>
      </c>
      <c r="AA29">
        <v>0</v>
      </c>
      <c r="AB29">
        <v>0.01</v>
      </c>
      <c r="AC29">
        <v>9.0399999999999991</v>
      </c>
      <c r="AD29">
        <v>29.68</v>
      </c>
      <c r="AE29">
        <v>1.1000000000000001</v>
      </c>
      <c r="AF29">
        <v>0</v>
      </c>
      <c r="AG29">
        <v>1.75</v>
      </c>
      <c r="AH29">
        <v>32.659999999999997</v>
      </c>
      <c r="AI29">
        <v>15.56</v>
      </c>
      <c r="AJ29">
        <v>19.18</v>
      </c>
      <c r="AK29">
        <v>0</v>
      </c>
      <c r="AL29">
        <v>0</v>
      </c>
      <c r="AM29">
        <v>0.06</v>
      </c>
      <c r="AN29">
        <f t="shared" si="1"/>
        <v>5</v>
      </c>
      <c r="AO29" t="str">
        <f t="shared" si="2"/>
        <v>Thursday</v>
      </c>
    </row>
    <row r="30" spans="1:41" x14ac:dyDescent="0.2">
      <c r="A30" t="s">
        <v>40</v>
      </c>
      <c r="B30" s="1">
        <v>46051</v>
      </c>
      <c r="C30" s="1">
        <f t="shared" si="0"/>
        <v>46053</v>
      </c>
      <c r="D30">
        <v>65</v>
      </c>
      <c r="E30">
        <v>82</v>
      </c>
      <c r="F30">
        <v>5</v>
      </c>
      <c r="G30">
        <v>1</v>
      </c>
      <c r="H30">
        <v>7</v>
      </c>
      <c r="I30">
        <v>0</v>
      </c>
      <c r="J30">
        <v>0</v>
      </c>
      <c r="K30">
        <v>9</v>
      </c>
      <c r="L30" t="s">
        <v>40</v>
      </c>
      <c r="M30" t="s">
        <v>38</v>
      </c>
      <c r="N30" s="1">
        <v>46051</v>
      </c>
      <c r="O30" s="2">
        <v>0.58339120370370368</v>
      </c>
      <c r="P30" s="2">
        <v>0.95843750000000005</v>
      </c>
      <c r="Q30">
        <v>9</v>
      </c>
      <c r="R30">
        <v>9</v>
      </c>
      <c r="S30">
        <v>1.55</v>
      </c>
      <c r="T30">
        <v>0.41</v>
      </c>
      <c r="U30">
        <v>0</v>
      </c>
      <c r="V30">
        <v>0.42</v>
      </c>
      <c r="W30">
        <v>3.54</v>
      </c>
      <c r="X30">
        <v>1.53</v>
      </c>
      <c r="Y30">
        <v>1.5</v>
      </c>
      <c r="Z30">
        <v>0</v>
      </c>
      <c r="AA30">
        <v>0.04</v>
      </c>
      <c r="AB30">
        <v>0</v>
      </c>
      <c r="AC30">
        <v>9</v>
      </c>
      <c r="AD30">
        <v>17.239999999999998</v>
      </c>
      <c r="AE30">
        <v>4.5999999999999996</v>
      </c>
      <c r="AF30">
        <v>0</v>
      </c>
      <c r="AG30">
        <v>4.71</v>
      </c>
      <c r="AH30">
        <v>39.36</v>
      </c>
      <c r="AI30">
        <v>16.989999999999998</v>
      </c>
      <c r="AJ30">
        <v>16.68</v>
      </c>
      <c r="AK30">
        <v>0</v>
      </c>
      <c r="AL30">
        <v>0.4</v>
      </c>
      <c r="AM30">
        <v>0.03</v>
      </c>
      <c r="AN30">
        <f t="shared" si="1"/>
        <v>5</v>
      </c>
      <c r="AO30" t="str">
        <f t="shared" si="2"/>
        <v>Thursday</v>
      </c>
    </row>
    <row r="31" spans="1:41" x14ac:dyDescent="0.2">
      <c r="A31" t="s">
        <v>41</v>
      </c>
      <c r="B31" s="1">
        <v>46051</v>
      </c>
      <c r="C31" s="1">
        <f t="shared" si="0"/>
        <v>46053</v>
      </c>
      <c r="D31">
        <v>73</v>
      </c>
      <c r="E31">
        <v>81</v>
      </c>
      <c r="F31">
        <v>7</v>
      </c>
      <c r="G31">
        <v>5</v>
      </c>
      <c r="H31">
        <v>10</v>
      </c>
      <c r="I31">
        <v>0</v>
      </c>
      <c r="J31">
        <v>3</v>
      </c>
      <c r="K31">
        <v>0</v>
      </c>
      <c r="L31" t="s">
        <v>41</v>
      </c>
      <c r="M31" t="s">
        <v>38</v>
      </c>
      <c r="N31" s="1">
        <v>46051</v>
      </c>
      <c r="O31" s="2">
        <v>0.58325231481481477</v>
      </c>
      <c r="P31" s="2">
        <v>0.95841435185185186</v>
      </c>
      <c r="Q31">
        <v>9.02</v>
      </c>
      <c r="R31">
        <v>9</v>
      </c>
      <c r="S31">
        <v>2.0499999999999998</v>
      </c>
      <c r="T31">
        <v>0.6</v>
      </c>
      <c r="U31">
        <v>0</v>
      </c>
      <c r="V31">
        <v>0.28999999999999998</v>
      </c>
      <c r="W31">
        <v>3.12</v>
      </c>
      <c r="X31">
        <v>1.46</v>
      </c>
      <c r="Y31">
        <v>1.48</v>
      </c>
      <c r="Z31">
        <v>0</v>
      </c>
      <c r="AA31">
        <v>0</v>
      </c>
      <c r="AB31">
        <v>0.01</v>
      </c>
      <c r="AC31">
        <v>9</v>
      </c>
      <c r="AD31">
        <v>22.81</v>
      </c>
      <c r="AE31">
        <v>6.64</v>
      </c>
      <c r="AF31">
        <v>0</v>
      </c>
      <c r="AG31">
        <v>3.23</v>
      </c>
      <c r="AH31">
        <v>34.67</v>
      </c>
      <c r="AI31">
        <v>16.190000000000001</v>
      </c>
      <c r="AJ31">
        <v>16.399999999999999</v>
      </c>
      <c r="AK31">
        <v>0</v>
      </c>
      <c r="AL31">
        <v>0</v>
      </c>
      <c r="AM31">
        <v>0.06</v>
      </c>
      <c r="AN31">
        <f t="shared" si="1"/>
        <v>5</v>
      </c>
      <c r="AO31" t="str">
        <f t="shared" si="2"/>
        <v>Thursday</v>
      </c>
    </row>
    <row r="32" spans="1:41" x14ac:dyDescent="0.2">
      <c r="A32" t="s">
        <v>43</v>
      </c>
      <c r="B32" s="1">
        <v>46051</v>
      </c>
      <c r="C32" s="1">
        <f t="shared" si="0"/>
        <v>46053</v>
      </c>
      <c r="D32">
        <v>44</v>
      </c>
      <c r="E32">
        <v>62</v>
      </c>
      <c r="F32">
        <v>3</v>
      </c>
      <c r="G32">
        <v>4</v>
      </c>
      <c r="H32">
        <v>8</v>
      </c>
      <c r="I32">
        <v>0</v>
      </c>
      <c r="J32">
        <v>0</v>
      </c>
      <c r="K32">
        <v>0</v>
      </c>
      <c r="L32" t="s">
        <v>43</v>
      </c>
      <c r="M32" t="s">
        <v>38</v>
      </c>
      <c r="N32" s="1">
        <v>46051</v>
      </c>
      <c r="O32" s="2">
        <v>0.58293981481481483</v>
      </c>
      <c r="P32" s="2">
        <v>0.95906250000000004</v>
      </c>
      <c r="Q32">
        <v>9.0299999999999994</v>
      </c>
      <c r="R32">
        <v>9.02</v>
      </c>
      <c r="S32">
        <v>2.04</v>
      </c>
      <c r="T32">
        <v>0.1</v>
      </c>
      <c r="U32">
        <v>0</v>
      </c>
      <c r="V32">
        <v>0.66</v>
      </c>
      <c r="W32">
        <v>3.27</v>
      </c>
      <c r="X32">
        <v>1.45</v>
      </c>
      <c r="Y32">
        <v>1.5</v>
      </c>
      <c r="Z32">
        <v>0</v>
      </c>
      <c r="AA32">
        <v>0</v>
      </c>
      <c r="AB32">
        <v>0.01</v>
      </c>
      <c r="AC32">
        <v>9.02</v>
      </c>
      <c r="AD32">
        <v>22.63</v>
      </c>
      <c r="AE32">
        <v>1.1399999999999999</v>
      </c>
      <c r="AF32">
        <v>0</v>
      </c>
      <c r="AG32">
        <v>7.27</v>
      </c>
      <c r="AH32">
        <v>36.28</v>
      </c>
      <c r="AI32">
        <v>16.02</v>
      </c>
      <c r="AJ32">
        <v>16.61</v>
      </c>
      <c r="AK32">
        <v>0</v>
      </c>
      <c r="AL32">
        <v>0</v>
      </c>
      <c r="AM32">
        <v>0.06</v>
      </c>
      <c r="AN32">
        <f t="shared" si="1"/>
        <v>5</v>
      </c>
      <c r="AO32" t="str">
        <f t="shared" si="2"/>
        <v>Thursday</v>
      </c>
    </row>
    <row r="33" spans="1:41" x14ac:dyDescent="0.2">
      <c r="A33" t="s">
        <v>37</v>
      </c>
      <c r="B33" s="1">
        <v>46050</v>
      </c>
      <c r="C33" s="1">
        <f t="shared" si="0"/>
        <v>46053</v>
      </c>
      <c r="D33">
        <v>16</v>
      </c>
      <c r="E33">
        <v>29</v>
      </c>
      <c r="F33">
        <v>6</v>
      </c>
      <c r="G33">
        <v>1</v>
      </c>
      <c r="H33">
        <v>6</v>
      </c>
      <c r="I33">
        <v>0</v>
      </c>
      <c r="J33">
        <v>6</v>
      </c>
      <c r="K33">
        <v>6</v>
      </c>
      <c r="L33" t="s">
        <v>37</v>
      </c>
      <c r="M33" t="s">
        <v>38</v>
      </c>
      <c r="N33" s="1">
        <v>46050</v>
      </c>
      <c r="O33" s="2">
        <v>0.58263888888888893</v>
      </c>
      <c r="P33" s="2">
        <v>0.71401620370370367</v>
      </c>
      <c r="Q33">
        <v>3.15</v>
      </c>
      <c r="R33">
        <v>3.13</v>
      </c>
      <c r="S33">
        <v>1.45</v>
      </c>
      <c r="T33">
        <v>0.3</v>
      </c>
      <c r="U33">
        <v>0</v>
      </c>
      <c r="V33">
        <v>0.13</v>
      </c>
      <c r="W33">
        <v>0.94</v>
      </c>
      <c r="X33">
        <v>0.28000000000000003</v>
      </c>
      <c r="Y33">
        <v>0</v>
      </c>
      <c r="Z33">
        <v>0</v>
      </c>
      <c r="AA33">
        <v>0</v>
      </c>
      <c r="AB33">
        <v>0.03</v>
      </c>
      <c r="AC33">
        <v>3.13</v>
      </c>
      <c r="AD33">
        <v>46.35</v>
      </c>
      <c r="AE33">
        <v>9.65</v>
      </c>
      <c r="AF33">
        <v>0</v>
      </c>
      <c r="AG33">
        <v>4</v>
      </c>
      <c r="AH33">
        <v>29.97</v>
      </c>
      <c r="AI33">
        <v>9</v>
      </c>
      <c r="AJ33">
        <v>0</v>
      </c>
      <c r="AK33">
        <v>0</v>
      </c>
      <c r="AL33">
        <v>0</v>
      </c>
      <c r="AM33">
        <v>1.03</v>
      </c>
      <c r="AN33">
        <f t="shared" si="1"/>
        <v>4</v>
      </c>
      <c r="AO33" t="str">
        <f t="shared" si="2"/>
        <v>Wednesday</v>
      </c>
    </row>
    <row r="34" spans="1:41" x14ac:dyDescent="0.2">
      <c r="A34" t="s">
        <v>39</v>
      </c>
      <c r="B34" s="1">
        <v>46050</v>
      </c>
      <c r="C34" s="1">
        <f t="shared" si="0"/>
        <v>46053</v>
      </c>
      <c r="D34">
        <v>67</v>
      </c>
      <c r="E34">
        <v>147</v>
      </c>
      <c r="F34">
        <v>12</v>
      </c>
      <c r="G34">
        <v>2</v>
      </c>
      <c r="H34">
        <v>12</v>
      </c>
      <c r="I34">
        <v>4</v>
      </c>
      <c r="J34">
        <v>1</v>
      </c>
      <c r="K34">
        <v>76</v>
      </c>
      <c r="L34" t="s">
        <v>39</v>
      </c>
      <c r="M34" t="s">
        <v>38</v>
      </c>
      <c r="N34" s="1">
        <v>46050</v>
      </c>
      <c r="O34" s="2">
        <v>0.58241898148148152</v>
      </c>
      <c r="P34" s="2">
        <v>0.95846064814814813</v>
      </c>
      <c r="Q34">
        <v>9.0299999999999994</v>
      </c>
      <c r="R34">
        <v>9.02</v>
      </c>
      <c r="S34">
        <v>2.84</v>
      </c>
      <c r="T34">
        <v>0.17</v>
      </c>
      <c r="U34">
        <v>0</v>
      </c>
      <c r="V34">
        <v>0.09</v>
      </c>
      <c r="W34">
        <v>4.1900000000000004</v>
      </c>
      <c r="X34">
        <v>1.48</v>
      </c>
      <c r="Y34">
        <v>0.23</v>
      </c>
      <c r="Z34">
        <v>0</v>
      </c>
      <c r="AA34">
        <v>0</v>
      </c>
      <c r="AB34">
        <v>0.03</v>
      </c>
      <c r="AC34">
        <v>9.02</v>
      </c>
      <c r="AD34">
        <v>31.51</v>
      </c>
      <c r="AE34">
        <v>1.84</v>
      </c>
      <c r="AF34">
        <v>0</v>
      </c>
      <c r="AG34">
        <v>0.94</v>
      </c>
      <c r="AH34">
        <v>46.42</v>
      </c>
      <c r="AI34">
        <v>16.39</v>
      </c>
      <c r="AJ34">
        <v>2.52</v>
      </c>
      <c r="AK34">
        <v>0</v>
      </c>
      <c r="AL34">
        <v>0</v>
      </c>
      <c r="AM34">
        <v>0.36</v>
      </c>
      <c r="AN34">
        <f t="shared" si="1"/>
        <v>4</v>
      </c>
      <c r="AO34" t="str">
        <f t="shared" si="2"/>
        <v>Wednesday</v>
      </c>
    </row>
    <row r="35" spans="1:41" x14ac:dyDescent="0.2">
      <c r="A35" t="s">
        <v>40</v>
      </c>
      <c r="B35" s="1">
        <v>46050</v>
      </c>
      <c r="C35" s="1">
        <f t="shared" si="0"/>
        <v>46053</v>
      </c>
      <c r="D35">
        <v>66</v>
      </c>
      <c r="E35">
        <v>151</v>
      </c>
      <c r="F35">
        <v>15</v>
      </c>
      <c r="G35">
        <v>7</v>
      </c>
      <c r="H35">
        <v>10</v>
      </c>
      <c r="I35">
        <v>0</v>
      </c>
      <c r="J35">
        <v>2</v>
      </c>
      <c r="K35">
        <v>75</v>
      </c>
      <c r="L35" t="s">
        <v>40</v>
      </c>
      <c r="M35" t="s">
        <v>38</v>
      </c>
      <c r="N35" s="1">
        <v>46050</v>
      </c>
      <c r="O35" s="2">
        <v>0.58359953703703704</v>
      </c>
      <c r="P35" s="2">
        <v>0.9623842592592593</v>
      </c>
      <c r="Q35">
        <v>9.08</v>
      </c>
      <c r="R35">
        <v>9.09</v>
      </c>
      <c r="S35">
        <v>3.1</v>
      </c>
      <c r="T35">
        <v>0.56000000000000005</v>
      </c>
      <c r="U35">
        <v>0</v>
      </c>
      <c r="V35">
        <v>0.34</v>
      </c>
      <c r="W35">
        <v>3.5</v>
      </c>
      <c r="X35">
        <v>1.57</v>
      </c>
      <c r="Y35">
        <v>0</v>
      </c>
      <c r="Z35">
        <v>0</v>
      </c>
      <c r="AA35">
        <v>0</v>
      </c>
      <c r="AB35">
        <v>0.01</v>
      </c>
      <c r="AC35">
        <v>9.09</v>
      </c>
      <c r="AD35">
        <v>34.14</v>
      </c>
      <c r="AE35">
        <v>6.18</v>
      </c>
      <c r="AF35">
        <v>0</v>
      </c>
      <c r="AG35">
        <v>3.79</v>
      </c>
      <c r="AH35">
        <v>38.54</v>
      </c>
      <c r="AI35">
        <v>17.260000000000002</v>
      </c>
      <c r="AJ35">
        <v>0</v>
      </c>
      <c r="AK35">
        <v>0</v>
      </c>
      <c r="AL35">
        <v>0</v>
      </c>
      <c r="AM35">
        <v>0.09</v>
      </c>
      <c r="AN35">
        <f t="shared" si="1"/>
        <v>4</v>
      </c>
      <c r="AO35" t="str">
        <f t="shared" si="2"/>
        <v>Wednesday</v>
      </c>
    </row>
    <row r="36" spans="1:41" x14ac:dyDescent="0.2">
      <c r="A36" t="s">
        <v>41</v>
      </c>
      <c r="B36" s="1">
        <v>46050</v>
      </c>
      <c r="C36" s="1">
        <f t="shared" si="0"/>
        <v>46053</v>
      </c>
      <c r="D36">
        <v>66</v>
      </c>
      <c r="E36">
        <v>144</v>
      </c>
      <c r="F36">
        <v>14</v>
      </c>
      <c r="G36">
        <v>14</v>
      </c>
      <c r="H36">
        <v>16</v>
      </c>
      <c r="I36">
        <v>0</v>
      </c>
      <c r="J36">
        <v>13</v>
      </c>
      <c r="K36">
        <v>52</v>
      </c>
      <c r="L36" t="s">
        <v>41</v>
      </c>
      <c r="M36" t="s">
        <v>38</v>
      </c>
      <c r="N36" s="1">
        <v>46050</v>
      </c>
      <c r="O36" s="2">
        <v>0.58319444444444446</v>
      </c>
      <c r="P36" s="2">
        <v>0.95700231481481479</v>
      </c>
      <c r="Q36">
        <v>8.98</v>
      </c>
      <c r="R36">
        <v>8.9700000000000006</v>
      </c>
      <c r="S36">
        <v>3.48</v>
      </c>
      <c r="T36">
        <v>0.54</v>
      </c>
      <c r="U36">
        <v>0</v>
      </c>
      <c r="V36">
        <v>0.28999999999999998</v>
      </c>
      <c r="W36">
        <v>3.35</v>
      </c>
      <c r="X36">
        <v>1.29</v>
      </c>
      <c r="Y36">
        <v>0</v>
      </c>
      <c r="Z36">
        <v>0</v>
      </c>
      <c r="AA36">
        <v>0</v>
      </c>
      <c r="AB36">
        <v>0</v>
      </c>
      <c r="AC36">
        <v>8.9700000000000006</v>
      </c>
      <c r="AD36">
        <v>38.840000000000003</v>
      </c>
      <c r="AE36">
        <v>6.06</v>
      </c>
      <c r="AF36">
        <v>0</v>
      </c>
      <c r="AG36">
        <v>3.27</v>
      </c>
      <c r="AH36">
        <v>37.36</v>
      </c>
      <c r="AI36">
        <v>14.43</v>
      </c>
      <c r="AJ36">
        <v>0</v>
      </c>
      <c r="AK36">
        <v>0</v>
      </c>
      <c r="AL36">
        <v>0</v>
      </c>
      <c r="AM36">
        <v>0.04</v>
      </c>
      <c r="AN36">
        <f t="shared" si="1"/>
        <v>4</v>
      </c>
      <c r="AO36" t="str">
        <f t="shared" si="2"/>
        <v>Wednesday</v>
      </c>
    </row>
    <row r="37" spans="1:41" x14ac:dyDescent="0.2">
      <c r="A37" t="s">
        <v>43</v>
      </c>
      <c r="B37" s="1">
        <v>46050</v>
      </c>
      <c r="C37" s="1">
        <f t="shared" si="0"/>
        <v>46053</v>
      </c>
      <c r="D37">
        <v>68</v>
      </c>
      <c r="E37">
        <v>176</v>
      </c>
      <c r="F37">
        <v>7</v>
      </c>
      <c r="G37">
        <v>6</v>
      </c>
      <c r="H37">
        <v>13</v>
      </c>
      <c r="I37">
        <v>0</v>
      </c>
      <c r="J37">
        <v>2</v>
      </c>
      <c r="K37">
        <v>95</v>
      </c>
      <c r="L37" t="s">
        <v>43</v>
      </c>
      <c r="M37" t="s">
        <v>38</v>
      </c>
      <c r="N37" s="1">
        <v>46050</v>
      </c>
      <c r="O37" s="2">
        <v>0.58325231481481477</v>
      </c>
      <c r="P37" s="2">
        <v>0.9596527777777778</v>
      </c>
      <c r="Q37">
        <v>9.0299999999999994</v>
      </c>
      <c r="R37">
        <v>9.0299999999999994</v>
      </c>
      <c r="S37">
        <v>1.96</v>
      </c>
      <c r="T37">
        <v>0.16</v>
      </c>
      <c r="U37">
        <v>0</v>
      </c>
      <c r="V37">
        <v>0.71</v>
      </c>
      <c r="W37">
        <v>3.95</v>
      </c>
      <c r="X37">
        <v>1.43</v>
      </c>
      <c r="Y37">
        <v>0.78</v>
      </c>
      <c r="Z37">
        <v>0</v>
      </c>
      <c r="AA37">
        <v>0.04</v>
      </c>
      <c r="AB37">
        <v>0</v>
      </c>
      <c r="AC37">
        <v>9.0299999999999994</v>
      </c>
      <c r="AD37">
        <v>21.69</v>
      </c>
      <c r="AE37">
        <v>1.79</v>
      </c>
      <c r="AF37">
        <v>0</v>
      </c>
      <c r="AG37">
        <v>7.86</v>
      </c>
      <c r="AH37">
        <v>43.78</v>
      </c>
      <c r="AI37">
        <v>15.79</v>
      </c>
      <c r="AJ37">
        <v>8.6</v>
      </c>
      <c r="AK37">
        <v>0</v>
      </c>
      <c r="AL37">
        <v>0.46</v>
      </c>
      <c r="AM37">
        <v>0.04</v>
      </c>
      <c r="AN37">
        <f t="shared" si="1"/>
        <v>4</v>
      </c>
      <c r="AO37" t="str">
        <f t="shared" si="2"/>
        <v>Wednesday</v>
      </c>
    </row>
    <row r="38" spans="1:41" x14ac:dyDescent="0.2">
      <c r="B38" s="1">
        <v>46050</v>
      </c>
      <c r="C38" s="1">
        <f t="shared" si="0"/>
        <v>46053</v>
      </c>
      <c r="D38">
        <v>1312</v>
      </c>
      <c r="E38">
        <v>0</v>
      </c>
      <c r="F38">
        <v>0</v>
      </c>
      <c r="G38">
        <v>0</v>
      </c>
      <c r="H38">
        <v>0</v>
      </c>
      <c r="I38">
        <v>0</v>
      </c>
      <c r="J38">
        <v>0</v>
      </c>
      <c r="K38">
        <v>0</v>
      </c>
      <c r="AN38">
        <f t="shared" si="1"/>
        <v>4</v>
      </c>
      <c r="AO38" t="str">
        <f t="shared" si="2"/>
        <v>Wednesday</v>
      </c>
    </row>
    <row r="39" spans="1:41" x14ac:dyDescent="0.2">
      <c r="A39" t="s">
        <v>37</v>
      </c>
      <c r="B39" s="1">
        <v>46049</v>
      </c>
      <c r="C39" s="1">
        <f t="shared" si="0"/>
        <v>46053</v>
      </c>
      <c r="D39">
        <v>58</v>
      </c>
      <c r="E39">
        <v>164</v>
      </c>
      <c r="F39">
        <v>12</v>
      </c>
      <c r="G39">
        <v>22</v>
      </c>
      <c r="H39">
        <v>19</v>
      </c>
      <c r="I39">
        <v>0</v>
      </c>
      <c r="J39">
        <v>4</v>
      </c>
      <c r="K39">
        <v>69</v>
      </c>
      <c r="L39" t="s">
        <v>37</v>
      </c>
      <c r="M39" t="s">
        <v>38</v>
      </c>
      <c r="N39" s="1">
        <v>46049</v>
      </c>
      <c r="O39" s="2">
        <v>0.58341435185185186</v>
      </c>
      <c r="P39" s="2">
        <v>0.95843750000000005</v>
      </c>
      <c r="Q39">
        <v>9</v>
      </c>
      <c r="R39">
        <v>8.09</v>
      </c>
      <c r="S39">
        <v>3.35</v>
      </c>
      <c r="T39">
        <v>0.32</v>
      </c>
      <c r="U39">
        <v>0</v>
      </c>
      <c r="V39">
        <v>0.67</v>
      </c>
      <c r="W39">
        <v>3.05</v>
      </c>
      <c r="X39">
        <v>0.57999999999999996</v>
      </c>
      <c r="Y39">
        <v>0</v>
      </c>
      <c r="Z39">
        <v>0</v>
      </c>
      <c r="AA39">
        <v>7.0000000000000007E-2</v>
      </c>
      <c r="AB39">
        <v>0.05</v>
      </c>
      <c r="AC39">
        <v>8.09</v>
      </c>
      <c r="AD39">
        <v>41.44</v>
      </c>
      <c r="AE39">
        <v>3.98</v>
      </c>
      <c r="AF39">
        <v>0</v>
      </c>
      <c r="AG39">
        <v>8.34</v>
      </c>
      <c r="AH39">
        <v>37.65</v>
      </c>
      <c r="AI39">
        <v>7.18</v>
      </c>
      <c r="AJ39">
        <v>0</v>
      </c>
      <c r="AK39">
        <v>0</v>
      </c>
      <c r="AL39">
        <v>0.83</v>
      </c>
      <c r="AM39">
        <v>0.57999999999999996</v>
      </c>
      <c r="AN39">
        <f t="shared" si="1"/>
        <v>3</v>
      </c>
      <c r="AO39" t="str">
        <f t="shared" si="2"/>
        <v>Tuesday</v>
      </c>
    </row>
    <row r="40" spans="1:41" x14ac:dyDescent="0.2">
      <c r="A40" t="s">
        <v>39</v>
      </c>
      <c r="B40" s="1">
        <v>46049</v>
      </c>
      <c r="C40" s="1">
        <f t="shared" si="0"/>
        <v>46053</v>
      </c>
      <c r="D40">
        <v>73</v>
      </c>
      <c r="E40">
        <v>184</v>
      </c>
      <c r="F40">
        <v>14</v>
      </c>
      <c r="G40">
        <v>11</v>
      </c>
      <c r="H40">
        <v>14</v>
      </c>
      <c r="I40">
        <v>0</v>
      </c>
      <c r="J40">
        <v>5</v>
      </c>
      <c r="K40">
        <v>92</v>
      </c>
      <c r="L40" t="s">
        <v>39</v>
      </c>
      <c r="M40" t="s">
        <v>38</v>
      </c>
      <c r="N40" s="1">
        <v>46049</v>
      </c>
      <c r="O40" s="2">
        <v>0.58348379629629632</v>
      </c>
      <c r="P40" s="2">
        <v>0.96097222222222223</v>
      </c>
      <c r="Q40">
        <v>9.0500000000000007</v>
      </c>
      <c r="R40">
        <v>9.0399999999999991</v>
      </c>
      <c r="S40">
        <v>3.28</v>
      </c>
      <c r="T40">
        <v>0.2</v>
      </c>
      <c r="U40">
        <v>0</v>
      </c>
      <c r="V40">
        <v>0.11</v>
      </c>
      <c r="W40">
        <v>3.93</v>
      </c>
      <c r="X40">
        <v>1.49</v>
      </c>
      <c r="Y40">
        <v>0</v>
      </c>
      <c r="Z40">
        <v>0</v>
      </c>
      <c r="AA40">
        <v>0</v>
      </c>
      <c r="AB40">
        <v>0.02</v>
      </c>
      <c r="AC40">
        <v>9.0399999999999991</v>
      </c>
      <c r="AD40">
        <v>36.35</v>
      </c>
      <c r="AE40">
        <v>2.2400000000000002</v>
      </c>
      <c r="AF40">
        <v>0</v>
      </c>
      <c r="AG40">
        <v>1.24</v>
      </c>
      <c r="AH40">
        <v>43.48</v>
      </c>
      <c r="AI40">
        <v>16.489999999999998</v>
      </c>
      <c r="AJ40">
        <v>0</v>
      </c>
      <c r="AK40">
        <v>0</v>
      </c>
      <c r="AL40">
        <v>0</v>
      </c>
      <c r="AM40">
        <v>0.2</v>
      </c>
      <c r="AN40">
        <f t="shared" si="1"/>
        <v>3</v>
      </c>
      <c r="AO40" t="str">
        <f t="shared" si="2"/>
        <v>Tuesday</v>
      </c>
    </row>
    <row r="41" spans="1:41" x14ac:dyDescent="0.2">
      <c r="A41" t="s">
        <v>40</v>
      </c>
      <c r="B41" s="1">
        <v>46049</v>
      </c>
      <c r="C41" s="1">
        <f t="shared" si="0"/>
        <v>46053</v>
      </c>
      <c r="D41">
        <v>76</v>
      </c>
      <c r="E41">
        <v>212</v>
      </c>
      <c r="F41">
        <v>15</v>
      </c>
      <c r="G41">
        <v>9</v>
      </c>
      <c r="H41">
        <v>17</v>
      </c>
      <c r="I41">
        <v>0</v>
      </c>
      <c r="J41">
        <v>2</v>
      </c>
      <c r="K41">
        <v>117</v>
      </c>
      <c r="L41" t="s">
        <v>40</v>
      </c>
      <c r="M41" t="s">
        <v>38</v>
      </c>
      <c r="N41" s="1">
        <v>46049</v>
      </c>
      <c r="O41" s="2">
        <v>0.58355324074074078</v>
      </c>
      <c r="P41" s="2">
        <v>0.96006944444444442</v>
      </c>
      <c r="Q41">
        <v>9.0299999999999994</v>
      </c>
      <c r="R41">
        <v>9.0399999999999991</v>
      </c>
      <c r="S41">
        <v>2.17</v>
      </c>
      <c r="T41">
        <v>0.96</v>
      </c>
      <c r="U41">
        <v>0</v>
      </c>
      <c r="V41">
        <v>0.26</v>
      </c>
      <c r="W41">
        <v>4.13</v>
      </c>
      <c r="X41">
        <v>1.51</v>
      </c>
      <c r="Y41">
        <v>0</v>
      </c>
      <c r="Z41">
        <v>0</v>
      </c>
      <c r="AA41">
        <v>0</v>
      </c>
      <c r="AB41">
        <v>0.01</v>
      </c>
      <c r="AC41">
        <v>9.0399999999999991</v>
      </c>
      <c r="AD41">
        <v>24.02</v>
      </c>
      <c r="AE41">
        <v>10.65</v>
      </c>
      <c r="AF41">
        <v>0</v>
      </c>
      <c r="AG41">
        <v>2.83</v>
      </c>
      <c r="AH41">
        <v>45.76</v>
      </c>
      <c r="AI41">
        <v>16.68</v>
      </c>
      <c r="AJ41">
        <v>0</v>
      </c>
      <c r="AK41">
        <v>0</v>
      </c>
      <c r="AL41">
        <v>0</v>
      </c>
      <c r="AM41">
        <v>7.0000000000000007E-2</v>
      </c>
      <c r="AN41">
        <f t="shared" si="1"/>
        <v>3</v>
      </c>
      <c r="AO41" t="str">
        <f t="shared" si="2"/>
        <v>Tuesday</v>
      </c>
    </row>
    <row r="42" spans="1:41" x14ac:dyDescent="0.2">
      <c r="A42" t="s">
        <v>41</v>
      </c>
      <c r="B42" s="1">
        <v>46049</v>
      </c>
      <c r="C42" s="1">
        <f t="shared" si="0"/>
        <v>46053</v>
      </c>
      <c r="D42">
        <v>71</v>
      </c>
      <c r="E42">
        <v>155</v>
      </c>
      <c r="F42">
        <v>4</v>
      </c>
      <c r="G42">
        <v>26</v>
      </c>
      <c r="H42">
        <v>18</v>
      </c>
      <c r="I42">
        <v>1</v>
      </c>
      <c r="J42">
        <v>6</v>
      </c>
      <c r="K42">
        <v>64</v>
      </c>
      <c r="L42" t="s">
        <v>41</v>
      </c>
      <c r="M42" t="s">
        <v>38</v>
      </c>
      <c r="N42" s="1">
        <v>46049</v>
      </c>
      <c r="O42" s="2">
        <v>0.5829050925925926</v>
      </c>
      <c r="P42" s="2">
        <v>0.95746527777777779</v>
      </c>
      <c r="Q42">
        <v>8.98</v>
      </c>
      <c r="R42">
        <v>8.91</v>
      </c>
      <c r="S42">
        <v>2.69</v>
      </c>
      <c r="T42">
        <v>0.62</v>
      </c>
      <c r="U42">
        <v>0</v>
      </c>
      <c r="V42">
        <v>0.44</v>
      </c>
      <c r="W42">
        <v>3.68</v>
      </c>
      <c r="X42">
        <v>1.48</v>
      </c>
      <c r="Y42">
        <v>0</v>
      </c>
      <c r="Z42">
        <v>0</v>
      </c>
      <c r="AA42">
        <v>0</v>
      </c>
      <c r="AB42">
        <v>0.01</v>
      </c>
      <c r="AC42">
        <v>8.91</v>
      </c>
      <c r="AD42">
        <v>30.17</v>
      </c>
      <c r="AE42">
        <v>6.92</v>
      </c>
      <c r="AF42">
        <v>0</v>
      </c>
      <c r="AG42">
        <v>4.93</v>
      </c>
      <c r="AH42">
        <v>41.27</v>
      </c>
      <c r="AI42">
        <v>16.57</v>
      </c>
      <c r="AJ42">
        <v>0</v>
      </c>
      <c r="AK42">
        <v>0</v>
      </c>
      <c r="AL42">
        <v>0</v>
      </c>
      <c r="AM42">
        <v>0.13</v>
      </c>
      <c r="AN42">
        <f t="shared" si="1"/>
        <v>3</v>
      </c>
      <c r="AO42" t="str">
        <f t="shared" si="2"/>
        <v>Tuesday</v>
      </c>
    </row>
    <row r="43" spans="1:41" x14ac:dyDescent="0.2">
      <c r="A43" t="s">
        <v>42</v>
      </c>
      <c r="B43" s="1">
        <v>46049</v>
      </c>
      <c r="C43" s="1">
        <f t="shared" si="0"/>
        <v>46053</v>
      </c>
      <c r="D43">
        <v>1</v>
      </c>
      <c r="E43">
        <v>1</v>
      </c>
      <c r="F43">
        <v>0</v>
      </c>
      <c r="G43">
        <v>0</v>
      </c>
      <c r="H43">
        <v>0</v>
      </c>
      <c r="I43">
        <v>0</v>
      </c>
      <c r="J43">
        <v>0</v>
      </c>
      <c r="K43">
        <v>0</v>
      </c>
      <c r="L43" t="s">
        <v>42</v>
      </c>
      <c r="M43" t="s">
        <v>38</v>
      </c>
      <c r="N43" s="1">
        <v>46049</v>
      </c>
      <c r="O43" s="2">
        <v>0.77759259259259261</v>
      </c>
      <c r="P43" s="2">
        <v>0.87718750000000001</v>
      </c>
      <c r="Q43">
        <v>2.4</v>
      </c>
      <c r="R43">
        <v>2.39</v>
      </c>
      <c r="S43">
        <v>2.38</v>
      </c>
      <c r="T43">
        <v>0</v>
      </c>
      <c r="U43">
        <v>0</v>
      </c>
      <c r="V43">
        <v>0</v>
      </c>
      <c r="W43">
        <v>0</v>
      </c>
      <c r="X43">
        <v>0</v>
      </c>
      <c r="Y43">
        <v>0</v>
      </c>
      <c r="Z43">
        <v>0</v>
      </c>
      <c r="AA43">
        <v>0</v>
      </c>
      <c r="AB43">
        <v>0.01</v>
      </c>
      <c r="AC43">
        <v>2.39</v>
      </c>
      <c r="AD43">
        <v>99.67</v>
      </c>
      <c r="AE43">
        <v>0</v>
      </c>
      <c r="AF43">
        <v>0</v>
      </c>
      <c r="AG43">
        <v>0</v>
      </c>
      <c r="AH43">
        <v>0</v>
      </c>
      <c r="AI43">
        <v>0</v>
      </c>
      <c r="AJ43">
        <v>0</v>
      </c>
      <c r="AK43">
        <v>0</v>
      </c>
      <c r="AL43">
        <v>0</v>
      </c>
      <c r="AM43">
        <v>0.33</v>
      </c>
      <c r="AN43">
        <f t="shared" si="1"/>
        <v>3</v>
      </c>
      <c r="AO43" t="str">
        <f t="shared" si="2"/>
        <v>Tuesday</v>
      </c>
    </row>
    <row r="44" spans="1:41" x14ac:dyDescent="0.2">
      <c r="A44" t="s">
        <v>43</v>
      </c>
      <c r="B44" s="1">
        <v>46049</v>
      </c>
      <c r="C44" s="1">
        <f t="shared" si="0"/>
        <v>46053</v>
      </c>
      <c r="D44">
        <v>76</v>
      </c>
      <c r="E44">
        <v>207</v>
      </c>
      <c r="F44">
        <v>10</v>
      </c>
      <c r="G44">
        <v>11</v>
      </c>
      <c r="H44">
        <v>14</v>
      </c>
      <c r="I44">
        <v>1</v>
      </c>
      <c r="J44">
        <v>0</v>
      </c>
      <c r="K44">
        <v>101</v>
      </c>
      <c r="L44" t="s">
        <v>43</v>
      </c>
      <c r="M44" t="s">
        <v>38</v>
      </c>
      <c r="N44" s="1">
        <v>46049</v>
      </c>
      <c r="O44" s="2">
        <v>0.58355324074074078</v>
      </c>
      <c r="P44" s="2">
        <v>0.95859953703703704</v>
      </c>
      <c r="Q44">
        <v>9</v>
      </c>
      <c r="R44">
        <v>9</v>
      </c>
      <c r="S44">
        <v>2.84</v>
      </c>
      <c r="T44">
        <v>0.23</v>
      </c>
      <c r="U44">
        <v>0</v>
      </c>
      <c r="V44">
        <v>0.47</v>
      </c>
      <c r="W44">
        <v>4</v>
      </c>
      <c r="X44">
        <v>1.46</v>
      </c>
      <c r="Y44">
        <v>0</v>
      </c>
      <c r="Z44">
        <v>0</v>
      </c>
      <c r="AA44">
        <v>0</v>
      </c>
      <c r="AB44">
        <v>0</v>
      </c>
      <c r="AC44">
        <v>9</v>
      </c>
      <c r="AD44">
        <v>31.54</v>
      </c>
      <c r="AE44">
        <v>2.5499999999999998</v>
      </c>
      <c r="AF44">
        <v>0</v>
      </c>
      <c r="AG44">
        <v>5.23</v>
      </c>
      <c r="AH44">
        <v>44.39</v>
      </c>
      <c r="AI44">
        <v>16.25</v>
      </c>
      <c r="AJ44">
        <v>0</v>
      </c>
      <c r="AK44">
        <v>0</v>
      </c>
      <c r="AL44">
        <v>0</v>
      </c>
      <c r="AM44">
        <v>0.03</v>
      </c>
      <c r="AN44">
        <f t="shared" si="1"/>
        <v>3</v>
      </c>
      <c r="AO44" t="str">
        <f t="shared" si="2"/>
        <v>Tuesday</v>
      </c>
    </row>
    <row r="45" spans="1:41" x14ac:dyDescent="0.2">
      <c r="B45" s="1">
        <v>46049</v>
      </c>
      <c r="C45" s="1">
        <f t="shared" si="0"/>
        <v>46053</v>
      </c>
      <c r="D45">
        <v>1305</v>
      </c>
      <c r="E45">
        <v>0</v>
      </c>
      <c r="F45">
        <v>0</v>
      </c>
      <c r="G45">
        <v>0</v>
      </c>
      <c r="H45">
        <v>0</v>
      </c>
      <c r="I45">
        <v>0</v>
      </c>
      <c r="J45">
        <v>0</v>
      </c>
      <c r="K45">
        <v>0</v>
      </c>
      <c r="AN45">
        <f t="shared" si="1"/>
        <v>3</v>
      </c>
      <c r="AO45" t="str">
        <f t="shared" si="2"/>
        <v>Tuesday</v>
      </c>
    </row>
    <row r="46" spans="1:41" x14ac:dyDescent="0.2">
      <c r="A46" t="s">
        <v>37</v>
      </c>
      <c r="B46" s="1">
        <v>46048</v>
      </c>
      <c r="C46" s="1">
        <f t="shared" si="0"/>
        <v>46053</v>
      </c>
      <c r="D46">
        <v>45</v>
      </c>
      <c r="E46">
        <v>91</v>
      </c>
      <c r="F46">
        <v>1</v>
      </c>
      <c r="G46">
        <v>6</v>
      </c>
      <c r="H46">
        <v>6</v>
      </c>
      <c r="I46">
        <v>1</v>
      </c>
      <c r="J46">
        <v>1</v>
      </c>
      <c r="K46">
        <v>44</v>
      </c>
      <c r="L46" t="s">
        <v>37</v>
      </c>
      <c r="M46" t="s">
        <v>38</v>
      </c>
      <c r="N46" s="1">
        <v>46048</v>
      </c>
      <c r="O46" s="2">
        <v>0.58303240740740736</v>
      </c>
      <c r="P46" s="2">
        <v>0.95841435185185186</v>
      </c>
      <c r="Q46">
        <v>9.02</v>
      </c>
      <c r="R46">
        <v>8.1</v>
      </c>
      <c r="S46">
        <v>2.81</v>
      </c>
      <c r="T46">
        <v>0.63</v>
      </c>
      <c r="U46">
        <v>0</v>
      </c>
      <c r="V46">
        <v>0.25</v>
      </c>
      <c r="W46">
        <v>3.78</v>
      </c>
      <c r="X46">
        <v>0.57999999999999996</v>
      </c>
      <c r="Y46">
        <v>0</v>
      </c>
      <c r="Z46">
        <v>0</v>
      </c>
      <c r="AA46">
        <v>0</v>
      </c>
      <c r="AB46">
        <v>0.05</v>
      </c>
      <c r="AC46">
        <v>8.1</v>
      </c>
      <c r="AD46">
        <v>34.659999999999997</v>
      </c>
      <c r="AE46">
        <v>7.73</v>
      </c>
      <c r="AF46">
        <v>0</v>
      </c>
      <c r="AG46">
        <v>3.1</v>
      </c>
      <c r="AH46">
        <v>46.69</v>
      </c>
      <c r="AI46">
        <v>7.15</v>
      </c>
      <c r="AJ46">
        <v>0</v>
      </c>
      <c r="AK46">
        <v>0</v>
      </c>
      <c r="AL46">
        <v>0</v>
      </c>
      <c r="AM46">
        <v>0.66</v>
      </c>
      <c r="AN46">
        <f t="shared" si="1"/>
        <v>2</v>
      </c>
      <c r="AO46" t="str">
        <f t="shared" si="2"/>
        <v>Monday</v>
      </c>
    </row>
    <row r="47" spans="1:41" x14ac:dyDescent="0.2">
      <c r="A47" t="s">
        <v>39</v>
      </c>
      <c r="B47" s="1">
        <v>46048</v>
      </c>
      <c r="C47" s="1">
        <f t="shared" si="0"/>
        <v>46053</v>
      </c>
      <c r="D47">
        <v>56</v>
      </c>
      <c r="E47">
        <v>118</v>
      </c>
      <c r="F47">
        <v>4</v>
      </c>
      <c r="G47">
        <v>8</v>
      </c>
      <c r="H47">
        <v>25</v>
      </c>
      <c r="I47">
        <v>1</v>
      </c>
      <c r="J47">
        <v>0</v>
      </c>
      <c r="K47">
        <v>41</v>
      </c>
      <c r="L47" t="s">
        <v>39</v>
      </c>
      <c r="M47" t="s">
        <v>38</v>
      </c>
      <c r="N47" s="1">
        <v>46048</v>
      </c>
      <c r="O47" s="2">
        <v>0.58355324074074078</v>
      </c>
      <c r="P47" s="2">
        <v>0.95840277777777783</v>
      </c>
      <c r="Q47">
        <v>9</v>
      </c>
      <c r="R47">
        <v>9</v>
      </c>
      <c r="S47">
        <v>2.31</v>
      </c>
      <c r="T47">
        <v>0.12</v>
      </c>
      <c r="U47">
        <v>0</v>
      </c>
      <c r="V47">
        <v>0.12</v>
      </c>
      <c r="W47">
        <v>3.97</v>
      </c>
      <c r="X47">
        <v>1.51</v>
      </c>
      <c r="Y47">
        <v>0.97</v>
      </c>
      <c r="Z47">
        <v>0</v>
      </c>
      <c r="AA47">
        <v>0</v>
      </c>
      <c r="AB47">
        <v>0.01</v>
      </c>
      <c r="AC47">
        <v>9</v>
      </c>
      <c r="AD47">
        <v>25.67</v>
      </c>
      <c r="AE47">
        <v>1.33</v>
      </c>
      <c r="AF47">
        <v>0</v>
      </c>
      <c r="AG47">
        <v>1.31</v>
      </c>
      <c r="AH47">
        <v>44.09</v>
      </c>
      <c r="AI47">
        <v>16.739999999999998</v>
      </c>
      <c r="AJ47">
        <v>10.8</v>
      </c>
      <c r="AK47">
        <v>0</v>
      </c>
      <c r="AL47">
        <v>0</v>
      </c>
      <c r="AM47">
        <v>0.08</v>
      </c>
      <c r="AN47">
        <f t="shared" si="1"/>
        <v>2</v>
      </c>
      <c r="AO47" t="str">
        <f t="shared" si="2"/>
        <v>Monday</v>
      </c>
    </row>
    <row r="48" spans="1:41" x14ac:dyDescent="0.2">
      <c r="A48" t="s">
        <v>40</v>
      </c>
      <c r="B48" s="1">
        <v>46048</v>
      </c>
      <c r="C48" s="1">
        <f t="shared" si="0"/>
        <v>46053</v>
      </c>
      <c r="D48">
        <v>58</v>
      </c>
      <c r="E48">
        <v>153</v>
      </c>
      <c r="F48">
        <v>3</v>
      </c>
      <c r="G48">
        <v>2</v>
      </c>
      <c r="H48">
        <v>23</v>
      </c>
      <c r="I48">
        <v>1</v>
      </c>
      <c r="J48">
        <v>1</v>
      </c>
      <c r="K48">
        <v>96</v>
      </c>
      <c r="L48" t="s">
        <v>40</v>
      </c>
      <c r="M48" t="s">
        <v>38</v>
      </c>
      <c r="N48" s="1">
        <v>46048</v>
      </c>
      <c r="O48" s="2">
        <v>0.58347222222222217</v>
      </c>
      <c r="P48" s="2">
        <v>0.9583680555555556</v>
      </c>
      <c r="Q48">
        <v>9</v>
      </c>
      <c r="R48">
        <v>9</v>
      </c>
      <c r="S48">
        <v>1.78</v>
      </c>
      <c r="T48">
        <v>0.54</v>
      </c>
      <c r="U48">
        <v>0</v>
      </c>
      <c r="V48">
        <v>0.22</v>
      </c>
      <c r="W48">
        <v>4.96</v>
      </c>
      <c r="X48">
        <v>1.5</v>
      </c>
      <c r="Y48">
        <v>0</v>
      </c>
      <c r="Z48">
        <v>0</v>
      </c>
      <c r="AA48">
        <v>0</v>
      </c>
      <c r="AB48">
        <v>0</v>
      </c>
      <c r="AC48">
        <v>9</v>
      </c>
      <c r="AD48">
        <v>19.78</v>
      </c>
      <c r="AE48">
        <v>5.95</v>
      </c>
      <c r="AF48">
        <v>0</v>
      </c>
      <c r="AG48">
        <v>2.4</v>
      </c>
      <c r="AH48">
        <v>55.13</v>
      </c>
      <c r="AI48">
        <v>16.7</v>
      </c>
      <c r="AJ48">
        <v>0</v>
      </c>
      <c r="AK48">
        <v>0</v>
      </c>
      <c r="AL48">
        <v>0</v>
      </c>
      <c r="AM48">
        <v>0.04</v>
      </c>
      <c r="AN48">
        <f t="shared" si="1"/>
        <v>2</v>
      </c>
      <c r="AO48" t="str">
        <f t="shared" si="2"/>
        <v>Monday</v>
      </c>
    </row>
    <row r="49" spans="1:41" x14ac:dyDescent="0.2">
      <c r="A49" t="s">
        <v>41</v>
      </c>
      <c r="B49" s="1">
        <v>46048</v>
      </c>
      <c r="C49" s="1">
        <f t="shared" si="0"/>
        <v>46053</v>
      </c>
      <c r="D49">
        <v>60</v>
      </c>
      <c r="E49">
        <v>140</v>
      </c>
      <c r="F49">
        <v>8</v>
      </c>
      <c r="G49">
        <v>4</v>
      </c>
      <c r="H49">
        <v>19</v>
      </c>
      <c r="I49">
        <v>3</v>
      </c>
      <c r="J49">
        <v>7</v>
      </c>
      <c r="K49">
        <v>73</v>
      </c>
      <c r="L49" t="s">
        <v>41</v>
      </c>
      <c r="M49" t="s">
        <v>38</v>
      </c>
      <c r="N49" s="1">
        <v>46048</v>
      </c>
      <c r="O49" s="2">
        <v>0.58314814814814819</v>
      </c>
      <c r="P49" s="2">
        <v>0.95876157407407403</v>
      </c>
      <c r="Q49">
        <v>9.02</v>
      </c>
      <c r="R49">
        <v>9.01</v>
      </c>
      <c r="S49">
        <v>2.78</v>
      </c>
      <c r="T49">
        <v>0.42</v>
      </c>
      <c r="U49">
        <v>0</v>
      </c>
      <c r="V49">
        <v>0.28999999999999998</v>
      </c>
      <c r="W49">
        <v>4.07</v>
      </c>
      <c r="X49">
        <v>1.45</v>
      </c>
      <c r="Y49">
        <v>0</v>
      </c>
      <c r="Z49">
        <v>0</v>
      </c>
      <c r="AA49">
        <v>0</v>
      </c>
      <c r="AB49">
        <v>0</v>
      </c>
      <c r="AC49">
        <v>9.01</v>
      </c>
      <c r="AD49">
        <v>30.8</v>
      </c>
      <c r="AE49">
        <v>4.67</v>
      </c>
      <c r="AF49">
        <v>0</v>
      </c>
      <c r="AG49">
        <v>3.24</v>
      </c>
      <c r="AH49">
        <v>45.18</v>
      </c>
      <c r="AI49">
        <v>16.079999999999998</v>
      </c>
      <c r="AJ49">
        <v>0</v>
      </c>
      <c r="AK49">
        <v>0</v>
      </c>
      <c r="AL49">
        <v>0</v>
      </c>
      <c r="AM49">
        <v>0.04</v>
      </c>
      <c r="AN49">
        <f t="shared" si="1"/>
        <v>2</v>
      </c>
      <c r="AO49" t="str">
        <f t="shared" si="2"/>
        <v>Monday</v>
      </c>
    </row>
    <row r="50" spans="1:41" x14ac:dyDescent="0.2">
      <c r="A50" t="s">
        <v>43</v>
      </c>
      <c r="B50" s="1">
        <v>46048</v>
      </c>
      <c r="C50" s="1">
        <f t="shared" si="0"/>
        <v>46053</v>
      </c>
      <c r="D50">
        <v>53</v>
      </c>
      <c r="E50">
        <v>169</v>
      </c>
      <c r="F50">
        <v>2</v>
      </c>
      <c r="G50">
        <v>15</v>
      </c>
      <c r="H50">
        <v>11</v>
      </c>
      <c r="I50">
        <v>1</v>
      </c>
      <c r="J50">
        <v>0</v>
      </c>
      <c r="K50">
        <v>93</v>
      </c>
      <c r="L50" t="s">
        <v>43</v>
      </c>
      <c r="M50" t="s">
        <v>38</v>
      </c>
      <c r="N50" s="1">
        <v>46048</v>
      </c>
      <c r="O50" s="2">
        <v>0.58324074074074073</v>
      </c>
      <c r="P50" s="2">
        <v>0.96488425925925925</v>
      </c>
      <c r="Q50">
        <v>9.17</v>
      </c>
      <c r="R50">
        <v>9.16</v>
      </c>
      <c r="S50">
        <v>1.75</v>
      </c>
      <c r="T50">
        <v>0.25</v>
      </c>
      <c r="U50">
        <v>0</v>
      </c>
      <c r="V50">
        <v>0.56000000000000005</v>
      </c>
      <c r="W50">
        <v>5.16</v>
      </c>
      <c r="X50">
        <v>1.44</v>
      </c>
      <c r="Y50">
        <v>0</v>
      </c>
      <c r="Z50">
        <v>0</v>
      </c>
      <c r="AA50">
        <v>0</v>
      </c>
      <c r="AB50">
        <v>0</v>
      </c>
      <c r="AC50">
        <v>9.16</v>
      </c>
      <c r="AD50">
        <v>19.12</v>
      </c>
      <c r="AE50">
        <v>2.74</v>
      </c>
      <c r="AF50">
        <v>0</v>
      </c>
      <c r="AG50">
        <v>6.07</v>
      </c>
      <c r="AH50">
        <v>56.34</v>
      </c>
      <c r="AI50">
        <v>15.71</v>
      </c>
      <c r="AJ50">
        <v>0</v>
      </c>
      <c r="AK50">
        <v>0</v>
      </c>
      <c r="AL50">
        <v>0</v>
      </c>
      <c r="AM50">
        <v>0.03</v>
      </c>
      <c r="AN50">
        <f t="shared" si="1"/>
        <v>2</v>
      </c>
      <c r="AO50" t="str">
        <f t="shared" si="2"/>
        <v>Monday</v>
      </c>
    </row>
    <row r="51" spans="1:41" x14ac:dyDescent="0.2">
      <c r="B51" s="1">
        <v>46048</v>
      </c>
      <c r="C51" s="1">
        <f t="shared" si="0"/>
        <v>46053</v>
      </c>
      <c r="D51">
        <v>1209</v>
      </c>
      <c r="E51">
        <v>0</v>
      </c>
      <c r="F51">
        <v>0</v>
      </c>
      <c r="G51">
        <v>0</v>
      </c>
      <c r="H51">
        <v>0</v>
      </c>
      <c r="I51">
        <v>0</v>
      </c>
      <c r="J51">
        <v>0</v>
      </c>
      <c r="K51">
        <v>0</v>
      </c>
      <c r="AN51">
        <f t="shared" si="1"/>
        <v>2</v>
      </c>
      <c r="AO51" t="str">
        <f t="shared" si="2"/>
        <v>Monday</v>
      </c>
    </row>
    <row r="52" spans="1:41" x14ac:dyDescent="0.2">
      <c r="A52" t="s">
        <v>39</v>
      </c>
      <c r="B52" s="1">
        <v>46045</v>
      </c>
      <c r="C52" s="1">
        <f t="shared" si="0"/>
        <v>46053</v>
      </c>
      <c r="D52">
        <v>82</v>
      </c>
      <c r="E52">
        <v>89</v>
      </c>
      <c r="F52">
        <v>11</v>
      </c>
      <c r="G52">
        <v>2</v>
      </c>
      <c r="H52">
        <v>8</v>
      </c>
      <c r="I52">
        <v>0</v>
      </c>
      <c r="J52">
        <v>6</v>
      </c>
      <c r="K52">
        <v>1</v>
      </c>
      <c r="L52" t="s">
        <v>39</v>
      </c>
      <c r="M52" t="s">
        <v>38</v>
      </c>
      <c r="N52" s="1">
        <v>46045</v>
      </c>
      <c r="O52" s="2">
        <v>0.58395833333333336</v>
      </c>
      <c r="P52" s="2">
        <v>0.95996527777777774</v>
      </c>
      <c r="Q52">
        <v>9.0299999999999994</v>
      </c>
      <c r="R52">
        <v>9.02</v>
      </c>
      <c r="S52">
        <v>2.85</v>
      </c>
      <c r="T52">
        <v>0.08</v>
      </c>
      <c r="U52">
        <v>0</v>
      </c>
      <c r="V52">
        <v>0.1</v>
      </c>
      <c r="W52">
        <v>3.98</v>
      </c>
      <c r="X52">
        <v>1.48</v>
      </c>
      <c r="Y52">
        <v>0.53</v>
      </c>
      <c r="Z52">
        <v>0</v>
      </c>
      <c r="AA52">
        <v>0</v>
      </c>
      <c r="AB52">
        <v>0</v>
      </c>
      <c r="AC52">
        <v>9.02</v>
      </c>
      <c r="AD52">
        <v>31.62</v>
      </c>
      <c r="AE52">
        <v>0.87</v>
      </c>
      <c r="AF52">
        <v>0</v>
      </c>
      <c r="AG52">
        <v>1.0900000000000001</v>
      </c>
      <c r="AH52">
        <v>44.12</v>
      </c>
      <c r="AI52">
        <v>16.43</v>
      </c>
      <c r="AJ52">
        <v>5.83</v>
      </c>
      <c r="AK52">
        <v>0</v>
      </c>
      <c r="AL52">
        <v>0</v>
      </c>
      <c r="AM52">
        <v>0.04</v>
      </c>
      <c r="AN52">
        <f t="shared" si="1"/>
        <v>6</v>
      </c>
      <c r="AO52" t="str">
        <f t="shared" si="2"/>
        <v>Friday</v>
      </c>
    </row>
    <row r="53" spans="1:41" x14ac:dyDescent="0.2">
      <c r="A53" t="s">
        <v>40</v>
      </c>
      <c r="B53" s="1">
        <v>46045</v>
      </c>
      <c r="C53" s="1">
        <f t="shared" si="0"/>
        <v>46053</v>
      </c>
      <c r="D53">
        <v>62</v>
      </c>
      <c r="E53">
        <v>83</v>
      </c>
      <c r="F53">
        <v>7</v>
      </c>
      <c r="G53">
        <v>1</v>
      </c>
      <c r="H53">
        <v>9</v>
      </c>
      <c r="I53">
        <v>0</v>
      </c>
      <c r="J53">
        <v>1</v>
      </c>
      <c r="K53">
        <v>0</v>
      </c>
      <c r="L53" t="s">
        <v>40</v>
      </c>
      <c r="M53" t="s">
        <v>38</v>
      </c>
      <c r="N53" s="1">
        <v>46045</v>
      </c>
      <c r="O53" s="2">
        <v>0.58332175925925922</v>
      </c>
      <c r="P53" s="2">
        <v>0.9584259259259259</v>
      </c>
      <c r="Q53">
        <v>9.02</v>
      </c>
      <c r="R53">
        <v>9</v>
      </c>
      <c r="S53">
        <v>2.4</v>
      </c>
      <c r="T53">
        <v>0.61</v>
      </c>
      <c r="U53">
        <v>0</v>
      </c>
      <c r="V53">
        <v>0.43</v>
      </c>
      <c r="W53">
        <v>4.0599999999999996</v>
      </c>
      <c r="X53">
        <v>1.49</v>
      </c>
      <c r="Y53">
        <v>0</v>
      </c>
      <c r="Z53">
        <v>0</v>
      </c>
      <c r="AA53">
        <v>0</v>
      </c>
      <c r="AB53">
        <v>0.01</v>
      </c>
      <c r="AC53">
        <v>9</v>
      </c>
      <c r="AD53">
        <v>26.7</v>
      </c>
      <c r="AE53">
        <v>6.76</v>
      </c>
      <c r="AF53">
        <v>0</v>
      </c>
      <c r="AG53">
        <v>4.7699999999999996</v>
      </c>
      <c r="AH53">
        <v>45.09</v>
      </c>
      <c r="AI53">
        <v>16.57</v>
      </c>
      <c r="AJ53">
        <v>0</v>
      </c>
      <c r="AK53">
        <v>0</v>
      </c>
      <c r="AL53">
        <v>0.05</v>
      </c>
      <c r="AM53">
        <v>0.06</v>
      </c>
      <c r="AN53">
        <f t="shared" si="1"/>
        <v>6</v>
      </c>
      <c r="AO53" t="str">
        <f t="shared" si="2"/>
        <v>Friday</v>
      </c>
    </row>
    <row r="54" spans="1:41" x14ac:dyDescent="0.2">
      <c r="A54" t="s">
        <v>41</v>
      </c>
      <c r="B54" s="1">
        <v>46045</v>
      </c>
      <c r="C54" s="1">
        <f t="shared" si="0"/>
        <v>46053</v>
      </c>
      <c r="D54">
        <v>64</v>
      </c>
      <c r="E54">
        <v>66</v>
      </c>
      <c r="F54">
        <v>3</v>
      </c>
      <c r="G54">
        <v>3</v>
      </c>
      <c r="H54">
        <v>9</v>
      </c>
      <c r="I54">
        <v>1</v>
      </c>
      <c r="J54">
        <v>2</v>
      </c>
      <c r="K54">
        <v>2</v>
      </c>
      <c r="L54" t="s">
        <v>41</v>
      </c>
      <c r="M54" t="s">
        <v>38</v>
      </c>
      <c r="N54" s="1">
        <v>46045</v>
      </c>
      <c r="O54" s="2">
        <v>0.58324074074074073</v>
      </c>
      <c r="P54" s="2">
        <v>0.96616898148148145</v>
      </c>
      <c r="Q54">
        <v>9.1999999999999993</v>
      </c>
      <c r="R54">
        <v>9.19</v>
      </c>
      <c r="S54">
        <v>3.03</v>
      </c>
      <c r="T54">
        <v>0.46</v>
      </c>
      <c r="U54">
        <v>0</v>
      </c>
      <c r="V54">
        <v>0.28999999999999998</v>
      </c>
      <c r="W54">
        <v>3.35</v>
      </c>
      <c r="X54">
        <v>1.48</v>
      </c>
      <c r="Y54">
        <v>0.57999999999999996</v>
      </c>
      <c r="Z54">
        <v>0</v>
      </c>
      <c r="AA54">
        <v>0</v>
      </c>
      <c r="AB54">
        <v>0</v>
      </c>
      <c r="AC54">
        <v>9.19</v>
      </c>
      <c r="AD54">
        <v>33</v>
      </c>
      <c r="AE54">
        <v>4.97</v>
      </c>
      <c r="AF54">
        <v>0</v>
      </c>
      <c r="AG54">
        <v>3.2</v>
      </c>
      <c r="AH54">
        <v>36.409999999999997</v>
      </c>
      <c r="AI54">
        <v>16.11</v>
      </c>
      <c r="AJ54">
        <v>6.26</v>
      </c>
      <c r="AK54">
        <v>0</v>
      </c>
      <c r="AL54">
        <v>0</v>
      </c>
      <c r="AM54">
        <v>0.05</v>
      </c>
      <c r="AN54">
        <f t="shared" si="1"/>
        <v>6</v>
      </c>
      <c r="AO54" t="str">
        <f t="shared" si="2"/>
        <v>Friday</v>
      </c>
    </row>
    <row r="55" spans="1:41" x14ac:dyDescent="0.2">
      <c r="A55" t="s">
        <v>43</v>
      </c>
      <c r="B55" s="1">
        <v>46045</v>
      </c>
      <c r="C55" s="1">
        <f t="shared" si="0"/>
        <v>46053</v>
      </c>
      <c r="D55">
        <v>49</v>
      </c>
      <c r="E55">
        <v>65</v>
      </c>
      <c r="F55">
        <v>6</v>
      </c>
      <c r="G55">
        <v>2</v>
      </c>
      <c r="H55">
        <v>6</v>
      </c>
      <c r="I55">
        <v>0</v>
      </c>
      <c r="J55">
        <v>0</v>
      </c>
      <c r="K55">
        <v>0</v>
      </c>
      <c r="L55" t="s">
        <v>43</v>
      </c>
      <c r="M55" t="s">
        <v>38</v>
      </c>
      <c r="N55" s="1">
        <v>46045</v>
      </c>
      <c r="O55" s="2">
        <v>0.58322916666666669</v>
      </c>
      <c r="P55" s="2">
        <v>0.96636574074074078</v>
      </c>
      <c r="Q55">
        <v>9.1999999999999993</v>
      </c>
      <c r="R55">
        <v>9.19</v>
      </c>
      <c r="S55">
        <v>2.2799999999999998</v>
      </c>
      <c r="T55">
        <v>0.18</v>
      </c>
      <c r="U55">
        <v>0</v>
      </c>
      <c r="V55">
        <v>0.57999999999999996</v>
      </c>
      <c r="W55">
        <v>3.95</v>
      </c>
      <c r="X55">
        <v>1.85</v>
      </c>
      <c r="Y55">
        <v>0.34</v>
      </c>
      <c r="Z55">
        <v>0</v>
      </c>
      <c r="AA55">
        <v>0</v>
      </c>
      <c r="AB55">
        <v>0</v>
      </c>
      <c r="AC55">
        <v>9.19</v>
      </c>
      <c r="AD55">
        <v>24.82</v>
      </c>
      <c r="AE55">
        <v>2.0099999999999998</v>
      </c>
      <c r="AF55">
        <v>0</v>
      </c>
      <c r="AG55">
        <v>6.35</v>
      </c>
      <c r="AH55">
        <v>43</v>
      </c>
      <c r="AI55">
        <v>20.100000000000001</v>
      </c>
      <c r="AJ55">
        <v>3.7</v>
      </c>
      <c r="AK55">
        <v>0</v>
      </c>
      <c r="AL55">
        <v>0</v>
      </c>
      <c r="AM55">
        <v>0.03</v>
      </c>
      <c r="AN55">
        <f t="shared" si="1"/>
        <v>6</v>
      </c>
      <c r="AO55" t="str">
        <f t="shared" si="2"/>
        <v>Friday</v>
      </c>
    </row>
    <row r="56" spans="1:41" x14ac:dyDescent="0.2">
      <c r="A56" t="s">
        <v>37</v>
      </c>
      <c r="B56" s="1">
        <v>46044</v>
      </c>
      <c r="C56" s="1">
        <f t="shared" si="0"/>
        <v>46053</v>
      </c>
      <c r="D56">
        <v>40</v>
      </c>
      <c r="E56">
        <v>85</v>
      </c>
      <c r="F56">
        <v>6</v>
      </c>
      <c r="G56">
        <v>2</v>
      </c>
      <c r="H56">
        <v>4</v>
      </c>
      <c r="I56">
        <v>0</v>
      </c>
      <c r="J56">
        <v>0</v>
      </c>
      <c r="K56">
        <v>35</v>
      </c>
      <c r="L56" t="s">
        <v>37</v>
      </c>
      <c r="M56" t="s">
        <v>38</v>
      </c>
      <c r="N56" s="1">
        <v>46044</v>
      </c>
      <c r="O56" s="2">
        <v>0.5822222222222222</v>
      </c>
      <c r="P56" s="2">
        <v>0.95973379629629629</v>
      </c>
      <c r="Q56">
        <v>9.07</v>
      </c>
      <c r="R56">
        <v>8.76</v>
      </c>
      <c r="S56">
        <v>1.92</v>
      </c>
      <c r="T56">
        <v>0.18</v>
      </c>
      <c r="U56">
        <v>0</v>
      </c>
      <c r="V56">
        <v>0.27</v>
      </c>
      <c r="W56">
        <v>3.94</v>
      </c>
      <c r="X56">
        <v>0.94</v>
      </c>
      <c r="Y56">
        <v>1.44</v>
      </c>
      <c r="Z56">
        <v>0</v>
      </c>
      <c r="AA56">
        <v>0</v>
      </c>
      <c r="AB56">
        <v>0.06</v>
      </c>
      <c r="AC56">
        <v>8.76</v>
      </c>
      <c r="AD56">
        <v>21.92</v>
      </c>
      <c r="AE56">
        <v>2.0299999999999998</v>
      </c>
      <c r="AF56">
        <v>0</v>
      </c>
      <c r="AG56">
        <v>3.11</v>
      </c>
      <c r="AH56">
        <v>45.03</v>
      </c>
      <c r="AI56">
        <v>10.77</v>
      </c>
      <c r="AJ56">
        <v>16.440000000000001</v>
      </c>
      <c r="AK56">
        <v>0</v>
      </c>
      <c r="AL56">
        <v>0</v>
      </c>
      <c r="AM56">
        <v>0.69</v>
      </c>
      <c r="AN56">
        <f t="shared" si="1"/>
        <v>5</v>
      </c>
      <c r="AO56" t="str">
        <f t="shared" si="2"/>
        <v>Thursday</v>
      </c>
    </row>
    <row r="57" spans="1:41" x14ac:dyDescent="0.2">
      <c r="A57" t="s">
        <v>39</v>
      </c>
      <c r="B57" s="1">
        <v>46044</v>
      </c>
      <c r="C57" s="1">
        <f t="shared" si="0"/>
        <v>46053</v>
      </c>
      <c r="D57">
        <v>56</v>
      </c>
      <c r="E57">
        <v>108</v>
      </c>
      <c r="F57">
        <v>13</v>
      </c>
      <c r="G57">
        <v>2</v>
      </c>
      <c r="H57">
        <v>7</v>
      </c>
      <c r="I57">
        <v>0</v>
      </c>
      <c r="J57">
        <v>1</v>
      </c>
      <c r="K57">
        <v>36</v>
      </c>
      <c r="L57" t="s">
        <v>39</v>
      </c>
      <c r="M57" t="s">
        <v>38</v>
      </c>
      <c r="N57" s="1">
        <v>46044</v>
      </c>
      <c r="O57" s="2">
        <v>0.58318287037037042</v>
      </c>
      <c r="P57" s="2">
        <v>0.9583680555555556</v>
      </c>
      <c r="Q57">
        <v>9.02</v>
      </c>
      <c r="R57">
        <v>9</v>
      </c>
      <c r="S57">
        <v>2.2000000000000002</v>
      </c>
      <c r="T57">
        <v>0.02</v>
      </c>
      <c r="U57">
        <v>0</v>
      </c>
      <c r="V57">
        <v>0.1</v>
      </c>
      <c r="W57">
        <v>3.72</v>
      </c>
      <c r="X57">
        <v>1.46</v>
      </c>
      <c r="Y57">
        <v>1.5</v>
      </c>
      <c r="Z57">
        <v>0</v>
      </c>
      <c r="AA57">
        <v>0</v>
      </c>
      <c r="AB57">
        <v>0.01</v>
      </c>
      <c r="AC57">
        <v>9</v>
      </c>
      <c r="AD57">
        <v>24.45</v>
      </c>
      <c r="AE57">
        <v>0.21</v>
      </c>
      <c r="AF57">
        <v>0</v>
      </c>
      <c r="AG57">
        <v>1.1000000000000001</v>
      </c>
      <c r="AH57">
        <v>41.32</v>
      </c>
      <c r="AI57">
        <v>16.25</v>
      </c>
      <c r="AJ57">
        <v>16.600000000000001</v>
      </c>
      <c r="AK57">
        <v>0</v>
      </c>
      <c r="AL57">
        <v>0</v>
      </c>
      <c r="AM57">
        <v>7.0000000000000007E-2</v>
      </c>
      <c r="AN57">
        <f t="shared" si="1"/>
        <v>5</v>
      </c>
      <c r="AO57" t="str">
        <f t="shared" si="2"/>
        <v>Thursday</v>
      </c>
    </row>
    <row r="58" spans="1:41" x14ac:dyDescent="0.2">
      <c r="A58" t="s">
        <v>40</v>
      </c>
      <c r="B58" s="1">
        <v>46044</v>
      </c>
      <c r="C58" s="1">
        <f t="shared" si="0"/>
        <v>46053</v>
      </c>
      <c r="D58">
        <v>42</v>
      </c>
      <c r="E58">
        <v>77</v>
      </c>
      <c r="F58">
        <v>7</v>
      </c>
      <c r="G58">
        <v>0</v>
      </c>
      <c r="H58">
        <v>5</v>
      </c>
      <c r="I58">
        <v>0</v>
      </c>
      <c r="J58">
        <v>2</v>
      </c>
      <c r="K58">
        <v>35</v>
      </c>
      <c r="L58" t="s">
        <v>40</v>
      </c>
      <c r="M58" t="s">
        <v>38</v>
      </c>
      <c r="N58" s="1">
        <v>46044</v>
      </c>
      <c r="O58" s="2">
        <v>0.58266203703703701</v>
      </c>
      <c r="P58" s="2">
        <v>0.95837962962962964</v>
      </c>
      <c r="Q58">
        <v>9.02</v>
      </c>
      <c r="R58">
        <v>9.02</v>
      </c>
      <c r="S58">
        <v>1.69</v>
      </c>
      <c r="T58">
        <v>0.05</v>
      </c>
      <c r="U58">
        <v>0</v>
      </c>
      <c r="V58">
        <v>0.15</v>
      </c>
      <c r="W58">
        <v>3.61</v>
      </c>
      <c r="X58">
        <v>1.42</v>
      </c>
      <c r="Y58">
        <v>2.0699999999999998</v>
      </c>
      <c r="Z58">
        <v>0</v>
      </c>
      <c r="AA58">
        <v>0</v>
      </c>
      <c r="AB58">
        <v>0.02</v>
      </c>
      <c r="AC58">
        <v>9.02</v>
      </c>
      <c r="AD58">
        <v>18.78</v>
      </c>
      <c r="AE58">
        <v>0.57999999999999996</v>
      </c>
      <c r="AF58">
        <v>0</v>
      </c>
      <c r="AG58">
        <v>1.62</v>
      </c>
      <c r="AH58">
        <v>40.06</v>
      </c>
      <c r="AI58">
        <v>15.75</v>
      </c>
      <c r="AJ58">
        <v>22.96</v>
      </c>
      <c r="AK58">
        <v>0</v>
      </c>
      <c r="AL58">
        <v>0</v>
      </c>
      <c r="AM58">
        <v>0.24</v>
      </c>
      <c r="AN58">
        <f t="shared" si="1"/>
        <v>5</v>
      </c>
      <c r="AO58" t="str">
        <f t="shared" si="2"/>
        <v>Thursday</v>
      </c>
    </row>
    <row r="59" spans="1:41" x14ac:dyDescent="0.2">
      <c r="A59" t="s">
        <v>41</v>
      </c>
      <c r="B59" s="1">
        <v>46044</v>
      </c>
      <c r="C59" s="1">
        <f t="shared" si="0"/>
        <v>46053</v>
      </c>
      <c r="D59">
        <v>51</v>
      </c>
      <c r="E59">
        <v>102</v>
      </c>
      <c r="F59">
        <v>10</v>
      </c>
      <c r="G59">
        <v>9</v>
      </c>
      <c r="H59">
        <v>2</v>
      </c>
      <c r="I59">
        <v>1</v>
      </c>
      <c r="J59">
        <v>0</v>
      </c>
      <c r="K59">
        <v>49</v>
      </c>
      <c r="L59" t="s">
        <v>41</v>
      </c>
      <c r="M59" t="s">
        <v>38</v>
      </c>
      <c r="N59" s="1">
        <v>46044</v>
      </c>
      <c r="O59" s="2">
        <v>0.58328703703703699</v>
      </c>
      <c r="P59" s="2">
        <v>0.95797453703703705</v>
      </c>
      <c r="Q59">
        <v>9</v>
      </c>
      <c r="R59">
        <v>8.99</v>
      </c>
      <c r="S59">
        <v>1.96</v>
      </c>
      <c r="T59">
        <v>0.23</v>
      </c>
      <c r="U59">
        <v>0</v>
      </c>
      <c r="V59">
        <v>0.17</v>
      </c>
      <c r="W59">
        <v>3.68</v>
      </c>
      <c r="X59">
        <v>1.48</v>
      </c>
      <c r="Y59">
        <v>1.47</v>
      </c>
      <c r="Z59">
        <v>0</v>
      </c>
      <c r="AA59">
        <v>0</v>
      </c>
      <c r="AB59">
        <v>0</v>
      </c>
      <c r="AC59">
        <v>8.99</v>
      </c>
      <c r="AD59">
        <v>21.77</v>
      </c>
      <c r="AE59">
        <v>2.56</v>
      </c>
      <c r="AF59">
        <v>0</v>
      </c>
      <c r="AG59">
        <v>1.92</v>
      </c>
      <c r="AH59">
        <v>40.96</v>
      </c>
      <c r="AI59">
        <v>16.440000000000001</v>
      </c>
      <c r="AJ59">
        <v>16.309999999999999</v>
      </c>
      <c r="AK59">
        <v>0</v>
      </c>
      <c r="AL59">
        <v>0</v>
      </c>
      <c r="AM59">
        <v>0.04</v>
      </c>
      <c r="AN59">
        <f t="shared" si="1"/>
        <v>5</v>
      </c>
      <c r="AO59" t="str">
        <f t="shared" si="2"/>
        <v>Thursday</v>
      </c>
    </row>
    <row r="60" spans="1:41" x14ac:dyDescent="0.2">
      <c r="A60" t="s">
        <v>43</v>
      </c>
      <c r="B60" s="1">
        <v>46044</v>
      </c>
      <c r="C60" s="1">
        <f t="shared" si="0"/>
        <v>46053</v>
      </c>
      <c r="D60">
        <v>39</v>
      </c>
      <c r="E60">
        <v>95</v>
      </c>
      <c r="F60">
        <v>2</v>
      </c>
      <c r="G60">
        <v>4</v>
      </c>
      <c r="H60">
        <v>6</v>
      </c>
      <c r="I60">
        <v>0</v>
      </c>
      <c r="J60">
        <v>0</v>
      </c>
      <c r="K60">
        <v>49</v>
      </c>
      <c r="L60" t="s">
        <v>43</v>
      </c>
      <c r="M60" t="s">
        <v>38</v>
      </c>
      <c r="N60" s="1">
        <v>46044</v>
      </c>
      <c r="O60" s="2">
        <v>0.58325231481481477</v>
      </c>
      <c r="P60" s="2">
        <v>0.95938657407407413</v>
      </c>
      <c r="Q60">
        <v>9.0299999999999994</v>
      </c>
      <c r="R60">
        <v>9.0299999999999994</v>
      </c>
      <c r="S60">
        <v>1.86</v>
      </c>
      <c r="T60">
        <v>0.1</v>
      </c>
      <c r="U60">
        <v>0</v>
      </c>
      <c r="V60">
        <v>0.5</v>
      </c>
      <c r="W60">
        <v>3.65</v>
      </c>
      <c r="X60">
        <v>1.46</v>
      </c>
      <c r="Y60">
        <v>1.45</v>
      </c>
      <c r="Z60">
        <v>0</v>
      </c>
      <c r="AA60">
        <v>0</v>
      </c>
      <c r="AB60">
        <v>0</v>
      </c>
      <c r="AC60">
        <v>9.0299999999999994</v>
      </c>
      <c r="AD60">
        <v>20.61</v>
      </c>
      <c r="AE60">
        <v>1.1200000000000001</v>
      </c>
      <c r="AF60">
        <v>0</v>
      </c>
      <c r="AG60">
        <v>5.58</v>
      </c>
      <c r="AH60">
        <v>40.409999999999997</v>
      </c>
      <c r="AI60">
        <v>16.170000000000002</v>
      </c>
      <c r="AJ60">
        <v>16.079999999999998</v>
      </c>
      <c r="AK60">
        <v>0</v>
      </c>
      <c r="AL60">
        <v>0</v>
      </c>
      <c r="AM60">
        <v>0.04</v>
      </c>
      <c r="AN60">
        <f t="shared" si="1"/>
        <v>5</v>
      </c>
      <c r="AO60" t="str">
        <f t="shared" si="2"/>
        <v>Thursday</v>
      </c>
    </row>
    <row r="61" spans="1:41" x14ac:dyDescent="0.2">
      <c r="B61" s="1">
        <v>46044</v>
      </c>
      <c r="C61" s="1">
        <f t="shared" si="0"/>
        <v>46053</v>
      </c>
      <c r="D61">
        <v>1147</v>
      </c>
      <c r="E61">
        <v>0</v>
      </c>
      <c r="F61">
        <v>0</v>
      </c>
      <c r="G61">
        <v>0</v>
      </c>
      <c r="H61">
        <v>0</v>
      </c>
      <c r="I61">
        <v>0</v>
      </c>
      <c r="J61">
        <v>0</v>
      </c>
      <c r="K61">
        <v>0</v>
      </c>
      <c r="AN61">
        <f t="shared" si="1"/>
        <v>5</v>
      </c>
      <c r="AO61" t="str">
        <f t="shared" si="2"/>
        <v>Thursday</v>
      </c>
    </row>
    <row r="62" spans="1:41" x14ac:dyDescent="0.2">
      <c r="A62" t="s">
        <v>37</v>
      </c>
      <c r="B62" s="1">
        <v>46043</v>
      </c>
      <c r="C62" s="1">
        <f t="shared" si="0"/>
        <v>46053</v>
      </c>
      <c r="D62">
        <v>45</v>
      </c>
      <c r="E62">
        <v>94</v>
      </c>
      <c r="F62">
        <v>17</v>
      </c>
      <c r="G62">
        <v>7</v>
      </c>
      <c r="H62">
        <v>13</v>
      </c>
      <c r="I62">
        <v>0</v>
      </c>
      <c r="J62">
        <v>1</v>
      </c>
      <c r="K62">
        <v>35</v>
      </c>
      <c r="L62" t="s">
        <v>37</v>
      </c>
      <c r="M62" t="s">
        <v>38</v>
      </c>
      <c r="N62" s="1">
        <v>46043</v>
      </c>
      <c r="O62" s="2">
        <v>0.58431712962962967</v>
      </c>
      <c r="P62" s="2">
        <v>0.95861111111111108</v>
      </c>
      <c r="Q62">
        <v>8.98</v>
      </c>
      <c r="R62">
        <v>8.9700000000000006</v>
      </c>
      <c r="S62">
        <v>3.09</v>
      </c>
      <c r="T62">
        <v>0.57999999999999996</v>
      </c>
      <c r="U62">
        <v>0</v>
      </c>
      <c r="V62">
        <v>0.47</v>
      </c>
      <c r="W62">
        <v>2.36</v>
      </c>
      <c r="X62">
        <v>1.33</v>
      </c>
      <c r="Y62">
        <v>1.05</v>
      </c>
      <c r="Z62">
        <v>0</v>
      </c>
      <c r="AA62">
        <v>0.08</v>
      </c>
      <c r="AB62">
        <v>0.01</v>
      </c>
      <c r="AC62">
        <v>8.9700000000000006</v>
      </c>
      <c r="AD62">
        <v>34.479999999999997</v>
      </c>
      <c r="AE62">
        <v>6.51</v>
      </c>
      <c r="AF62">
        <v>0</v>
      </c>
      <c r="AG62">
        <v>5.19</v>
      </c>
      <c r="AH62">
        <v>26.34</v>
      </c>
      <c r="AI62">
        <v>14.84</v>
      </c>
      <c r="AJ62">
        <v>11.65</v>
      </c>
      <c r="AK62">
        <v>0</v>
      </c>
      <c r="AL62">
        <v>0.87</v>
      </c>
      <c r="AM62">
        <v>0.12</v>
      </c>
      <c r="AN62">
        <f t="shared" si="1"/>
        <v>4</v>
      </c>
      <c r="AO62" t="str">
        <f t="shared" si="2"/>
        <v>Wednesday</v>
      </c>
    </row>
    <row r="63" spans="1:41" x14ac:dyDescent="0.2">
      <c r="A63" t="s">
        <v>39</v>
      </c>
      <c r="B63" s="1">
        <v>46043</v>
      </c>
      <c r="C63" s="1">
        <f t="shared" si="0"/>
        <v>46053</v>
      </c>
      <c r="D63">
        <v>69</v>
      </c>
      <c r="E63">
        <v>128</v>
      </c>
      <c r="F63">
        <v>18</v>
      </c>
      <c r="G63">
        <v>6</v>
      </c>
      <c r="H63">
        <v>7</v>
      </c>
      <c r="I63">
        <v>1</v>
      </c>
      <c r="J63">
        <v>0</v>
      </c>
      <c r="K63">
        <v>60</v>
      </c>
      <c r="L63" t="s">
        <v>39</v>
      </c>
      <c r="M63" t="s">
        <v>38</v>
      </c>
      <c r="N63" s="1">
        <v>46043</v>
      </c>
      <c r="O63" s="2">
        <v>0.58355324074074078</v>
      </c>
      <c r="P63" s="2">
        <v>0.9583680555555556</v>
      </c>
      <c r="Q63">
        <v>9</v>
      </c>
      <c r="R63">
        <v>9</v>
      </c>
      <c r="S63">
        <v>3.52</v>
      </c>
      <c r="T63">
        <v>0</v>
      </c>
      <c r="U63">
        <v>0</v>
      </c>
      <c r="V63">
        <v>0.11</v>
      </c>
      <c r="W63">
        <v>2.78</v>
      </c>
      <c r="X63">
        <v>1.46</v>
      </c>
      <c r="Y63">
        <v>1.1100000000000001</v>
      </c>
      <c r="Z63">
        <v>0</v>
      </c>
      <c r="AA63">
        <v>0</v>
      </c>
      <c r="AB63">
        <v>0.01</v>
      </c>
      <c r="AC63">
        <v>9</v>
      </c>
      <c r="AD63">
        <v>39.130000000000003</v>
      </c>
      <c r="AE63">
        <v>0</v>
      </c>
      <c r="AF63">
        <v>0</v>
      </c>
      <c r="AG63">
        <v>1.28</v>
      </c>
      <c r="AH63">
        <v>30.9</v>
      </c>
      <c r="AI63">
        <v>16.28</v>
      </c>
      <c r="AJ63">
        <v>12.33</v>
      </c>
      <c r="AK63">
        <v>0</v>
      </c>
      <c r="AL63">
        <v>0</v>
      </c>
      <c r="AM63">
        <v>0.09</v>
      </c>
      <c r="AN63">
        <f t="shared" si="1"/>
        <v>4</v>
      </c>
      <c r="AO63" t="str">
        <f t="shared" si="2"/>
        <v>Wednesday</v>
      </c>
    </row>
    <row r="64" spans="1:41" x14ac:dyDescent="0.2">
      <c r="A64" t="s">
        <v>40</v>
      </c>
      <c r="B64" s="1">
        <v>46043</v>
      </c>
      <c r="C64" s="1">
        <f t="shared" si="0"/>
        <v>46053</v>
      </c>
      <c r="D64">
        <v>68</v>
      </c>
      <c r="E64">
        <v>144</v>
      </c>
      <c r="F64">
        <v>13</v>
      </c>
      <c r="G64">
        <v>3</v>
      </c>
      <c r="H64">
        <v>9</v>
      </c>
      <c r="I64">
        <v>0</v>
      </c>
      <c r="J64">
        <v>1</v>
      </c>
      <c r="K64">
        <v>84</v>
      </c>
      <c r="L64" t="s">
        <v>40</v>
      </c>
      <c r="M64" t="s">
        <v>38</v>
      </c>
      <c r="N64" s="1">
        <v>46043</v>
      </c>
      <c r="O64" s="2">
        <v>0.58329861111111114</v>
      </c>
      <c r="P64" s="2">
        <v>0.95839120370370368</v>
      </c>
      <c r="Q64">
        <v>9.02</v>
      </c>
      <c r="R64">
        <v>9</v>
      </c>
      <c r="S64">
        <v>2.34</v>
      </c>
      <c r="T64">
        <v>0.69</v>
      </c>
      <c r="U64">
        <v>0</v>
      </c>
      <c r="V64">
        <v>0.31</v>
      </c>
      <c r="W64">
        <v>3.09</v>
      </c>
      <c r="X64">
        <v>1.5</v>
      </c>
      <c r="Y64">
        <v>1.07</v>
      </c>
      <c r="Z64">
        <v>0</v>
      </c>
      <c r="AA64">
        <v>0</v>
      </c>
      <c r="AB64">
        <v>0.01</v>
      </c>
      <c r="AC64">
        <v>9</v>
      </c>
      <c r="AD64">
        <v>25.97</v>
      </c>
      <c r="AE64">
        <v>7.66</v>
      </c>
      <c r="AF64">
        <v>0</v>
      </c>
      <c r="AG64">
        <v>3.44</v>
      </c>
      <c r="AH64">
        <v>34.33</v>
      </c>
      <c r="AI64">
        <v>16.649999999999999</v>
      </c>
      <c r="AJ64">
        <v>11.89</v>
      </c>
      <c r="AK64">
        <v>0</v>
      </c>
      <c r="AL64">
        <v>0</v>
      </c>
      <c r="AM64">
        <v>0.06</v>
      </c>
      <c r="AN64">
        <f t="shared" si="1"/>
        <v>4</v>
      </c>
      <c r="AO64" t="str">
        <f t="shared" si="2"/>
        <v>Wednesday</v>
      </c>
    </row>
    <row r="65" spans="1:41" x14ac:dyDescent="0.2">
      <c r="A65" t="s">
        <v>41</v>
      </c>
      <c r="B65" s="1">
        <v>46043</v>
      </c>
      <c r="C65" s="1">
        <f t="shared" si="0"/>
        <v>46053</v>
      </c>
      <c r="D65">
        <v>84</v>
      </c>
      <c r="E65">
        <v>168</v>
      </c>
      <c r="F65">
        <v>24</v>
      </c>
      <c r="G65">
        <v>4</v>
      </c>
      <c r="H65">
        <v>15</v>
      </c>
      <c r="I65">
        <v>0</v>
      </c>
      <c r="J65">
        <v>4</v>
      </c>
      <c r="K65">
        <v>76</v>
      </c>
      <c r="L65" t="s">
        <v>41</v>
      </c>
      <c r="M65" t="s">
        <v>38</v>
      </c>
      <c r="N65" s="1">
        <v>46043</v>
      </c>
      <c r="O65" s="2">
        <v>0.58314814814814819</v>
      </c>
      <c r="P65" s="2">
        <v>0.95707175925925925</v>
      </c>
      <c r="Q65">
        <v>8.98</v>
      </c>
      <c r="R65">
        <v>8.9700000000000006</v>
      </c>
      <c r="S65">
        <v>2.65</v>
      </c>
      <c r="T65">
        <v>0.45</v>
      </c>
      <c r="U65">
        <v>0</v>
      </c>
      <c r="V65">
        <v>0.3</v>
      </c>
      <c r="W65">
        <v>3.03</v>
      </c>
      <c r="X65">
        <v>1.42</v>
      </c>
      <c r="Y65">
        <v>1.1100000000000001</v>
      </c>
      <c r="Z65">
        <v>0</v>
      </c>
      <c r="AA65">
        <v>0</v>
      </c>
      <c r="AB65">
        <v>0</v>
      </c>
      <c r="AC65">
        <v>8.9700000000000006</v>
      </c>
      <c r="AD65">
        <v>29.59</v>
      </c>
      <c r="AE65">
        <v>4.96</v>
      </c>
      <c r="AF65">
        <v>0</v>
      </c>
      <c r="AG65">
        <v>3.4</v>
      </c>
      <c r="AH65">
        <v>33.770000000000003</v>
      </c>
      <c r="AI65">
        <v>15.84</v>
      </c>
      <c r="AJ65">
        <v>12.39</v>
      </c>
      <c r="AK65">
        <v>0</v>
      </c>
      <c r="AL65">
        <v>0</v>
      </c>
      <c r="AM65">
        <v>0.05</v>
      </c>
      <c r="AN65">
        <f t="shared" si="1"/>
        <v>4</v>
      </c>
      <c r="AO65" t="str">
        <f t="shared" si="2"/>
        <v>Wednesday</v>
      </c>
    </row>
    <row r="66" spans="1:41" x14ac:dyDescent="0.2">
      <c r="A66" t="s">
        <v>43</v>
      </c>
      <c r="B66" s="1">
        <v>46043</v>
      </c>
      <c r="C66" s="1">
        <f t="shared" si="0"/>
        <v>46053</v>
      </c>
      <c r="D66">
        <v>54</v>
      </c>
      <c r="E66">
        <v>122</v>
      </c>
      <c r="F66">
        <v>15</v>
      </c>
      <c r="G66">
        <v>9</v>
      </c>
      <c r="H66">
        <v>12</v>
      </c>
      <c r="I66">
        <v>0</v>
      </c>
      <c r="J66">
        <v>3</v>
      </c>
      <c r="K66">
        <v>44</v>
      </c>
      <c r="L66" t="s">
        <v>43</v>
      </c>
      <c r="M66" t="s">
        <v>38</v>
      </c>
      <c r="N66" s="1">
        <v>46043</v>
      </c>
      <c r="O66" s="2">
        <v>0.5837268518518518</v>
      </c>
      <c r="P66" s="2">
        <v>0.96021990740740737</v>
      </c>
      <c r="Q66">
        <v>9.0299999999999994</v>
      </c>
      <c r="R66">
        <v>9.0399999999999991</v>
      </c>
      <c r="S66">
        <v>3.43</v>
      </c>
      <c r="T66">
        <v>0.23</v>
      </c>
      <c r="U66">
        <v>0</v>
      </c>
      <c r="V66">
        <v>0.7</v>
      </c>
      <c r="W66">
        <v>2.75</v>
      </c>
      <c r="X66">
        <v>1.47</v>
      </c>
      <c r="Y66">
        <v>0.45</v>
      </c>
      <c r="Z66">
        <v>0</v>
      </c>
      <c r="AA66">
        <v>0</v>
      </c>
      <c r="AB66">
        <v>0</v>
      </c>
      <c r="AC66">
        <v>9.0399999999999991</v>
      </c>
      <c r="AD66">
        <v>37.92</v>
      </c>
      <c r="AE66">
        <v>2.58</v>
      </c>
      <c r="AF66">
        <v>0</v>
      </c>
      <c r="AG66">
        <v>7.75</v>
      </c>
      <c r="AH66">
        <v>30.45</v>
      </c>
      <c r="AI66">
        <v>16.28</v>
      </c>
      <c r="AJ66">
        <v>4.99</v>
      </c>
      <c r="AK66">
        <v>0</v>
      </c>
      <c r="AL66">
        <v>0</v>
      </c>
      <c r="AM66">
        <v>0.03</v>
      </c>
      <c r="AN66">
        <f t="shared" si="1"/>
        <v>4</v>
      </c>
      <c r="AO66" t="str">
        <f t="shared" si="2"/>
        <v>Wednesday</v>
      </c>
    </row>
    <row r="67" spans="1:41" x14ac:dyDescent="0.2">
      <c r="B67" s="1">
        <v>46043</v>
      </c>
      <c r="C67" s="1">
        <f t="shared" ref="C67:C130" si="3">EOMONTH(B67,0)</f>
        <v>46053</v>
      </c>
      <c r="D67">
        <v>1369</v>
      </c>
      <c r="E67">
        <v>0</v>
      </c>
      <c r="F67">
        <v>0</v>
      </c>
      <c r="G67">
        <v>0</v>
      </c>
      <c r="H67">
        <v>0</v>
      </c>
      <c r="I67">
        <v>0</v>
      </c>
      <c r="J67">
        <v>0</v>
      </c>
      <c r="K67">
        <v>0</v>
      </c>
      <c r="AN67">
        <f t="shared" ref="AN67:AN130" si="4">WEEKDAY(B67,1)</f>
        <v>4</v>
      </c>
      <c r="AO67" t="str">
        <f t="shared" ref="AO67:AO130" si="5">VLOOKUP(AN67,$AY$2:$AZ$8,2,FALSE)</f>
        <v>Wednesday</v>
      </c>
    </row>
    <row r="68" spans="1:41" x14ac:dyDescent="0.2">
      <c r="A68" t="s">
        <v>37</v>
      </c>
      <c r="B68" s="1">
        <v>46042</v>
      </c>
      <c r="C68" s="1">
        <f t="shared" si="3"/>
        <v>46053</v>
      </c>
      <c r="D68">
        <v>67</v>
      </c>
      <c r="E68">
        <v>82</v>
      </c>
      <c r="F68">
        <v>14</v>
      </c>
      <c r="G68">
        <v>8</v>
      </c>
      <c r="H68">
        <v>4</v>
      </c>
      <c r="I68">
        <v>0</v>
      </c>
      <c r="J68">
        <v>1</v>
      </c>
      <c r="K68">
        <v>1</v>
      </c>
      <c r="L68" t="s">
        <v>37</v>
      </c>
      <c r="M68" t="s">
        <v>38</v>
      </c>
      <c r="N68" s="1">
        <v>46042</v>
      </c>
      <c r="O68" s="2">
        <v>0.58380787037037041</v>
      </c>
      <c r="P68" s="2">
        <v>0.95893518518518517</v>
      </c>
      <c r="Q68">
        <v>9</v>
      </c>
      <c r="R68">
        <v>8.2200000000000006</v>
      </c>
      <c r="S68">
        <v>3.75</v>
      </c>
      <c r="T68">
        <v>0.36</v>
      </c>
      <c r="U68">
        <v>0</v>
      </c>
      <c r="V68">
        <v>0.48</v>
      </c>
      <c r="W68">
        <v>2.79</v>
      </c>
      <c r="X68">
        <v>0.64</v>
      </c>
      <c r="Y68">
        <v>0.21</v>
      </c>
      <c r="Z68">
        <v>0</v>
      </c>
      <c r="AA68">
        <v>0</v>
      </c>
      <c r="AB68">
        <v>0.01</v>
      </c>
      <c r="AC68">
        <v>8.2200000000000006</v>
      </c>
      <c r="AD68">
        <v>45.56</v>
      </c>
      <c r="AE68">
        <v>4.32</v>
      </c>
      <c r="AF68">
        <v>0</v>
      </c>
      <c r="AG68">
        <v>5.82</v>
      </c>
      <c r="AH68">
        <v>33.93</v>
      </c>
      <c r="AI68">
        <v>7.73</v>
      </c>
      <c r="AJ68">
        <v>2.5099999999999998</v>
      </c>
      <c r="AK68">
        <v>0</v>
      </c>
      <c r="AL68">
        <v>0</v>
      </c>
      <c r="AM68">
        <v>0.13</v>
      </c>
      <c r="AN68">
        <f t="shared" si="4"/>
        <v>3</v>
      </c>
      <c r="AO68" t="str">
        <f t="shared" si="5"/>
        <v>Tuesday</v>
      </c>
    </row>
    <row r="69" spans="1:41" x14ac:dyDescent="0.2">
      <c r="A69" t="s">
        <v>39</v>
      </c>
      <c r="B69" s="1">
        <v>46042</v>
      </c>
      <c r="C69" s="1">
        <f t="shared" si="3"/>
        <v>46053</v>
      </c>
      <c r="D69">
        <v>82</v>
      </c>
      <c r="E69">
        <v>104</v>
      </c>
      <c r="F69">
        <v>13</v>
      </c>
      <c r="G69">
        <v>7</v>
      </c>
      <c r="H69">
        <v>7</v>
      </c>
      <c r="I69">
        <v>0</v>
      </c>
      <c r="J69">
        <v>2</v>
      </c>
      <c r="K69">
        <v>2</v>
      </c>
      <c r="L69" t="s">
        <v>39</v>
      </c>
      <c r="M69" t="s">
        <v>38</v>
      </c>
      <c r="N69" s="1">
        <v>46042</v>
      </c>
      <c r="O69" s="2">
        <v>0.58259259259259255</v>
      </c>
      <c r="P69" s="2">
        <v>0.95994212962962966</v>
      </c>
      <c r="Q69">
        <v>9.07</v>
      </c>
      <c r="R69">
        <v>9.0500000000000007</v>
      </c>
      <c r="S69">
        <v>3.89</v>
      </c>
      <c r="T69">
        <v>0.15</v>
      </c>
      <c r="U69">
        <v>0</v>
      </c>
      <c r="V69">
        <v>0.16</v>
      </c>
      <c r="W69">
        <v>3.33</v>
      </c>
      <c r="X69">
        <v>1.5</v>
      </c>
      <c r="Y69">
        <v>0</v>
      </c>
      <c r="Z69">
        <v>0</v>
      </c>
      <c r="AA69">
        <v>0</v>
      </c>
      <c r="AB69">
        <v>0.03</v>
      </c>
      <c r="AC69">
        <v>9.0500000000000007</v>
      </c>
      <c r="AD69">
        <v>43.01</v>
      </c>
      <c r="AE69">
        <v>1.66</v>
      </c>
      <c r="AF69">
        <v>0</v>
      </c>
      <c r="AG69">
        <v>1.77</v>
      </c>
      <c r="AH69">
        <v>36.75</v>
      </c>
      <c r="AI69">
        <v>16.53</v>
      </c>
      <c r="AJ69">
        <v>0</v>
      </c>
      <c r="AK69">
        <v>0</v>
      </c>
      <c r="AL69">
        <v>0</v>
      </c>
      <c r="AM69">
        <v>0.28000000000000003</v>
      </c>
      <c r="AN69">
        <f t="shared" si="4"/>
        <v>3</v>
      </c>
      <c r="AO69" t="str">
        <f t="shared" si="5"/>
        <v>Tuesday</v>
      </c>
    </row>
    <row r="70" spans="1:41" x14ac:dyDescent="0.2">
      <c r="A70" t="s">
        <v>40</v>
      </c>
      <c r="B70" s="1">
        <v>46042</v>
      </c>
      <c r="C70" s="1">
        <f t="shared" si="3"/>
        <v>46053</v>
      </c>
      <c r="D70">
        <v>85</v>
      </c>
      <c r="E70">
        <v>104</v>
      </c>
      <c r="F70">
        <v>9</v>
      </c>
      <c r="G70">
        <v>3</v>
      </c>
      <c r="H70">
        <v>3</v>
      </c>
      <c r="I70">
        <v>2</v>
      </c>
      <c r="J70">
        <v>0</v>
      </c>
      <c r="K70">
        <v>9</v>
      </c>
      <c r="L70" t="s">
        <v>40</v>
      </c>
      <c r="M70" t="s">
        <v>38</v>
      </c>
      <c r="N70" s="1">
        <v>46042</v>
      </c>
      <c r="O70" s="2">
        <v>0.58299768518518513</v>
      </c>
      <c r="P70" s="2">
        <v>0.95864583333333331</v>
      </c>
      <c r="Q70">
        <v>9.02</v>
      </c>
      <c r="R70">
        <v>9.01</v>
      </c>
      <c r="S70">
        <v>3.7</v>
      </c>
      <c r="T70">
        <v>0.91</v>
      </c>
      <c r="U70">
        <v>0</v>
      </c>
      <c r="V70">
        <v>0.44</v>
      </c>
      <c r="W70">
        <v>2.31</v>
      </c>
      <c r="X70">
        <v>1.47</v>
      </c>
      <c r="Y70">
        <v>0</v>
      </c>
      <c r="Z70">
        <v>0</v>
      </c>
      <c r="AA70">
        <v>0.18</v>
      </c>
      <c r="AB70">
        <v>0.01</v>
      </c>
      <c r="AC70">
        <v>9.01</v>
      </c>
      <c r="AD70">
        <v>41.01</v>
      </c>
      <c r="AE70">
        <v>10.09</v>
      </c>
      <c r="AF70">
        <v>0</v>
      </c>
      <c r="AG70">
        <v>4.93</v>
      </c>
      <c r="AH70">
        <v>25.59</v>
      </c>
      <c r="AI70">
        <v>16.28</v>
      </c>
      <c r="AJ70">
        <v>0</v>
      </c>
      <c r="AK70">
        <v>0</v>
      </c>
      <c r="AL70">
        <v>1.99</v>
      </c>
      <c r="AM70">
        <v>0.11</v>
      </c>
      <c r="AN70">
        <f t="shared" si="4"/>
        <v>3</v>
      </c>
      <c r="AO70" t="str">
        <f t="shared" si="5"/>
        <v>Tuesday</v>
      </c>
    </row>
    <row r="71" spans="1:41" x14ac:dyDescent="0.2">
      <c r="A71" t="s">
        <v>41</v>
      </c>
      <c r="B71" s="1">
        <v>46042</v>
      </c>
      <c r="C71" s="1">
        <f t="shared" si="3"/>
        <v>46053</v>
      </c>
      <c r="D71">
        <v>95</v>
      </c>
      <c r="E71">
        <v>104</v>
      </c>
      <c r="F71">
        <v>6</v>
      </c>
      <c r="G71">
        <v>11</v>
      </c>
      <c r="H71">
        <v>9</v>
      </c>
      <c r="I71">
        <v>2</v>
      </c>
      <c r="J71">
        <v>8</v>
      </c>
      <c r="K71">
        <v>2</v>
      </c>
      <c r="L71" t="s">
        <v>41</v>
      </c>
      <c r="M71" t="s">
        <v>38</v>
      </c>
      <c r="N71" s="1">
        <v>46042</v>
      </c>
      <c r="O71" s="2">
        <v>0.58325231481481477</v>
      </c>
      <c r="P71" s="2">
        <v>0.95791666666666664</v>
      </c>
      <c r="Q71">
        <v>9</v>
      </c>
      <c r="R71">
        <v>8.99</v>
      </c>
      <c r="S71">
        <v>3.46</v>
      </c>
      <c r="T71">
        <v>0.7</v>
      </c>
      <c r="U71">
        <v>0</v>
      </c>
      <c r="V71">
        <v>0.46</v>
      </c>
      <c r="W71">
        <v>2.9</v>
      </c>
      <c r="X71">
        <v>1.45</v>
      </c>
      <c r="Y71">
        <v>0</v>
      </c>
      <c r="Z71">
        <v>0</v>
      </c>
      <c r="AA71">
        <v>0.01</v>
      </c>
      <c r="AB71">
        <v>0</v>
      </c>
      <c r="AC71">
        <v>8.99</v>
      </c>
      <c r="AD71">
        <v>38.53</v>
      </c>
      <c r="AE71">
        <v>7.81</v>
      </c>
      <c r="AF71">
        <v>0</v>
      </c>
      <c r="AG71">
        <v>5.1100000000000003</v>
      </c>
      <c r="AH71">
        <v>32.25</v>
      </c>
      <c r="AI71">
        <v>16.12</v>
      </c>
      <c r="AJ71">
        <v>0.01</v>
      </c>
      <c r="AK71">
        <v>0</v>
      </c>
      <c r="AL71">
        <v>0.14000000000000001</v>
      </c>
      <c r="AM71">
        <v>0.04</v>
      </c>
      <c r="AN71">
        <f t="shared" si="4"/>
        <v>3</v>
      </c>
      <c r="AO71" t="str">
        <f t="shared" si="5"/>
        <v>Tuesday</v>
      </c>
    </row>
    <row r="72" spans="1:41" x14ac:dyDescent="0.2">
      <c r="A72" t="s">
        <v>42</v>
      </c>
      <c r="B72" s="1">
        <v>46042</v>
      </c>
      <c r="C72" s="1">
        <f t="shared" si="3"/>
        <v>46053</v>
      </c>
      <c r="D72">
        <v>1</v>
      </c>
      <c r="E72">
        <v>1</v>
      </c>
      <c r="F72">
        <v>0</v>
      </c>
      <c r="G72">
        <v>0</v>
      </c>
      <c r="H72">
        <v>1</v>
      </c>
      <c r="I72">
        <v>0</v>
      </c>
      <c r="J72">
        <v>0</v>
      </c>
      <c r="K72">
        <v>0</v>
      </c>
      <c r="L72" t="s">
        <v>42</v>
      </c>
      <c r="M72" t="s">
        <v>38</v>
      </c>
      <c r="N72" s="1">
        <v>46042</v>
      </c>
      <c r="O72" s="2">
        <v>0.8510416666666667</v>
      </c>
      <c r="P72" s="2">
        <v>0.86232638888888891</v>
      </c>
      <c r="Q72">
        <v>0.27</v>
      </c>
      <c r="R72">
        <v>0.27</v>
      </c>
      <c r="S72">
        <v>0.26</v>
      </c>
      <c r="T72">
        <v>0</v>
      </c>
      <c r="U72">
        <v>0</v>
      </c>
      <c r="V72">
        <v>0</v>
      </c>
      <c r="W72">
        <v>0</v>
      </c>
      <c r="X72">
        <v>0</v>
      </c>
      <c r="Y72">
        <v>0</v>
      </c>
      <c r="Z72">
        <v>0</v>
      </c>
      <c r="AA72">
        <v>0</v>
      </c>
      <c r="AB72">
        <v>0.01</v>
      </c>
      <c r="AC72">
        <v>0.27</v>
      </c>
      <c r="AD72">
        <v>96.1</v>
      </c>
      <c r="AE72">
        <v>0</v>
      </c>
      <c r="AF72">
        <v>0</v>
      </c>
      <c r="AG72">
        <v>1.74</v>
      </c>
      <c r="AH72">
        <v>0</v>
      </c>
      <c r="AI72">
        <v>0</v>
      </c>
      <c r="AJ72">
        <v>0</v>
      </c>
      <c r="AK72">
        <v>0</v>
      </c>
      <c r="AL72">
        <v>0</v>
      </c>
      <c r="AM72">
        <v>2.15</v>
      </c>
      <c r="AN72">
        <f t="shared" si="4"/>
        <v>3</v>
      </c>
      <c r="AO72" t="str">
        <f t="shared" si="5"/>
        <v>Tuesday</v>
      </c>
    </row>
    <row r="73" spans="1:41" x14ac:dyDescent="0.2">
      <c r="A73" t="s">
        <v>43</v>
      </c>
      <c r="B73" s="1">
        <v>46042</v>
      </c>
      <c r="C73" s="1">
        <f t="shared" si="3"/>
        <v>46053</v>
      </c>
      <c r="D73">
        <v>81</v>
      </c>
      <c r="E73">
        <v>108</v>
      </c>
      <c r="F73">
        <v>6</v>
      </c>
      <c r="G73">
        <v>4</v>
      </c>
      <c r="H73">
        <v>8</v>
      </c>
      <c r="I73">
        <v>0</v>
      </c>
      <c r="J73">
        <v>2</v>
      </c>
      <c r="K73">
        <v>1</v>
      </c>
      <c r="L73" t="s">
        <v>43</v>
      </c>
      <c r="M73" t="s">
        <v>38</v>
      </c>
      <c r="N73" s="1">
        <v>46042</v>
      </c>
      <c r="O73" s="2">
        <v>0.58378472222222222</v>
      </c>
      <c r="P73" s="2">
        <v>0.95917824074074076</v>
      </c>
      <c r="Q73">
        <v>9.02</v>
      </c>
      <c r="R73">
        <v>9.01</v>
      </c>
      <c r="S73">
        <v>3.38</v>
      </c>
      <c r="T73">
        <v>0.45</v>
      </c>
      <c r="U73">
        <v>0</v>
      </c>
      <c r="V73">
        <v>0.59</v>
      </c>
      <c r="W73">
        <v>3.15</v>
      </c>
      <c r="X73">
        <v>1.44</v>
      </c>
      <c r="Y73">
        <v>0</v>
      </c>
      <c r="Z73">
        <v>0</v>
      </c>
      <c r="AA73">
        <v>0</v>
      </c>
      <c r="AB73">
        <v>0.01</v>
      </c>
      <c r="AC73">
        <v>9.01</v>
      </c>
      <c r="AD73">
        <v>37.479999999999997</v>
      </c>
      <c r="AE73">
        <v>4.97</v>
      </c>
      <c r="AF73">
        <v>0</v>
      </c>
      <c r="AG73">
        <v>6.59</v>
      </c>
      <c r="AH73">
        <v>34.92</v>
      </c>
      <c r="AI73">
        <v>15.99</v>
      </c>
      <c r="AJ73">
        <v>0</v>
      </c>
      <c r="AK73">
        <v>0</v>
      </c>
      <c r="AL73">
        <v>0</v>
      </c>
      <c r="AM73">
        <v>0.06</v>
      </c>
      <c r="AN73">
        <f t="shared" si="4"/>
        <v>3</v>
      </c>
      <c r="AO73" t="str">
        <f t="shared" si="5"/>
        <v>Tuesday</v>
      </c>
    </row>
    <row r="74" spans="1:41" x14ac:dyDescent="0.2">
      <c r="A74" t="s">
        <v>37</v>
      </c>
      <c r="B74" s="1">
        <v>46038</v>
      </c>
      <c r="C74" s="1">
        <f t="shared" si="3"/>
        <v>46053</v>
      </c>
      <c r="D74">
        <v>66</v>
      </c>
      <c r="E74">
        <v>77</v>
      </c>
      <c r="F74">
        <v>6</v>
      </c>
      <c r="G74">
        <v>2</v>
      </c>
      <c r="H74">
        <v>11</v>
      </c>
      <c r="I74">
        <v>0</v>
      </c>
      <c r="J74">
        <v>2</v>
      </c>
      <c r="K74">
        <v>2</v>
      </c>
      <c r="L74" t="s">
        <v>37</v>
      </c>
      <c r="M74" t="s">
        <v>38</v>
      </c>
      <c r="N74" s="1">
        <v>46038</v>
      </c>
      <c r="O74" s="2">
        <v>0.58177083333333335</v>
      </c>
      <c r="P74" s="2">
        <v>0.95901620370370366</v>
      </c>
      <c r="Q74">
        <v>9.0500000000000007</v>
      </c>
      <c r="R74">
        <v>7.98</v>
      </c>
      <c r="S74">
        <v>2.62</v>
      </c>
      <c r="T74">
        <v>0.42</v>
      </c>
      <c r="U74">
        <v>0</v>
      </c>
      <c r="V74">
        <v>0.55000000000000004</v>
      </c>
      <c r="W74">
        <v>3.52</v>
      </c>
      <c r="X74">
        <v>0.24</v>
      </c>
      <c r="Y74">
        <v>0.56999999999999995</v>
      </c>
      <c r="Z74">
        <v>0</v>
      </c>
      <c r="AA74">
        <v>0</v>
      </c>
      <c r="AB74">
        <v>0.05</v>
      </c>
      <c r="AC74">
        <v>7.98</v>
      </c>
      <c r="AD74">
        <v>32.880000000000003</v>
      </c>
      <c r="AE74">
        <v>5.28</v>
      </c>
      <c r="AF74">
        <v>0</v>
      </c>
      <c r="AG74">
        <v>6.91</v>
      </c>
      <c r="AH74">
        <v>44.09</v>
      </c>
      <c r="AI74">
        <v>3</v>
      </c>
      <c r="AJ74">
        <v>7.16</v>
      </c>
      <c r="AK74">
        <v>0</v>
      </c>
      <c r="AL74">
        <v>0</v>
      </c>
      <c r="AM74">
        <v>0.69</v>
      </c>
      <c r="AN74">
        <f t="shared" si="4"/>
        <v>6</v>
      </c>
      <c r="AO74" t="str">
        <f t="shared" si="5"/>
        <v>Friday</v>
      </c>
    </row>
    <row r="75" spans="1:41" x14ac:dyDescent="0.2">
      <c r="A75" t="s">
        <v>40</v>
      </c>
      <c r="B75" s="1">
        <v>46038</v>
      </c>
      <c r="C75" s="1">
        <f t="shared" si="3"/>
        <v>46053</v>
      </c>
      <c r="D75">
        <v>76</v>
      </c>
      <c r="E75">
        <v>102</v>
      </c>
      <c r="F75">
        <v>13</v>
      </c>
      <c r="G75">
        <v>1</v>
      </c>
      <c r="H75">
        <v>16</v>
      </c>
      <c r="I75">
        <v>0</v>
      </c>
      <c r="J75">
        <v>1</v>
      </c>
      <c r="K75">
        <v>4</v>
      </c>
      <c r="L75" t="s">
        <v>40</v>
      </c>
      <c r="M75" t="s">
        <v>38</v>
      </c>
      <c r="N75" s="1">
        <v>46038</v>
      </c>
      <c r="O75" s="2">
        <v>0.58363425925925927</v>
      </c>
      <c r="P75" s="2">
        <v>0.95834490740740741</v>
      </c>
      <c r="Q75">
        <v>9</v>
      </c>
      <c r="R75">
        <v>8.99</v>
      </c>
      <c r="S75">
        <v>2.67</v>
      </c>
      <c r="T75">
        <v>0.31</v>
      </c>
      <c r="U75">
        <v>0</v>
      </c>
      <c r="V75">
        <v>0.23</v>
      </c>
      <c r="W75">
        <v>4.3</v>
      </c>
      <c r="X75">
        <v>1.49</v>
      </c>
      <c r="Y75">
        <v>0</v>
      </c>
      <c r="Z75">
        <v>0</v>
      </c>
      <c r="AA75">
        <v>0</v>
      </c>
      <c r="AB75">
        <v>0</v>
      </c>
      <c r="AC75">
        <v>8.99</v>
      </c>
      <c r="AD75">
        <v>29.67</v>
      </c>
      <c r="AE75">
        <v>3.4</v>
      </c>
      <c r="AF75">
        <v>0</v>
      </c>
      <c r="AG75">
        <v>2.5299999999999998</v>
      </c>
      <c r="AH75">
        <v>47.84</v>
      </c>
      <c r="AI75">
        <v>16.52</v>
      </c>
      <c r="AJ75">
        <v>0</v>
      </c>
      <c r="AK75">
        <v>0</v>
      </c>
      <c r="AL75">
        <v>0</v>
      </c>
      <c r="AM75">
        <v>0.04</v>
      </c>
      <c r="AN75">
        <f t="shared" si="4"/>
        <v>6</v>
      </c>
      <c r="AO75" t="str">
        <f t="shared" si="5"/>
        <v>Friday</v>
      </c>
    </row>
    <row r="76" spans="1:41" x14ac:dyDescent="0.2">
      <c r="A76" t="s">
        <v>41</v>
      </c>
      <c r="B76" s="1">
        <v>46038</v>
      </c>
      <c r="C76" s="1">
        <f t="shared" si="3"/>
        <v>46053</v>
      </c>
      <c r="D76">
        <v>75</v>
      </c>
      <c r="E76">
        <v>81</v>
      </c>
      <c r="F76">
        <v>8</v>
      </c>
      <c r="G76">
        <v>10</v>
      </c>
      <c r="H76">
        <v>7</v>
      </c>
      <c r="I76">
        <v>0</v>
      </c>
      <c r="J76">
        <v>6</v>
      </c>
      <c r="K76">
        <v>0</v>
      </c>
      <c r="L76" t="s">
        <v>41</v>
      </c>
      <c r="M76" t="s">
        <v>38</v>
      </c>
      <c r="N76" s="1">
        <v>46038</v>
      </c>
      <c r="O76" s="2">
        <v>0.58277777777777773</v>
      </c>
      <c r="P76" s="2">
        <v>0.95791666666666664</v>
      </c>
      <c r="Q76">
        <v>9</v>
      </c>
      <c r="R76">
        <v>8.9600000000000009</v>
      </c>
      <c r="S76">
        <v>2.68</v>
      </c>
      <c r="T76">
        <v>0.34</v>
      </c>
      <c r="U76">
        <v>0</v>
      </c>
      <c r="V76">
        <v>0.38</v>
      </c>
      <c r="W76">
        <v>4.07</v>
      </c>
      <c r="X76">
        <v>1.48</v>
      </c>
      <c r="Y76">
        <v>0</v>
      </c>
      <c r="Z76">
        <v>0</v>
      </c>
      <c r="AA76">
        <v>0</v>
      </c>
      <c r="AB76">
        <v>0.01</v>
      </c>
      <c r="AC76">
        <v>8.9600000000000009</v>
      </c>
      <c r="AD76">
        <v>29.85</v>
      </c>
      <c r="AE76">
        <v>3.81</v>
      </c>
      <c r="AF76">
        <v>0</v>
      </c>
      <c r="AG76">
        <v>4.29</v>
      </c>
      <c r="AH76">
        <v>45.38</v>
      </c>
      <c r="AI76">
        <v>16.53</v>
      </c>
      <c r="AJ76">
        <v>0</v>
      </c>
      <c r="AK76">
        <v>0</v>
      </c>
      <c r="AL76">
        <v>0</v>
      </c>
      <c r="AM76">
        <v>0.15</v>
      </c>
      <c r="AN76">
        <f t="shared" si="4"/>
        <v>6</v>
      </c>
      <c r="AO76" t="str">
        <f t="shared" si="5"/>
        <v>Friday</v>
      </c>
    </row>
    <row r="77" spans="1:41" x14ac:dyDescent="0.2">
      <c r="A77" t="s">
        <v>43</v>
      </c>
      <c r="B77" s="1">
        <v>46038</v>
      </c>
      <c r="C77" s="1">
        <f t="shared" si="3"/>
        <v>46053</v>
      </c>
      <c r="D77">
        <v>1</v>
      </c>
      <c r="E77">
        <v>1</v>
      </c>
      <c r="F77">
        <v>1</v>
      </c>
      <c r="G77">
        <v>0</v>
      </c>
      <c r="H77">
        <v>0</v>
      </c>
      <c r="I77">
        <v>0</v>
      </c>
      <c r="J77">
        <v>0</v>
      </c>
      <c r="K77">
        <v>0</v>
      </c>
      <c r="AN77">
        <f t="shared" si="4"/>
        <v>6</v>
      </c>
      <c r="AO77" t="str">
        <f t="shared" si="5"/>
        <v>Friday</v>
      </c>
    </row>
    <row r="78" spans="1:41" x14ac:dyDescent="0.2">
      <c r="A78" t="s">
        <v>37</v>
      </c>
      <c r="B78" s="1">
        <v>46037</v>
      </c>
      <c r="C78" s="1">
        <f t="shared" si="3"/>
        <v>46053</v>
      </c>
      <c r="D78">
        <v>37</v>
      </c>
      <c r="E78">
        <v>57</v>
      </c>
      <c r="F78">
        <v>4</v>
      </c>
      <c r="G78">
        <v>8</v>
      </c>
      <c r="H78">
        <v>12</v>
      </c>
      <c r="I78">
        <v>1</v>
      </c>
      <c r="J78">
        <v>1</v>
      </c>
      <c r="K78">
        <v>19</v>
      </c>
      <c r="L78" t="s">
        <v>37</v>
      </c>
      <c r="M78" t="s">
        <v>38</v>
      </c>
      <c r="N78" s="1">
        <v>46037</v>
      </c>
      <c r="O78" s="2">
        <v>0.58355324074074078</v>
      </c>
      <c r="P78" s="2">
        <v>0.96357638888888886</v>
      </c>
      <c r="Q78">
        <v>9.1199999999999992</v>
      </c>
      <c r="R78">
        <v>9.1199999999999992</v>
      </c>
      <c r="S78">
        <v>2.68</v>
      </c>
      <c r="T78">
        <v>0.47</v>
      </c>
      <c r="U78">
        <v>0</v>
      </c>
      <c r="V78">
        <v>0.45</v>
      </c>
      <c r="W78">
        <v>2.84</v>
      </c>
      <c r="X78">
        <v>1.49</v>
      </c>
      <c r="Y78">
        <v>1.19</v>
      </c>
      <c r="Z78">
        <v>0</v>
      </c>
      <c r="AA78">
        <v>0</v>
      </c>
      <c r="AB78">
        <v>0.01</v>
      </c>
      <c r="AC78">
        <v>9.1199999999999992</v>
      </c>
      <c r="AD78">
        <v>29.41</v>
      </c>
      <c r="AE78">
        <v>5.18</v>
      </c>
      <c r="AF78">
        <v>0</v>
      </c>
      <c r="AG78">
        <v>4.8899999999999997</v>
      </c>
      <c r="AH78">
        <v>31.1</v>
      </c>
      <c r="AI78">
        <v>16.37</v>
      </c>
      <c r="AJ78">
        <v>13</v>
      </c>
      <c r="AK78">
        <v>0</v>
      </c>
      <c r="AL78">
        <v>0</v>
      </c>
      <c r="AM78">
        <v>0.05</v>
      </c>
      <c r="AN78">
        <f t="shared" si="4"/>
        <v>5</v>
      </c>
      <c r="AO78" t="str">
        <f t="shared" si="5"/>
        <v>Thursday</v>
      </c>
    </row>
    <row r="79" spans="1:41" x14ac:dyDescent="0.2">
      <c r="A79" t="s">
        <v>40</v>
      </c>
      <c r="B79" s="1">
        <v>46037</v>
      </c>
      <c r="C79" s="1">
        <f t="shared" si="3"/>
        <v>46053</v>
      </c>
      <c r="D79">
        <v>31</v>
      </c>
      <c r="E79">
        <v>55</v>
      </c>
      <c r="F79">
        <v>4</v>
      </c>
      <c r="G79">
        <v>9</v>
      </c>
      <c r="H79">
        <v>16</v>
      </c>
      <c r="I79">
        <v>0</v>
      </c>
      <c r="J79">
        <v>1</v>
      </c>
      <c r="K79">
        <v>15</v>
      </c>
      <c r="L79" t="s">
        <v>40</v>
      </c>
      <c r="M79" t="s">
        <v>38</v>
      </c>
      <c r="N79" s="1">
        <v>46037</v>
      </c>
      <c r="O79" s="2">
        <v>0.58340277777777783</v>
      </c>
      <c r="P79" s="2">
        <v>0.95839120370370368</v>
      </c>
      <c r="Q79">
        <v>9</v>
      </c>
      <c r="R79">
        <v>9</v>
      </c>
      <c r="S79">
        <v>2.8</v>
      </c>
      <c r="T79">
        <v>0.21</v>
      </c>
      <c r="U79">
        <v>0</v>
      </c>
      <c r="V79">
        <v>0.34</v>
      </c>
      <c r="W79">
        <v>2.2599999999999998</v>
      </c>
      <c r="X79">
        <v>1.49</v>
      </c>
      <c r="Y79">
        <v>1.88</v>
      </c>
      <c r="Z79">
        <v>0</v>
      </c>
      <c r="AA79">
        <v>0.02</v>
      </c>
      <c r="AB79">
        <v>0</v>
      </c>
      <c r="AC79">
        <v>9</v>
      </c>
      <c r="AD79">
        <v>31.09</v>
      </c>
      <c r="AE79">
        <v>2.34</v>
      </c>
      <c r="AF79">
        <v>0</v>
      </c>
      <c r="AG79">
        <v>3.82</v>
      </c>
      <c r="AH79">
        <v>25.07</v>
      </c>
      <c r="AI79">
        <v>16.57</v>
      </c>
      <c r="AJ79">
        <v>20.9</v>
      </c>
      <c r="AK79">
        <v>0</v>
      </c>
      <c r="AL79">
        <v>0.18</v>
      </c>
      <c r="AM79">
        <v>0.03</v>
      </c>
      <c r="AN79">
        <f t="shared" si="4"/>
        <v>5</v>
      </c>
      <c r="AO79" t="str">
        <f t="shared" si="5"/>
        <v>Thursday</v>
      </c>
    </row>
    <row r="80" spans="1:41" x14ac:dyDescent="0.2">
      <c r="A80" t="s">
        <v>41</v>
      </c>
      <c r="B80" s="1">
        <v>46037</v>
      </c>
      <c r="C80" s="1">
        <f t="shared" si="3"/>
        <v>46053</v>
      </c>
      <c r="D80">
        <v>43</v>
      </c>
      <c r="E80">
        <v>63</v>
      </c>
      <c r="F80">
        <v>8</v>
      </c>
      <c r="G80">
        <v>6</v>
      </c>
      <c r="H80">
        <v>12</v>
      </c>
      <c r="I80">
        <v>0</v>
      </c>
      <c r="J80">
        <v>3</v>
      </c>
      <c r="K80">
        <v>21</v>
      </c>
      <c r="L80" t="s">
        <v>41</v>
      </c>
      <c r="M80" t="s">
        <v>38</v>
      </c>
      <c r="N80" s="1">
        <v>46037</v>
      </c>
      <c r="O80" s="2">
        <v>0.58319444444444446</v>
      </c>
      <c r="P80" s="2">
        <v>0.95766203703703701</v>
      </c>
      <c r="Q80">
        <v>9</v>
      </c>
      <c r="R80">
        <v>8.99</v>
      </c>
      <c r="S80">
        <v>1.91</v>
      </c>
      <c r="T80">
        <v>0.61</v>
      </c>
      <c r="U80">
        <v>0</v>
      </c>
      <c r="V80">
        <v>0.38</v>
      </c>
      <c r="W80">
        <v>3.34</v>
      </c>
      <c r="X80">
        <v>1.46</v>
      </c>
      <c r="Y80">
        <v>1.29</v>
      </c>
      <c r="Z80">
        <v>0</v>
      </c>
      <c r="AA80">
        <v>0</v>
      </c>
      <c r="AB80">
        <v>0.01</v>
      </c>
      <c r="AC80">
        <v>8.99</v>
      </c>
      <c r="AD80">
        <v>21.26</v>
      </c>
      <c r="AE80">
        <v>6.74</v>
      </c>
      <c r="AF80">
        <v>0</v>
      </c>
      <c r="AG80">
        <v>4.1900000000000004</v>
      </c>
      <c r="AH80">
        <v>37.159999999999997</v>
      </c>
      <c r="AI80">
        <v>16.25</v>
      </c>
      <c r="AJ80">
        <v>14.34</v>
      </c>
      <c r="AK80">
        <v>0</v>
      </c>
      <c r="AL80">
        <v>0</v>
      </c>
      <c r="AM80">
        <v>0.06</v>
      </c>
      <c r="AN80">
        <f t="shared" si="4"/>
        <v>5</v>
      </c>
      <c r="AO80" t="str">
        <f t="shared" si="5"/>
        <v>Thursday</v>
      </c>
    </row>
    <row r="81" spans="1:41" x14ac:dyDescent="0.2">
      <c r="A81" t="s">
        <v>43</v>
      </c>
      <c r="B81" s="1">
        <v>46037</v>
      </c>
      <c r="C81" s="1">
        <f t="shared" si="3"/>
        <v>46053</v>
      </c>
      <c r="D81">
        <v>48</v>
      </c>
      <c r="E81">
        <v>104</v>
      </c>
      <c r="F81">
        <v>7</v>
      </c>
      <c r="G81">
        <v>6</v>
      </c>
      <c r="H81">
        <v>20</v>
      </c>
      <c r="I81">
        <v>1</v>
      </c>
      <c r="J81">
        <v>0</v>
      </c>
      <c r="K81">
        <v>28</v>
      </c>
      <c r="L81" t="s">
        <v>43</v>
      </c>
      <c r="M81" t="s">
        <v>38</v>
      </c>
      <c r="N81" s="1">
        <v>46037</v>
      </c>
      <c r="O81" s="2">
        <v>0.58325231481481477</v>
      </c>
      <c r="P81" s="2">
        <v>0.95903935185185185</v>
      </c>
      <c r="Q81">
        <v>9.0299999999999994</v>
      </c>
      <c r="R81">
        <v>9.02</v>
      </c>
      <c r="S81">
        <v>2.38</v>
      </c>
      <c r="T81">
        <v>0.13</v>
      </c>
      <c r="U81">
        <v>0</v>
      </c>
      <c r="V81">
        <v>0.54</v>
      </c>
      <c r="W81">
        <v>3.19</v>
      </c>
      <c r="X81">
        <v>1.47</v>
      </c>
      <c r="Y81">
        <v>1.31</v>
      </c>
      <c r="Z81">
        <v>0</v>
      </c>
      <c r="AA81">
        <v>0</v>
      </c>
      <c r="AB81">
        <v>0</v>
      </c>
      <c r="AC81">
        <v>9.02</v>
      </c>
      <c r="AD81">
        <v>26.34</v>
      </c>
      <c r="AE81">
        <v>1.44</v>
      </c>
      <c r="AF81">
        <v>0</v>
      </c>
      <c r="AG81">
        <v>5.98</v>
      </c>
      <c r="AH81">
        <v>35.380000000000003</v>
      </c>
      <c r="AI81">
        <v>16.34</v>
      </c>
      <c r="AJ81">
        <v>14.47</v>
      </c>
      <c r="AK81">
        <v>0</v>
      </c>
      <c r="AL81">
        <v>0.02</v>
      </c>
      <c r="AM81">
        <v>0.03</v>
      </c>
      <c r="AN81">
        <f t="shared" si="4"/>
        <v>5</v>
      </c>
      <c r="AO81" t="str">
        <f t="shared" si="5"/>
        <v>Thursday</v>
      </c>
    </row>
    <row r="82" spans="1:41" x14ac:dyDescent="0.2">
      <c r="B82" s="1">
        <v>46037</v>
      </c>
      <c r="C82" s="1">
        <f t="shared" si="3"/>
        <v>46053</v>
      </c>
      <c r="D82">
        <v>808</v>
      </c>
      <c r="E82">
        <v>0</v>
      </c>
      <c r="F82">
        <v>0</v>
      </c>
      <c r="G82">
        <v>0</v>
      </c>
      <c r="H82">
        <v>0</v>
      </c>
      <c r="I82">
        <v>0</v>
      </c>
      <c r="J82">
        <v>0</v>
      </c>
      <c r="K82">
        <v>0</v>
      </c>
      <c r="AN82">
        <f t="shared" si="4"/>
        <v>5</v>
      </c>
      <c r="AO82" t="str">
        <f t="shared" si="5"/>
        <v>Thursday</v>
      </c>
    </row>
    <row r="83" spans="1:41" x14ac:dyDescent="0.2">
      <c r="A83" t="s">
        <v>37</v>
      </c>
      <c r="B83" s="1">
        <v>46036</v>
      </c>
      <c r="C83" s="1">
        <f t="shared" si="3"/>
        <v>46053</v>
      </c>
      <c r="D83">
        <v>51</v>
      </c>
      <c r="E83">
        <v>122</v>
      </c>
      <c r="F83">
        <v>6</v>
      </c>
      <c r="G83">
        <v>10</v>
      </c>
      <c r="H83">
        <v>18</v>
      </c>
      <c r="I83">
        <v>0</v>
      </c>
      <c r="J83">
        <v>0</v>
      </c>
      <c r="K83">
        <v>52</v>
      </c>
      <c r="L83" t="s">
        <v>37</v>
      </c>
      <c r="M83" t="s">
        <v>38</v>
      </c>
      <c r="N83" s="1">
        <v>46036</v>
      </c>
      <c r="O83" s="2">
        <v>0.58348379629629632</v>
      </c>
      <c r="P83" s="2">
        <v>0.95871527777777776</v>
      </c>
      <c r="Q83">
        <v>9</v>
      </c>
      <c r="R83">
        <v>8.2899999999999991</v>
      </c>
      <c r="S83">
        <v>3.06</v>
      </c>
      <c r="T83">
        <v>0.5</v>
      </c>
      <c r="U83">
        <v>0</v>
      </c>
      <c r="V83">
        <v>0.41</v>
      </c>
      <c r="W83">
        <v>3.43</v>
      </c>
      <c r="X83">
        <v>0.79</v>
      </c>
      <c r="Y83">
        <v>0</v>
      </c>
      <c r="Z83">
        <v>0</v>
      </c>
      <c r="AA83">
        <v>7.0000000000000007E-2</v>
      </c>
      <c r="AB83">
        <v>0.03</v>
      </c>
      <c r="AC83">
        <v>8.2899999999999991</v>
      </c>
      <c r="AD83">
        <v>36.909999999999997</v>
      </c>
      <c r="AE83">
        <v>6.04</v>
      </c>
      <c r="AF83">
        <v>0</v>
      </c>
      <c r="AG83">
        <v>4.9800000000000004</v>
      </c>
      <c r="AH83">
        <v>41.34</v>
      </c>
      <c r="AI83">
        <v>9.56</v>
      </c>
      <c r="AJ83">
        <v>0</v>
      </c>
      <c r="AK83">
        <v>0</v>
      </c>
      <c r="AL83">
        <v>0.85</v>
      </c>
      <c r="AM83">
        <v>0.33</v>
      </c>
      <c r="AN83">
        <f t="shared" si="4"/>
        <v>4</v>
      </c>
      <c r="AO83" t="str">
        <f t="shared" si="5"/>
        <v>Wednesday</v>
      </c>
    </row>
    <row r="84" spans="1:41" x14ac:dyDescent="0.2">
      <c r="A84" t="s">
        <v>39</v>
      </c>
      <c r="B84" s="1">
        <v>46036</v>
      </c>
      <c r="C84" s="1">
        <f t="shared" si="3"/>
        <v>46053</v>
      </c>
      <c r="D84">
        <v>72</v>
      </c>
      <c r="E84">
        <v>195</v>
      </c>
      <c r="F84">
        <v>6</v>
      </c>
      <c r="G84">
        <v>1</v>
      </c>
      <c r="H84">
        <v>16</v>
      </c>
      <c r="I84">
        <v>4</v>
      </c>
      <c r="J84">
        <v>2</v>
      </c>
      <c r="K84">
        <v>121</v>
      </c>
      <c r="L84" t="s">
        <v>39</v>
      </c>
      <c r="M84" t="s">
        <v>38</v>
      </c>
      <c r="N84" s="1">
        <v>46036</v>
      </c>
      <c r="O84" s="2">
        <v>0.58355324074074078</v>
      </c>
      <c r="P84" s="2">
        <v>0.95998842592592593</v>
      </c>
      <c r="Q84">
        <v>9.0299999999999994</v>
      </c>
      <c r="R84">
        <v>9.0299999999999994</v>
      </c>
      <c r="S84">
        <v>3.16</v>
      </c>
      <c r="T84">
        <v>0</v>
      </c>
      <c r="U84">
        <v>0</v>
      </c>
      <c r="V84">
        <v>7.0000000000000007E-2</v>
      </c>
      <c r="W84">
        <v>4.2300000000000004</v>
      </c>
      <c r="X84">
        <v>1.49</v>
      </c>
      <c r="Y84">
        <v>0.08</v>
      </c>
      <c r="Z84">
        <v>0</v>
      </c>
      <c r="AA84">
        <v>0</v>
      </c>
      <c r="AB84">
        <v>0.01</v>
      </c>
      <c r="AC84">
        <v>9.0299999999999994</v>
      </c>
      <c r="AD84">
        <v>35.01</v>
      </c>
      <c r="AE84">
        <v>0</v>
      </c>
      <c r="AF84">
        <v>0</v>
      </c>
      <c r="AG84">
        <v>0.75</v>
      </c>
      <c r="AH84">
        <v>46.83</v>
      </c>
      <c r="AI84">
        <v>16.440000000000001</v>
      </c>
      <c r="AJ84">
        <v>0.91</v>
      </c>
      <c r="AK84">
        <v>0</v>
      </c>
      <c r="AL84">
        <v>0</v>
      </c>
      <c r="AM84">
        <v>0.06</v>
      </c>
      <c r="AN84">
        <f t="shared" si="4"/>
        <v>4</v>
      </c>
      <c r="AO84" t="str">
        <f t="shared" si="5"/>
        <v>Wednesday</v>
      </c>
    </row>
    <row r="85" spans="1:41" x14ac:dyDescent="0.2">
      <c r="A85" t="s">
        <v>40</v>
      </c>
      <c r="B85" s="1">
        <v>46036</v>
      </c>
      <c r="C85" s="1">
        <f t="shared" si="3"/>
        <v>46053</v>
      </c>
      <c r="D85">
        <v>66</v>
      </c>
      <c r="E85">
        <v>169</v>
      </c>
      <c r="F85">
        <v>9</v>
      </c>
      <c r="G85">
        <v>7</v>
      </c>
      <c r="H85">
        <v>9</v>
      </c>
      <c r="I85">
        <v>1</v>
      </c>
      <c r="J85">
        <v>0</v>
      </c>
      <c r="K85">
        <v>90</v>
      </c>
      <c r="L85" t="s">
        <v>40</v>
      </c>
      <c r="M85" t="s">
        <v>38</v>
      </c>
      <c r="N85" s="1">
        <v>46036</v>
      </c>
      <c r="O85" s="2">
        <v>0.58343750000000005</v>
      </c>
      <c r="P85" s="2">
        <v>0.95944444444444443</v>
      </c>
      <c r="Q85">
        <v>9.02</v>
      </c>
      <c r="R85">
        <v>8.8000000000000007</v>
      </c>
      <c r="S85">
        <v>2.23</v>
      </c>
      <c r="T85">
        <v>0.22</v>
      </c>
      <c r="U85">
        <v>0</v>
      </c>
      <c r="V85">
        <v>0.24</v>
      </c>
      <c r="W85">
        <v>3.91</v>
      </c>
      <c r="X85">
        <v>1.3</v>
      </c>
      <c r="Y85">
        <v>0.89</v>
      </c>
      <c r="Z85">
        <v>0</v>
      </c>
      <c r="AA85">
        <v>0</v>
      </c>
      <c r="AB85">
        <v>0.01</v>
      </c>
      <c r="AC85">
        <v>8.8000000000000007</v>
      </c>
      <c r="AD85">
        <v>25.36</v>
      </c>
      <c r="AE85">
        <v>2.4700000000000002</v>
      </c>
      <c r="AF85">
        <v>0</v>
      </c>
      <c r="AG85">
        <v>2.79</v>
      </c>
      <c r="AH85">
        <v>44.41</v>
      </c>
      <c r="AI85">
        <v>14.82</v>
      </c>
      <c r="AJ85">
        <v>10.08</v>
      </c>
      <c r="AK85">
        <v>0</v>
      </c>
      <c r="AL85">
        <v>0</v>
      </c>
      <c r="AM85">
        <v>0.08</v>
      </c>
      <c r="AN85">
        <f t="shared" si="4"/>
        <v>4</v>
      </c>
      <c r="AO85" t="str">
        <f t="shared" si="5"/>
        <v>Wednesday</v>
      </c>
    </row>
    <row r="86" spans="1:41" x14ac:dyDescent="0.2">
      <c r="A86" t="s">
        <v>41</v>
      </c>
      <c r="B86" s="1">
        <v>46036</v>
      </c>
      <c r="C86" s="1">
        <f t="shared" si="3"/>
        <v>46053</v>
      </c>
      <c r="D86">
        <v>35</v>
      </c>
      <c r="E86">
        <v>78</v>
      </c>
      <c r="F86">
        <v>3</v>
      </c>
      <c r="G86">
        <v>3</v>
      </c>
      <c r="H86">
        <v>5</v>
      </c>
      <c r="I86">
        <v>0</v>
      </c>
      <c r="J86">
        <v>3</v>
      </c>
      <c r="K86">
        <v>43</v>
      </c>
      <c r="L86" t="s">
        <v>41</v>
      </c>
      <c r="M86" t="s">
        <v>38</v>
      </c>
      <c r="N86" s="1">
        <v>46036</v>
      </c>
      <c r="O86" s="2">
        <v>0.58303240740740736</v>
      </c>
      <c r="P86" s="2">
        <v>0.83347222222222217</v>
      </c>
      <c r="Q86">
        <v>6.02</v>
      </c>
      <c r="R86">
        <v>4.79</v>
      </c>
      <c r="S86">
        <v>1.1100000000000001</v>
      </c>
      <c r="T86">
        <v>0.32</v>
      </c>
      <c r="U86">
        <v>0</v>
      </c>
      <c r="V86">
        <v>0.34</v>
      </c>
      <c r="W86">
        <v>2.5299999999999998</v>
      </c>
      <c r="X86">
        <v>0.48</v>
      </c>
      <c r="Y86">
        <v>0</v>
      </c>
      <c r="Z86">
        <v>0</v>
      </c>
      <c r="AA86">
        <v>0</v>
      </c>
      <c r="AB86">
        <v>0.01</v>
      </c>
      <c r="AC86">
        <v>4.79</v>
      </c>
      <c r="AD86">
        <v>23.08</v>
      </c>
      <c r="AE86">
        <v>6.75</v>
      </c>
      <c r="AF86">
        <v>0</v>
      </c>
      <c r="AG86">
        <v>7.03</v>
      </c>
      <c r="AH86">
        <v>52.89</v>
      </c>
      <c r="AI86">
        <v>9.9700000000000006</v>
      </c>
      <c r="AJ86">
        <v>0</v>
      </c>
      <c r="AK86">
        <v>0</v>
      </c>
      <c r="AL86">
        <v>0</v>
      </c>
      <c r="AM86">
        <v>0.27</v>
      </c>
      <c r="AN86">
        <f t="shared" si="4"/>
        <v>4</v>
      </c>
      <c r="AO86" t="str">
        <f t="shared" si="5"/>
        <v>Wednesday</v>
      </c>
    </row>
    <row r="87" spans="1:41" x14ac:dyDescent="0.2">
      <c r="A87" t="s">
        <v>45</v>
      </c>
      <c r="B87" s="1">
        <v>46036</v>
      </c>
      <c r="C87" s="1">
        <f t="shared" si="3"/>
        <v>46053</v>
      </c>
      <c r="D87">
        <v>1</v>
      </c>
      <c r="E87">
        <v>3</v>
      </c>
      <c r="F87">
        <v>0</v>
      </c>
      <c r="G87">
        <v>1</v>
      </c>
      <c r="H87">
        <v>0</v>
      </c>
      <c r="I87">
        <v>0</v>
      </c>
      <c r="J87">
        <v>0</v>
      </c>
      <c r="K87">
        <v>0</v>
      </c>
      <c r="AN87">
        <f t="shared" si="4"/>
        <v>4</v>
      </c>
      <c r="AO87" t="str">
        <f t="shared" si="5"/>
        <v>Wednesday</v>
      </c>
    </row>
    <row r="88" spans="1:41" x14ac:dyDescent="0.2">
      <c r="A88" t="s">
        <v>43</v>
      </c>
      <c r="B88" s="1">
        <v>46036</v>
      </c>
      <c r="C88" s="1">
        <f t="shared" si="3"/>
        <v>46053</v>
      </c>
      <c r="D88">
        <v>78</v>
      </c>
      <c r="E88">
        <v>225</v>
      </c>
      <c r="F88">
        <v>2</v>
      </c>
      <c r="G88">
        <v>4</v>
      </c>
      <c r="H88">
        <v>24</v>
      </c>
      <c r="I88">
        <v>2</v>
      </c>
      <c r="J88">
        <v>1</v>
      </c>
      <c r="K88">
        <v>119</v>
      </c>
      <c r="L88" t="s">
        <v>43</v>
      </c>
      <c r="M88" t="s">
        <v>38</v>
      </c>
      <c r="N88" s="1">
        <v>46036</v>
      </c>
      <c r="O88" s="2">
        <v>0.58333333333333337</v>
      </c>
      <c r="P88" s="2">
        <v>0.9589699074074074</v>
      </c>
      <c r="Q88">
        <v>9</v>
      </c>
      <c r="R88">
        <v>9.02</v>
      </c>
      <c r="S88">
        <v>1.95</v>
      </c>
      <c r="T88">
        <v>0.13</v>
      </c>
      <c r="U88">
        <v>0</v>
      </c>
      <c r="V88">
        <v>0.6</v>
      </c>
      <c r="W88">
        <v>4.91</v>
      </c>
      <c r="X88">
        <v>1.42</v>
      </c>
      <c r="Y88">
        <v>0</v>
      </c>
      <c r="Z88">
        <v>0</v>
      </c>
      <c r="AA88">
        <v>0</v>
      </c>
      <c r="AB88">
        <v>0</v>
      </c>
      <c r="AC88">
        <v>9.02</v>
      </c>
      <c r="AD88">
        <v>21.61</v>
      </c>
      <c r="AE88">
        <v>1.46</v>
      </c>
      <c r="AF88">
        <v>0</v>
      </c>
      <c r="AG88">
        <v>6.66</v>
      </c>
      <c r="AH88">
        <v>54.5</v>
      </c>
      <c r="AI88">
        <v>15.73</v>
      </c>
      <c r="AJ88">
        <v>0</v>
      </c>
      <c r="AK88">
        <v>0</v>
      </c>
      <c r="AL88">
        <v>0</v>
      </c>
      <c r="AM88">
        <v>0.05</v>
      </c>
      <c r="AN88">
        <f t="shared" si="4"/>
        <v>4</v>
      </c>
      <c r="AO88" t="str">
        <f t="shared" si="5"/>
        <v>Wednesday</v>
      </c>
    </row>
    <row r="89" spans="1:41" x14ac:dyDescent="0.2">
      <c r="B89" s="1">
        <v>46036</v>
      </c>
      <c r="C89" s="1">
        <f t="shared" si="3"/>
        <v>46053</v>
      </c>
      <c r="D89">
        <v>1188</v>
      </c>
      <c r="E89">
        <v>0</v>
      </c>
      <c r="F89">
        <v>0</v>
      </c>
      <c r="G89">
        <v>0</v>
      </c>
      <c r="H89">
        <v>0</v>
      </c>
      <c r="I89">
        <v>0</v>
      </c>
      <c r="J89">
        <v>0</v>
      </c>
      <c r="K89">
        <v>0</v>
      </c>
      <c r="AN89">
        <f t="shared" si="4"/>
        <v>4</v>
      </c>
      <c r="AO89" t="str">
        <f t="shared" si="5"/>
        <v>Wednesday</v>
      </c>
    </row>
    <row r="90" spans="1:41" x14ac:dyDescent="0.2">
      <c r="A90" t="s">
        <v>37</v>
      </c>
      <c r="B90" s="1">
        <v>46035</v>
      </c>
      <c r="C90" s="1">
        <f t="shared" si="3"/>
        <v>46053</v>
      </c>
      <c r="D90">
        <v>62</v>
      </c>
      <c r="E90">
        <v>143</v>
      </c>
      <c r="F90">
        <v>6</v>
      </c>
      <c r="G90">
        <v>12</v>
      </c>
      <c r="H90">
        <v>6</v>
      </c>
      <c r="I90">
        <v>4</v>
      </c>
      <c r="J90">
        <v>4</v>
      </c>
      <c r="K90">
        <v>64</v>
      </c>
      <c r="L90" t="s">
        <v>37</v>
      </c>
      <c r="M90" t="s">
        <v>38</v>
      </c>
      <c r="N90" s="1">
        <v>46035</v>
      </c>
      <c r="O90" s="2">
        <v>0.58378472222222222</v>
      </c>
      <c r="P90" s="2">
        <v>0.95840277777777783</v>
      </c>
      <c r="Q90">
        <v>9</v>
      </c>
      <c r="R90">
        <v>8.99</v>
      </c>
      <c r="S90">
        <v>3.12</v>
      </c>
      <c r="T90">
        <v>0.23</v>
      </c>
      <c r="U90">
        <v>0</v>
      </c>
      <c r="V90">
        <v>0.62</v>
      </c>
      <c r="W90">
        <v>2.35</v>
      </c>
      <c r="X90">
        <v>1.46</v>
      </c>
      <c r="Y90">
        <v>1.21</v>
      </c>
      <c r="Z90">
        <v>0</v>
      </c>
      <c r="AA90">
        <v>0</v>
      </c>
      <c r="AB90">
        <v>0.01</v>
      </c>
      <c r="AC90">
        <v>8.99</v>
      </c>
      <c r="AD90">
        <v>34.700000000000003</v>
      </c>
      <c r="AE90">
        <v>2.58</v>
      </c>
      <c r="AF90">
        <v>0</v>
      </c>
      <c r="AG90">
        <v>6.85</v>
      </c>
      <c r="AH90">
        <v>26.11</v>
      </c>
      <c r="AI90">
        <v>16.239999999999998</v>
      </c>
      <c r="AJ90">
        <v>13.46</v>
      </c>
      <c r="AK90">
        <v>0</v>
      </c>
      <c r="AL90">
        <v>0</v>
      </c>
      <c r="AM90">
        <v>0.06</v>
      </c>
      <c r="AN90">
        <f t="shared" si="4"/>
        <v>3</v>
      </c>
      <c r="AO90" t="str">
        <f t="shared" si="5"/>
        <v>Tuesday</v>
      </c>
    </row>
    <row r="91" spans="1:41" x14ac:dyDescent="0.2">
      <c r="A91" t="s">
        <v>39</v>
      </c>
      <c r="B91" s="1">
        <v>46035</v>
      </c>
      <c r="C91" s="1">
        <f t="shared" si="3"/>
        <v>46053</v>
      </c>
      <c r="D91">
        <v>68</v>
      </c>
      <c r="E91">
        <v>179</v>
      </c>
      <c r="F91">
        <v>16</v>
      </c>
      <c r="G91">
        <v>17</v>
      </c>
      <c r="H91">
        <v>17</v>
      </c>
      <c r="I91">
        <v>2</v>
      </c>
      <c r="J91">
        <v>8</v>
      </c>
      <c r="K91">
        <v>85</v>
      </c>
      <c r="L91" t="s">
        <v>39</v>
      </c>
      <c r="M91" t="s">
        <v>38</v>
      </c>
      <c r="N91" s="1">
        <v>46035</v>
      </c>
      <c r="O91" s="2">
        <v>0.58311342592592597</v>
      </c>
      <c r="P91" s="2">
        <v>0.9601736111111111</v>
      </c>
      <c r="Q91">
        <v>9.0500000000000007</v>
      </c>
      <c r="R91">
        <v>9.0500000000000007</v>
      </c>
      <c r="S91">
        <v>3.37</v>
      </c>
      <c r="T91">
        <v>0.1</v>
      </c>
      <c r="U91">
        <v>0</v>
      </c>
      <c r="V91">
        <v>0.11</v>
      </c>
      <c r="W91">
        <v>3.36</v>
      </c>
      <c r="X91">
        <v>1.38</v>
      </c>
      <c r="Y91">
        <v>0.73</v>
      </c>
      <c r="Z91">
        <v>0</v>
      </c>
      <c r="AA91">
        <v>0</v>
      </c>
      <c r="AB91">
        <v>0.01</v>
      </c>
      <c r="AC91">
        <v>9.0500000000000007</v>
      </c>
      <c r="AD91">
        <v>37.200000000000003</v>
      </c>
      <c r="AE91">
        <v>1.05</v>
      </c>
      <c r="AF91">
        <v>0</v>
      </c>
      <c r="AG91">
        <v>1.22</v>
      </c>
      <c r="AH91">
        <v>37.15</v>
      </c>
      <c r="AI91">
        <v>15.2</v>
      </c>
      <c r="AJ91">
        <v>8.09</v>
      </c>
      <c r="AK91">
        <v>0</v>
      </c>
      <c r="AL91">
        <v>0</v>
      </c>
      <c r="AM91">
        <v>0.1</v>
      </c>
      <c r="AN91">
        <f t="shared" si="4"/>
        <v>3</v>
      </c>
      <c r="AO91" t="str">
        <f t="shared" si="5"/>
        <v>Tuesday</v>
      </c>
    </row>
    <row r="92" spans="1:41" x14ac:dyDescent="0.2">
      <c r="A92" t="s">
        <v>40</v>
      </c>
      <c r="B92" s="1">
        <v>46035</v>
      </c>
      <c r="C92" s="1">
        <f t="shared" si="3"/>
        <v>46053</v>
      </c>
      <c r="D92">
        <v>66</v>
      </c>
      <c r="E92">
        <v>173</v>
      </c>
      <c r="F92">
        <v>15</v>
      </c>
      <c r="G92">
        <v>11</v>
      </c>
      <c r="H92">
        <v>17</v>
      </c>
      <c r="I92">
        <v>0</v>
      </c>
      <c r="J92">
        <v>1</v>
      </c>
      <c r="K92">
        <v>88</v>
      </c>
      <c r="L92" t="s">
        <v>40</v>
      </c>
      <c r="M92" t="s">
        <v>38</v>
      </c>
      <c r="N92" s="1">
        <v>46035</v>
      </c>
      <c r="O92" s="2">
        <v>0.58393518518518517</v>
      </c>
      <c r="P92" s="2">
        <v>0.95846064814814813</v>
      </c>
      <c r="Q92">
        <v>9</v>
      </c>
      <c r="R92">
        <v>8.99</v>
      </c>
      <c r="S92">
        <v>2.99</v>
      </c>
      <c r="T92">
        <v>0.52</v>
      </c>
      <c r="U92">
        <v>0</v>
      </c>
      <c r="V92">
        <v>0.49</v>
      </c>
      <c r="W92">
        <v>3.1</v>
      </c>
      <c r="X92">
        <v>1.51</v>
      </c>
      <c r="Y92">
        <v>0.38</v>
      </c>
      <c r="Z92">
        <v>0</v>
      </c>
      <c r="AA92">
        <v>0</v>
      </c>
      <c r="AB92">
        <v>0</v>
      </c>
      <c r="AC92">
        <v>8.99</v>
      </c>
      <c r="AD92">
        <v>33.270000000000003</v>
      </c>
      <c r="AE92">
        <v>5.74</v>
      </c>
      <c r="AF92">
        <v>0</v>
      </c>
      <c r="AG92">
        <v>5.42</v>
      </c>
      <c r="AH92">
        <v>34.5</v>
      </c>
      <c r="AI92">
        <v>16.84</v>
      </c>
      <c r="AJ92">
        <v>4.1900000000000004</v>
      </c>
      <c r="AK92">
        <v>0</v>
      </c>
      <c r="AL92">
        <v>0</v>
      </c>
      <c r="AM92">
        <v>0.03</v>
      </c>
      <c r="AN92">
        <f t="shared" si="4"/>
        <v>3</v>
      </c>
      <c r="AO92" t="str">
        <f t="shared" si="5"/>
        <v>Tuesday</v>
      </c>
    </row>
    <row r="93" spans="1:41" x14ac:dyDescent="0.2">
      <c r="A93" t="s">
        <v>41</v>
      </c>
      <c r="B93" s="1">
        <v>46035</v>
      </c>
      <c r="C93" s="1">
        <f t="shared" si="3"/>
        <v>46053</v>
      </c>
      <c r="D93">
        <v>76</v>
      </c>
      <c r="E93">
        <v>173</v>
      </c>
      <c r="F93">
        <v>16</v>
      </c>
      <c r="G93">
        <v>6</v>
      </c>
      <c r="H93">
        <v>14</v>
      </c>
      <c r="I93">
        <v>1</v>
      </c>
      <c r="J93">
        <v>8</v>
      </c>
      <c r="K93">
        <v>85</v>
      </c>
      <c r="L93" t="s">
        <v>41</v>
      </c>
      <c r="M93" t="s">
        <v>38</v>
      </c>
      <c r="N93" s="1">
        <v>46035</v>
      </c>
      <c r="O93" s="2">
        <v>0.58324074074074073</v>
      </c>
      <c r="P93" s="2">
        <v>0.96726851851851847</v>
      </c>
      <c r="Q93">
        <v>9.2200000000000006</v>
      </c>
      <c r="R93">
        <v>9.2200000000000006</v>
      </c>
      <c r="S93">
        <v>2.96</v>
      </c>
      <c r="T93">
        <v>0.3</v>
      </c>
      <c r="U93">
        <v>0</v>
      </c>
      <c r="V93">
        <v>0.46</v>
      </c>
      <c r="W93">
        <v>3.3</v>
      </c>
      <c r="X93">
        <v>1.47</v>
      </c>
      <c r="Y93">
        <v>0.73</v>
      </c>
      <c r="Z93">
        <v>0</v>
      </c>
      <c r="AA93">
        <v>0</v>
      </c>
      <c r="AB93">
        <v>0</v>
      </c>
      <c r="AC93">
        <v>9.2200000000000006</v>
      </c>
      <c r="AD93">
        <v>32.090000000000003</v>
      </c>
      <c r="AE93">
        <v>3.25</v>
      </c>
      <c r="AF93">
        <v>0</v>
      </c>
      <c r="AG93">
        <v>5.01</v>
      </c>
      <c r="AH93">
        <v>35.79</v>
      </c>
      <c r="AI93">
        <v>15.92</v>
      </c>
      <c r="AJ93">
        <v>7.91</v>
      </c>
      <c r="AK93">
        <v>0</v>
      </c>
      <c r="AL93">
        <v>0</v>
      </c>
      <c r="AM93">
        <v>0.04</v>
      </c>
      <c r="AN93">
        <f t="shared" si="4"/>
        <v>3</v>
      </c>
      <c r="AO93" t="str">
        <f t="shared" si="5"/>
        <v>Tuesday</v>
      </c>
    </row>
    <row r="94" spans="1:41" x14ac:dyDescent="0.2">
      <c r="A94" t="s">
        <v>43</v>
      </c>
      <c r="B94" s="1">
        <v>46035</v>
      </c>
      <c r="C94" s="1">
        <f t="shared" si="3"/>
        <v>46053</v>
      </c>
      <c r="D94">
        <v>81</v>
      </c>
      <c r="E94">
        <v>230</v>
      </c>
      <c r="F94">
        <v>11</v>
      </c>
      <c r="G94">
        <v>9</v>
      </c>
      <c r="H94">
        <v>12</v>
      </c>
      <c r="I94">
        <v>0</v>
      </c>
      <c r="J94">
        <v>4</v>
      </c>
      <c r="K94">
        <v>118</v>
      </c>
      <c r="L94" t="s">
        <v>43</v>
      </c>
      <c r="M94" t="s">
        <v>38</v>
      </c>
      <c r="N94" s="1">
        <v>46035</v>
      </c>
      <c r="O94" s="2">
        <v>0.58322916666666669</v>
      </c>
      <c r="P94" s="2">
        <v>0.95942129629629624</v>
      </c>
      <c r="Q94">
        <v>9.0299999999999994</v>
      </c>
      <c r="R94">
        <v>9.0299999999999994</v>
      </c>
      <c r="S94">
        <v>2.29</v>
      </c>
      <c r="T94">
        <v>0.25</v>
      </c>
      <c r="U94">
        <v>0</v>
      </c>
      <c r="V94">
        <v>0.54</v>
      </c>
      <c r="W94">
        <v>4.47</v>
      </c>
      <c r="X94">
        <v>1.44</v>
      </c>
      <c r="Y94">
        <v>0</v>
      </c>
      <c r="Z94">
        <v>0</v>
      </c>
      <c r="AA94">
        <v>0.03</v>
      </c>
      <c r="AB94">
        <v>0</v>
      </c>
      <c r="AC94">
        <v>9.0299999999999994</v>
      </c>
      <c r="AD94">
        <v>25.42</v>
      </c>
      <c r="AE94">
        <v>2.79</v>
      </c>
      <c r="AF94">
        <v>0</v>
      </c>
      <c r="AG94">
        <v>5.97</v>
      </c>
      <c r="AH94">
        <v>49.47</v>
      </c>
      <c r="AI94">
        <v>15.95</v>
      </c>
      <c r="AJ94">
        <v>0</v>
      </c>
      <c r="AK94">
        <v>0</v>
      </c>
      <c r="AL94">
        <v>0.37</v>
      </c>
      <c r="AM94">
        <v>0.03</v>
      </c>
      <c r="AN94">
        <f t="shared" si="4"/>
        <v>3</v>
      </c>
      <c r="AO94" t="str">
        <f t="shared" si="5"/>
        <v>Tuesday</v>
      </c>
    </row>
    <row r="95" spans="1:41" x14ac:dyDescent="0.2">
      <c r="B95" s="1">
        <v>46035</v>
      </c>
      <c r="C95" s="1">
        <f t="shared" si="3"/>
        <v>46053</v>
      </c>
      <c r="D95">
        <v>1286</v>
      </c>
      <c r="E95">
        <v>0</v>
      </c>
      <c r="F95">
        <v>0</v>
      </c>
      <c r="G95">
        <v>0</v>
      </c>
      <c r="H95">
        <v>0</v>
      </c>
      <c r="I95">
        <v>0</v>
      </c>
      <c r="J95">
        <v>0</v>
      </c>
      <c r="K95">
        <v>0</v>
      </c>
      <c r="AN95">
        <f t="shared" si="4"/>
        <v>3</v>
      </c>
      <c r="AO95" t="str">
        <f t="shared" si="5"/>
        <v>Tuesday</v>
      </c>
    </row>
    <row r="96" spans="1:41" x14ac:dyDescent="0.2">
      <c r="A96" t="s">
        <v>37</v>
      </c>
      <c r="B96" s="1">
        <v>46034</v>
      </c>
      <c r="C96" s="1">
        <f t="shared" si="3"/>
        <v>46053</v>
      </c>
      <c r="D96">
        <v>45</v>
      </c>
      <c r="E96">
        <v>95</v>
      </c>
      <c r="F96">
        <v>5</v>
      </c>
      <c r="G96">
        <v>3</v>
      </c>
      <c r="H96">
        <v>5</v>
      </c>
      <c r="I96">
        <v>0</v>
      </c>
      <c r="J96">
        <v>0</v>
      </c>
      <c r="K96">
        <v>47</v>
      </c>
      <c r="L96" t="s">
        <v>37</v>
      </c>
      <c r="M96" t="s">
        <v>38</v>
      </c>
      <c r="N96" s="1">
        <v>46034</v>
      </c>
      <c r="O96" s="2">
        <v>0.58309027777777778</v>
      </c>
      <c r="P96" s="2">
        <v>0.95839120370370368</v>
      </c>
      <c r="Q96">
        <v>9.02</v>
      </c>
      <c r="R96">
        <v>8.17</v>
      </c>
      <c r="S96">
        <v>3.09</v>
      </c>
      <c r="T96">
        <v>0.22</v>
      </c>
      <c r="U96">
        <v>0</v>
      </c>
      <c r="V96">
        <v>0.42</v>
      </c>
      <c r="W96">
        <v>3.73</v>
      </c>
      <c r="X96">
        <v>0.69</v>
      </c>
      <c r="Y96">
        <v>0</v>
      </c>
      <c r="Z96">
        <v>0</v>
      </c>
      <c r="AA96">
        <v>0</v>
      </c>
      <c r="AB96">
        <v>0.02</v>
      </c>
      <c r="AC96">
        <v>8.17</v>
      </c>
      <c r="AD96">
        <v>37.86</v>
      </c>
      <c r="AE96">
        <v>2.65</v>
      </c>
      <c r="AF96">
        <v>0</v>
      </c>
      <c r="AG96">
        <v>5.15</v>
      </c>
      <c r="AH96">
        <v>45.61</v>
      </c>
      <c r="AI96">
        <v>8.4499999999999993</v>
      </c>
      <c r="AJ96">
        <v>0</v>
      </c>
      <c r="AK96">
        <v>0</v>
      </c>
      <c r="AL96">
        <v>0</v>
      </c>
      <c r="AM96">
        <v>0.28000000000000003</v>
      </c>
      <c r="AN96">
        <f t="shared" si="4"/>
        <v>2</v>
      </c>
      <c r="AO96" t="str">
        <f t="shared" si="5"/>
        <v>Monday</v>
      </c>
    </row>
    <row r="97" spans="1:41" x14ac:dyDescent="0.2">
      <c r="A97" t="s">
        <v>39</v>
      </c>
      <c r="B97" s="1">
        <v>46034</v>
      </c>
      <c r="C97" s="1">
        <f t="shared" si="3"/>
        <v>46053</v>
      </c>
      <c r="D97">
        <v>63</v>
      </c>
      <c r="E97">
        <v>128</v>
      </c>
      <c r="F97">
        <v>10</v>
      </c>
      <c r="G97">
        <v>7</v>
      </c>
      <c r="H97">
        <v>7</v>
      </c>
      <c r="I97">
        <v>1</v>
      </c>
      <c r="J97">
        <v>2</v>
      </c>
      <c r="K97">
        <v>62</v>
      </c>
      <c r="L97" t="s">
        <v>39</v>
      </c>
      <c r="M97" t="s">
        <v>38</v>
      </c>
      <c r="N97" s="1">
        <v>46034</v>
      </c>
      <c r="O97" s="2">
        <v>0.58328703703703699</v>
      </c>
      <c r="P97" s="2">
        <v>0.95841435185185186</v>
      </c>
      <c r="Q97">
        <v>9.02</v>
      </c>
      <c r="R97">
        <v>9</v>
      </c>
      <c r="S97">
        <v>2.5099999999999998</v>
      </c>
      <c r="T97">
        <v>0.04</v>
      </c>
      <c r="U97">
        <v>0</v>
      </c>
      <c r="V97">
        <v>0.06</v>
      </c>
      <c r="W97">
        <v>4.8899999999999997</v>
      </c>
      <c r="X97">
        <v>1.49</v>
      </c>
      <c r="Y97">
        <v>0</v>
      </c>
      <c r="Z97">
        <v>0</v>
      </c>
      <c r="AA97">
        <v>0</v>
      </c>
      <c r="AB97">
        <v>0</v>
      </c>
      <c r="AC97">
        <v>9</v>
      </c>
      <c r="AD97">
        <v>27.93</v>
      </c>
      <c r="AE97">
        <v>0.48</v>
      </c>
      <c r="AF97">
        <v>0</v>
      </c>
      <c r="AG97">
        <v>0.64</v>
      </c>
      <c r="AH97">
        <v>54.31</v>
      </c>
      <c r="AI97">
        <v>16.600000000000001</v>
      </c>
      <c r="AJ97">
        <v>0</v>
      </c>
      <c r="AK97">
        <v>0</v>
      </c>
      <c r="AL97">
        <v>0</v>
      </c>
      <c r="AM97">
        <v>0.04</v>
      </c>
      <c r="AN97">
        <f t="shared" si="4"/>
        <v>2</v>
      </c>
      <c r="AO97" t="str">
        <f t="shared" si="5"/>
        <v>Monday</v>
      </c>
    </row>
    <row r="98" spans="1:41" x14ac:dyDescent="0.2">
      <c r="A98" t="s">
        <v>40</v>
      </c>
      <c r="B98" s="1">
        <v>46034</v>
      </c>
      <c r="C98" s="1">
        <f t="shared" si="3"/>
        <v>46053</v>
      </c>
      <c r="D98">
        <v>55</v>
      </c>
      <c r="E98">
        <v>157</v>
      </c>
      <c r="F98">
        <v>5</v>
      </c>
      <c r="G98">
        <v>2</v>
      </c>
      <c r="H98">
        <v>15</v>
      </c>
      <c r="I98">
        <v>0</v>
      </c>
      <c r="J98">
        <v>0</v>
      </c>
      <c r="K98">
        <v>99</v>
      </c>
      <c r="L98" t="s">
        <v>40</v>
      </c>
      <c r="M98" t="s">
        <v>38</v>
      </c>
      <c r="N98" s="1">
        <v>46034</v>
      </c>
      <c r="O98" s="2">
        <v>0.58379629629629626</v>
      </c>
      <c r="P98" s="2">
        <v>0.95837962962962964</v>
      </c>
      <c r="Q98">
        <v>9</v>
      </c>
      <c r="R98">
        <v>8.99</v>
      </c>
      <c r="S98">
        <v>1.83</v>
      </c>
      <c r="T98">
        <v>0.41</v>
      </c>
      <c r="U98">
        <v>0</v>
      </c>
      <c r="V98">
        <v>0.3</v>
      </c>
      <c r="W98">
        <v>4.9400000000000004</v>
      </c>
      <c r="X98">
        <v>1.5</v>
      </c>
      <c r="Y98">
        <v>0</v>
      </c>
      <c r="Z98">
        <v>0</v>
      </c>
      <c r="AA98">
        <v>0</v>
      </c>
      <c r="AB98">
        <v>0</v>
      </c>
      <c r="AC98">
        <v>8.99</v>
      </c>
      <c r="AD98">
        <v>20.41</v>
      </c>
      <c r="AE98">
        <v>4.53</v>
      </c>
      <c r="AF98">
        <v>0</v>
      </c>
      <c r="AG98">
        <v>3.36</v>
      </c>
      <c r="AH98">
        <v>54.93</v>
      </c>
      <c r="AI98">
        <v>16.739999999999998</v>
      </c>
      <c r="AJ98">
        <v>0</v>
      </c>
      <c r="AK98">
        <v>0</v>
      </c>
      <c r="AL98">
        <v>0</v>
      </c>
      <c r="AM98">
        <v>0.04</v>
      </c>
      <c r="AN98">
        <f t="shared" si="4"/>
        <v>2</v>
      </c>
      <c r="AO98" t="str">
        <f t="shared" si="5"/>
        <v>Monday</v>
      </c>
    </row>
    <row r="99" spans="1:41" x14ac:dyDescent="0.2">
      <c r="A99" t="s">
        <v>41</v>
      </c>
      <c r="B99" s="1">
        <v>46034</v>
      </c>
      <c r="C99" s="1">
        <f t="shared" si="3"/>
        <v>46053</v>
      </c>
      <c r="D99">
        <v>57</v>
      </c>
      <c r="E99">
        <v>128</v>
      </c>
      <c r="F99">
        <v>9</v>
      </c>
      <c r="G99">
        <v>4</v>
      </c>
      <c r="H99">
        <v>8</v>
      </c>
      <c r="I99">
        <v>0</v>
      </c>
      <c r="J99">
        <v>5</v>
      </c>
      <c r="K99">
        <v>64</v>
      </c>
      <c r="L99" t="s">
        <v>41</v>
      </c>
      <c r="M99" t="s">
        <v>38</v>
      </c>
      <c r="N99" s="1">
        <v>46034</v>
      </c>
      <c r="O99" s="2">
        <v>0.583125</v>
      </c>
      <c r="P99" s="2">
        <v>0.95777777777777773</v>
      </c>
      <c r="Q99">
        <v>9</v>
      </c>
      <c r="R99">
        <v>8.99</v>
      </c>
      <c r="S99">
        <v>2.0299999999999998</v>
      </c>
      <c r="T99">
        <v>0.22</v>
      </c>
      <c r="U99">
        <v>0</v>
      </c>
      <c r="V99">
        <v>0.35</v>
      </c>
      <c r="W99">
        <v>4.93</v>
      </c>
      <c r="X99">
        <v>1.46</v>
      </c>
      <c r="Y99">
        <v>0</v>
      </c>
      <c r="Z99">
        <v>0</v>
      </c>
      <c r="AA99">
        <v>0</v>
      </c>
      <c r="AB99">
        <v>0</v>
      </c>
      <c r="AC99">
        <v>8.99</v>
      </c>
      <c r="AD99">
        <v>22.57</v>
      </c>
      <c r="AE99">
        <v>2.44</v>
      </c>
      <c r="AF99">
        <v>0</v>
      </c>
      <c r="AG99">
        <v>3.93</v>
      </c>
      <c r="AH99">
        <v>54.8</v>
      </c>
      <c r="AI99">
        <v>16.22</v>
      </c>
      <c r="AJ99">
        <v>0</v>
      </c>
      <c r="AK99">
        <v>0</v>
      </c>
      <c r="AL99">
        <v>0</v>
      </c>
      <c r="AM99">
        <v>0.04</v>
      </c>
      <c r="AN99">
        <f t="shared" si="4"/>
        <v>2</v>
      </c>
      <c r="AO99" t="str">
        <f t="shared" si="5"/>
        <v>Monday</v>
      </c>
    </row>
    <row r="100" spans="1:41" x14ac:dyDescent="0.2">
      <c r="A100" t="s">
        <v>43</v>
      </c>
      <c r="B100" s="1">
        <v>46034</v>
      </c>
      <c r="C100" s="1">
        <f t="shared" si="3"/>
        <v>46053</v>
      </c>
      <c r="D100">
        <v>58</v>
      </c>
      <c r="E100">
        <v>156</v>
      </c>
      <c r="F100">
        <v>11</v>
      </c>
      <c r="G100">
        <v>5</v>
      </c>
      <c r="H100">
        <v>6</v>
      </c>
      <c r="I100">
        <v>1</v>
      </c>
      <c r="J100">
        <v>0</v>
      </c>
      <c r="K100">
        <v>80</v>
      </c>
      <c r="L100" t="s">
        <v>43</v>
      </c>
      <c r="M100" t="s">
        <v>38</v>
      </c>
      <c r="N100" s="1">
        <v>46034</v>
      </c>
      <c r="O100" s="2">
        <v>0.58348379629629632</v>
      </c>
      <c r="P100" s="2">
        <v>0.9629861111111111</v>
      </c>
      <c r="Q100">
        <v>9.1</v>
      </c>
      <c r="R100">
        <v>9.11</v>
      </c>
      <c r="S100">
        <v>2.21</v>
      </c>
      <c r="T100">
        <v>0.2</v>
      </c>
      <c r="U100">
        <v>0</v>
      </c>
      <c r="V100">
        <v>0.37</v>
      </c>
      <c r="W100">
        <v>4.37</v>
      </c>
      <c r="X100">
        <v>1.42</v>
      </c>
      <c r="Y100">
        <v>0.54</v>
      </c>
      <c r="Z100">
        <v>0</v>
      </c>
      <c r="AA100">
        <v>0</v>
      </c>
      <c r="AB100">
        <v>0</v>
      </c>
      <c r="AC100">
        <v>9.11</v>
      </c>
      <c r="AD100">
        <v>24.23</v>
      </c>
      <c r="AE100">
        <v>2.15</v>
      </c>
      <c r="AF100">
        <v>0</v>
      </c>
      <c r="AG100">
        <v>4.01</v>
      </c>
      <c r="AH100">
        <v>48.01</v>
      </c>
      <c r="AI100">
        <v>15.6</v>
      </c>
      <c r="AJ100">
        <v>5.97</v>
      </c>
      <c r="AK100">
        <v>0</v>
      </c>
      <c r="AL100">
        <v>0</v>
      </c>
      <c r="AM100">
        <v>0.03</v>
      </c>
      <c r="AN100">
        <f t="shared" si="4"/>
        <v>2</v>
      </c>
      <c r="AO100" t="str">
        <f t="shared" si="5"/>
        <v>Monday</v>
      </c>
    </row>
    <row r="101" spans="1:41" x14ac:dyDescent="0.2">
      <c r="B101" s="1">
        <v>46034</v>
      </c>
      <c r="C101" s="1">
        <f t="shared" si="3"/>
        <v>46053</v>
      </c>
      <c r="D101">
        <v>1171</v>
      </c>
      <c r="E101">
        <v>0</v>
      </c>
      <c r="F101">
        <v>0</v>
      </c>
      <c r="G101">
        <v>0</v>
      </c>
      <c r="H101">
        <v>0</v>
      </c>
      <c r="I101">
        <v>0</v>
      </c>
      <c r="J101">
        <v>0</v>
      </c>
      <c r="K101">
        <v>0</v>
      </c>
      <c r="AN101">
        <f t="shared" si="4"/>
        <v>2</v>
      </c>
      <c r="AO101" t="str">
        <f t="shared" si="5"/>
        <v>Monday</v>
      </c>
    </row>
    <row r="102" spans="1:41" x14ac:dyDescent="0.2">
      <c r="A102" t="s">
        <v>37</v>
      </c>
      <c r="B102" s="1">
        <v>46031</v>
      </c>
      <c r="C102" s="1">
        <f t="shared" si="3"/>
        <v>46053</v>
      </c>
      <c r="D102">
        <v>47</v>
      </c>
      <c r="E102">
        <v>97</v>
      </c>
      <c r="F102">
        <v>14</v>
      </c>
      <c r="G102">
        <v>3</v>
      </c>
      <c r="H102">
        <v>7</v>
      </c>
      <c r="I102">
        <v>0</v>
      </c>
      <c r="J102">
        <v>2</v>
      </c>
      <c r="K102">
        <v>45</v>
      </c>
      <c r="L102" t="s">
        <v>37</v>
      </c>
      <c r="M102" t="s">
        <v>38</v>
      </c>
      <c r="N102" s="1">
        <v>46031</v>
      </c>
      <c r="O102" s="2">
        <v>0.58305555555555555</v>
      </c>
      <c r="P102" s="2">
        <v>0.96174768518518516</v>
      </c>
      <c r="Q102">
        <v>9.08</v>
      </c>
      <c r="R102">
        <v>8.2200000000000006</v>
      </c>
      <c r="S102">
        <v>2.67</v>
      </c>
      <c r="T102">
        <v>0.25</v>
      </c>
      <c r="U102">
        <v>0</v>
      </c>
      <c r="V102">
        <v>0.55000000000000004</v>
      </c>
      <c r="W102">
        <v>4.13</v>
      </c>
      <c r="X102">
        <v>0.59</v>
      </c>
      <c r="Y102">
        <v>0</v>
      </c>
      <c r="Z102">
        <v>0</v>
      </c>
      <c r="AA102">
        <v>0</v>
      </c>
      <c r="AB102">
        <v>0.04</v>
      </c>
      <c r="AC102">
        <v>8.2200000000000006</v>
      </c>
      <c r="AD102">
        <v>32.479999999999997</v>
      </c>
      <c r="AE102">
        <v>3.02</v>
      </c>
      <c r="AF102">
        <v>0</v>
      </c>
      <c r="AG102">
        <v>6.71</v>
      </c>
      <c r="AH102">
        <v>50.2</v>
      </c>
      <c r="AI102">
        <v>7.16</v>
      </c>
      <c r="AJ102">
        <v>0</v>
      </c>
      <c r="AK102">
        <v>0</v>
      </c>
      <c r="AL102">
        <v>0</v>
      </c>
      <c r="AM102">
        <v>0.43</v>
      </c>
      <c r="AN102">
        <f t="shared" si="4"/>
        <v>6</v>
      </c>
      <c r="AO102" t="str">
        <f t="shared" si="5"/>
        <v>Friday</v>
      </c>
    </row>
    <row r="103" spans="1:41" x14ac:dyDescent="0.2">
      <c r="A103" t="s">
        <v>39</v>
      </c>
      <c r="B103" s="1">
        <v>46031</v>
      </c>
      <c r="C103" s="1">
        <f t="shared" si="3"/>
        <v>46053</v>
      </c>
      <c r="D103">
        <v>99</v>
      </c>
      <c r="E103">
        <v>189</v>
      </c>
      <c r="F103">
        <v>7</v>
      </c>
      <c r="G103">
        <v>3</v>
      </c>
      <c r="H103">
        <v>24</v>
      </c>
      <c r="I103">
        <v>3</v>
      </c>
      <c r="J103">
        <v>8</v>
      </c>
      <c r="K103">
        <v>115</v>
      </c>
      <c r="L103" t="s">
        <v>39</v>
      </c>
      <c r="M103" t="s">
        <v>38</v>
      </c>
      <c r="N103" s="1">
        <v>46031</v>
      </c>
      <c r="O103" s="2">
        <v>0.58283564814814814</v>
      </c>
      <c r="P103" s="2">
        <v>0.95835648148148145</v>
      </c>
      <c r="Q103">
        <v>9.02</v>
      </c>
      <c r="R103">
        <v>9.01</v>
      </c>
      <c r="S103">
        <v>2.94</v>
      </c>
      <c r="T103">
        <v>0.06</v>
      </c>
      <c r="U103">
        <v>0</v>
      </c>
      <c r="V103">
        <v>0.2</v>
      </c>
      <c r="W103">
        <v>4.32</v>
      </c>
      <c r="X103">
        <v>1.48</v>
      </c>
      <c r="Y103">
        <v>0</v>
      </c>
      <c r="Z103">
        <v>0</v>
      </c>
      <c r="AA103">
        <v>0</v>
      </c>
      <c r="AB103">
        <v>0.02</v>
      </c>
      <c r="AC103">
        <v>9.01</v>
      </c>
      <c r="AD103">
        <v>32.619999999999997</v>
      </c>
      <c r="AE103">
        <v>0.61</v>
      </c>
      <c r="AF103">
        <v>0</v>
      </c>
      <c r="AG103">
        <v>2.2000000000000002</v>
      </c>
      <c r="AH103">
        <v>47.97</v>
      </c>
      <c r="AI103">
        <v>16.43</v>
      </c>
      <c r="AJ103">
        <v>0</v>
      </c>
      <c r="AK103">
        <v>0</v>
      </c>
      <c r="AL103">
        <v>0</v>
      </c>
      <c r="AM103">
        <v>0.18</v>
      </c>
      <c r="AN103">
        <f t="shared" si="4"/>
        <v>6</v>
      </c>
      <c r="AO103" t="str">
        <f t="shared" si="5"/>
        <v>Friday</v>
      </c>
    </row>
    <row r="104" spans="1:41" x14ac:dyDescent="0.2">
      <c r="A104" t="s">
        <v>40</v>
      </c>
      <c r="B104" s="1">
        <v>46031</v>
      </c>
      <c r="C104" s="1">
        <f t="shared" si="3"/>
        <v>46053</v>
      </c>
      <c r="D104">
        <v>75</v>
      </c>
      <c r="E104">
        <v>167</v>
      </c>
      <c r="F104">
        <v>6</v>
      </c>
      <c r="G104">
        <v>1</v>
      </c>
      <c r="H104">
        <v>14</v>
      </c>
      <c r="I104">
        <v>2</v>
      </c>
      <c r="J104">
        <v>1</v>
      </c>
      <c r="K104">
        <v>111</v>
      </c>
      <c r="L104" t="s">
        <v>40</v>
      </c>
      <c r="M104" t="s">
        <v>38</v>
      </c>
      <c r="N104" s="1">
        <v>46031</v>
      </c>
      <c r="O104" s="2">
        <v>0.58362268518518523</v>
      </c>
      <c r="P104" s="2">
        <v>0.95835648148148145</v>
      </c>
      <c r="Q104">
        <v>9</v>
      </c>
      <c r="R104">
        <v>8.99</v>
      </c>
      <c r="S104">
        <v>2.16</v>
      </c>
      <c r="T104">
        <v>0.32</v>
      </c>
      <c r="U104">
        <v>0</v>
      </c>
      <c r="V104">
        <v>0.42</v>
      </c>
      <c r="W104">
        <v>4.07</v>
      </c>
      <c r="X104">
        <v>1.5</v>
      </c>
      <c r="Y104">
        <v>0.51</v>
      </c>
      <c r="Z104">
        <v>0</v>
      </c>
      <c r="AA104">
        <v>0</v>
      </c>
      <c r="AB104">
        <v>0.01</v>
      </c>
      <c r="AC104">
        <v>8.99</v>
      </c>
      <c r="AD104">
        <v>24.07</v>
      </c>
      <c r="AE104">
        <v>3.54</v>
      </c>
      <c r="AF104">
        <v>0.01</v>
      </c>
      <c r="AG104">
        <v>4.6500000000000004</v>
      </c>
      <c r="AH104">
        <v>45.3</v>
      </c>
      <c r="AI104">
        <v>16.68</v>
      </c>
      <c r="AJ104">
        <v>5.69</v>
      </c>
      <c r="AK104">
        <v>0</v>
      </c>
      <c r="AL104">
        <v>0</v>
      </c>
      <c r="AM104">
        <v>0.06</v>
      </c>
      <c r="AN104">
        <f t="shared" si="4"/>
        <v>6</v>
      </c>
      <c r="AO104" t="str">
        <f t="shared" si="5"/>
        <v>Friday</v>
      </c>
    </row>
    <row r="105" spans="1:41" x14ac:dyDescent="0.2">
      <c r="A105" t="s">
        <v>41</v>
      </c>
      <c r="B105" s="1">
        <v>46031</v>
      </c>
      <c r="C105" s="1">
        <f t="shared" si="3"/>
        <v>46053</v>
      </c>
      <c r="D105">
        <v>98</v>
      </c>
      <c r="E105">
        <v>142</v>
      </c>
      <c r="F105">
        <v>9</v>
      </c>
      <c r="G105">
        <v>4</v>
      </c>
      <c r="H105">
        <v>10</v>
      </c>
      <c r="I105">
        <v>0</v>
      </c>
      <c r="J105">
        <v>14</v>
      </c>
      <c r="K105">
        <v>58</v>
      </c>
      <c r="L105" t="s">
        <v>41</v>
      </c>
      <c r="M105" t="s">
        <v>38</v>
      </c>
      <c r="N105" s="1">
        <v>46031</v>
      </c>
      <c r="O105" s="2">
        <v>0.58347222222222217</v>
      </c>
      <c r="P105" s="2">
        <v>0.95734953703703707</v>
      </c>
      <c r="Q105">
        <v>8.9700000000000006</v>
      </c>
      <c r="R105">
        <v>8.9700000000000006</v>
      </c>
      <c r="S105">
        <v>2.85</v>
      </c>
      <c r="T105">
        <v>0.3</v>
      </c>
      <c r="U105">
        <v>0</v>
      </c>
      <c r="V105">
        <v>0.41</v>
      </c>
      <c r="W105">
        <v>3.93</v>
      </c>
      <c r="X105">
        <v>1.48</v>
      </c>
      <c r="Y105">
        <v>0</v>
      </c>
      <c r="Z105">
        <v>0</v>
      </c>
      <c r="AA105">
        <v>0</v>
      </c>
      <c r="AB105">
        <v>0.01</v>
      </c>
      <c r="AC105">
        <v>8.9700000000000006</v>
      </c>
      <c r="AD105">
        <v>31.76</v>
      </c>
      <c r="AE105">
        <v>3.34</v>
      </c>
      <c r="AF105">
        <v>0</v>
      </c>
      <c r="AG105">
        <v>4.5999999999999996</v>
      </c>
      <c r="AH105">
        <v>43.78</v>
      </c>
      <c r="AI105">
        <v>16.45</v>
      </c>
      <c r="AJ105">
        <v>0</v>
      </c>
      <c r="AK105">
        <v>0</v>
      </c>
      <c r="AL105">
        <v>0</v>
      </c>
      <c r="AM105">
        <v>0.06</v>
      </c>
      <c r="AN105">
        <f t="shared" si="4"/>
        <v>6</v>
      </c>
      <c r="AO105" t="str">
        <f t="shared" si="5"/>
        <v>Friday</v>
      </c>
    </row>
    <row r="106" spans="1:41" x14ac:dyDescent="0.2">
      <c r="A106" t="s">
        <v>43</v>
      </c>
      <c r="B106" s="1">
        <v>46031</v>
      </c>
      <c r="C106" s="1">
        <f t="shared" si="3"/>
        <v>46053</v>
      </c>
      <c r="D106">
        <v>70</v>
      </c>
      <c r="E106">
        <v>183</v>
      </c>
      <c r="F106">
        <v>6</v>
      </c>
      <c r="G106">
        <v>1</v>
      </c>
      <c r="H106">
        <v>8</v>
      </c>
      <c r="I106">
        <v>2</v>
      </c>
      <c r="J106">
        <v>2</v>
      </c>
      <c r="K106">
        <v>94</v>
      </c>
      <c r="L106" t="s">
        <v>43</v>
      </c>
      <c r="M106" t="s">
        <v>38</v>
      </c>
      <c r="N106" s="1">
        <v>46031</v>
      </c>
      <c r="O106" s="2">
        <v>0.58309027777777778</v>
      </c>
      <c r="P106" s="2">
        <v>0.96106481481481476</v>
      </c>
      <c r="Q106">
        <v>9.07</v>
      </c>
      <c r="R106">
        <v>9.07</v>
      </c>
      <c r="S106">
        <v>2.02</v>
      </c>
      <c r="T106">
        <v>0.33</v>
      </c>
      <c r="U106">
        <v>0</v>
      </c>
      <c r="V106">
        <v>0.54</v>
      </c>
      <c r="W106">
        <v>4.2699999999999996</v>
      </c>
      <c r="X106">
        <v>1.91</v>
      </c>
      <c r="Y106">
        <v>0</v>
      </c>
      <c r="Z106">
        <v>0</v>
      </c>
      <c r="AA106">
        <v>0</v>
      </c>
      <c r="AB106">
        <v>0</v>
      </c>
      <c r="AC106">
        <v>9.07</v>
      </c>
      <c r="AD106">
        <v>22.28</v>
      </c>
      <c r="AE106">
        <v>3.62</v>
      </c>
      <c r="AF106">
        <v>0</v>
      </c>
      <c r="AG106">
        <v>5.96</v>
      </c>
      <c r="AH106">
        <v>47.04</v>
      </c>
      <c r="AI106">
        <v>21.05</v>
      </c>
      <c r="AJ106">
        <v>0</v>
      </c>
      <c r="AK106">
        <v>0</v>
      </c>
      <c r="AL106">
        <v>0</v>
      </c>
      <c r="AM106">
        <v>0.04</v>
      </c>
      <c r="AN106">
        <f t="shared" si="4"/>
        <v>6</v>
      </c>
      <c r="AO106" t="str">
        <f t="shared" si="5"/>
        <v>Friday</v>
      </c>
    </row>
    <row r="107" spans="1:41" x14ac:dyDescent="0.2">
      <c r="B107" s="1">
        <v>46031</v>
      </c>
      <c r="C107" s="1">
        <f t="shared" si="3"/>
        <v>46053</v>
      </c>
      <c r="D107">
        <v>1209</v>
      </c>
      <c r="E107">
        <v>0</v>
      </c>
      <c r="F107">
        <v>0</v>
      </c>
      <c r="G107">
        <v>0</v>
      </c>
      <c r="H107">
        <v>0</v>
      </c>
      <c r="I107">
        <v>0</v>
      </c>
      <c r="J107">
        <v>0</v>
      </c>
      <c r="K107">
        <v>0</v>
      </c>
      <c r="AN107">
        <f t="shared" si="4"/>
        <v>6</v>
      </c>
      <c r="AO107" t="str">
        <f t="shared" si="5"/>
        <v>Friday</v>
      </c>
    </row>
    <row r="108" spans="1:41" x14ac:dyDescent="0.2">
      <c r="A108" t="s">
        <v>37</v>
      </c>
      <c r="B108" s="1">
        <v>46030</v>
      </c>
      <c r="C108" s="1">
        <f t="shared" si="3"/>
        <v>46053</v>
      </c>
      <c r="D108">
        <v>33</v>
      </c>
      <c r="E108">
        <v>39</v>
      </c>
      <c r="F108">
        <v>4</v>
      </c>
      <c r="G108">
        <v>4</v>
      </c>
      <c r="H108">
        <v>5</v>
      </c>
      <c r="I108">
        <v>0</v>
      </c>
      <c r="J108">
        <v>0</v>
      </c>
      <c r="K108">
        <v>0</v>
      </c>
      <c r="L108" t="s">
        <v>37</v>
      </c>
      <c r="M108" t="s">
        <v>38</v>
      </c>
      <c r="N108" s="1">
        <v>46030</v>
      </c>
      <c r="O108" s="2">
        <v>0.58508101851851857</v>
      </c>
      <c r="P108" s="2">
        <v>0.9593518518518519</v>
      </c>
      <c r="Q108">
        <v>8.98</v>
      </c>
      <c r="R108">
        <v>8.15</v>
      </c>
      <c r="S108">
        <v>3.23</v>
      </c>
      <c r="T108">
        <v>0.28000000000000003</v>
      </c>
      <c r="U108">
        <v>0</v>
      </c>
      <c r="V108">
        <v>0.5</v>
      </c>
      <c r="W108">
        <v>2.2000000000000002</v>
      </c>
      <c r="X108">
        <v>0.6</v>
      </c>
      <c r="Y108">
        <v>1.34</v>
      </c>
      <c r="Z108">
        <v>0</v>
      </c>
      <c r="AA108">
        <v>0</v>
      </c>
      <c r="AB108">
        <v>0.01</v>
      </c>
      <c r="AC108">
        <v>8.15</v>
      </c>
      <c r="AD108">
        <v>39.56</v>
      </c>
      <c r="AE108">
        <v>3.43</v>
      </c>
      <c r="AF108">
        <v>0</v>
      </c>
      <c r="AG108">
        <v>6.11</v>
      </c>
      <c r="AH108">
        <v>26.97</v>
      </c>
      <c r="AI108">
        <v>7.33</v>
      </c>
      <c r="AJ108">
        <v>16.489999999999998</v>
      </c>
      <c r="AK108">
        <v>0</v>
      </c>
      <c r="AL108">
        <v>0</v>
      </c>
      <c r="AM108">
        <v>0.11</v>
      </c>
      <c r="AN108">
        <f t="shared" si="4"/>
        <v>5</v>
      </c>
      <c r="AO108" t="str">
        <f t="shared" si="5"/>
        <v>Thursday</v>
      </c>
    </row>
    <row r="109" spans="1:41" x14ac:dyDescent="0.2">
      <c r="A109" t="s">
        <v>39</v>
      </c>
      <c r="B109" s="1">
        <v>46030</v>
      </c>
      <c r="C109" s="1">
        <f t="shared" si="3"/>
        <v>46053</v>
      </c>
      <c r="D109">
        <v>67</v>
      </c>
      <c r="E109">
        <v>76</v>
      </c>
      <c r="F109">
        <v>8</v>
      </c>
      <c r="G109">
        <v>8</v>
      </c>
      <c r="H109">
        <v>4</v>
      </c>
      <c r="I109">
        <v>0</v>
      </c>
      <c r="J109">
        <v>2</v>
      </c>
      <c r="K109">
        <v>1</v>
      </c>
      <c r="L109" t="s">
        <v>39</v>
      </c>
      <c r="M109" t="s">
        <v>38</v>
      </c>
      <c r="N109" s="1">
        <v>46030</v>
      </c>
      <c r="O109" s="2">
        <v>0.583125</v>
      </c>
      <c r="P109" s="2">
        <v>0.95857638888888885</v>
      </c>
      <c r="Q109">
        <v>9.02</v>
      </c>
      <c r="R109">
        <v>9.01</v>
      </c>
      <c r="S109">
        <v>2.39</v>
      </c>
      <c r="T109">
        <v>0.11</v>
      </c>
      <c r="U109">
        <v>0</v>
      </c>
      <c r="V109">
        <v>0.08</v>
      </c>
      <c r="W109">
        <v>3.65</v>
      </c>
      <c r="X109">
        <v>1.45</v>
      </c>
      <c r="Y109">
        <v>1.31</v>
      </c>
      <c r="Z109">
        <v>0</v>
      </c>
      <c r="AA109">
        <v>0</v>
      </c>
      <c r="AB109">
        <v>0.01</v>
      </c>
      <c r="AC109">
        <v>9.01</v>
      </c>
      <c r="AD109">
        <v>26.55</v>
      </c>
      <c r="AE109">
        <v>1.24</v>
      </c>
      <c r="AF109">
        <v>0</v>
      </c>
      <c r="AG109">
        <v>0.93</v>
      </c>
      <c r="AH109">
        <v>40.5</v>
      </c>
      <c r="AI109">
        <v>16.12</v>
      </c>
      <c r="AJ109">
        <v>14.57</v>
      </c>
      <c r="AK109">
        <v>0</v>
      </c>
      <c r="AL109">
        <v>0</v>
      </c>
      <c r="AM109">
        <v>0.09</v>
      </c>
      <c r="AN109">
        <f t="shared" si="4"/>
        <v>5</v>
      </c>
      <c r="AO109" t="str">
        <f t="shared" si="5"/>
        <v>Thursday</v>
      </c>
    </row>
    <row r="110" spans="1:41" x14ac:dyDescent="0.2">
      <c r="A110" t="s">
        <v>40</v>
      </c>
      <c r="B110" s="1">
        <v>46030</v>
      </c>
      <c r="C110" s="1">
        <f t="shared" si="3"/>
        <v>46053</v>
      </c>
      <c r="D110">
        <v>39</v>
      </c>
      <c r="E110">
        <v>43</v>
      </c>
      <c r="F110">
        <v>4</v>
      </c>
      <c r="G110">
        <v>0</v>
      </c>
      <c r="H110">
        <v>12</v>
      </c>
      <c r="I110">
        <v>1</v>
      </c>
      <c r="J110">
        <v>1</v>
      </c>
      <c r="K110">
        <v>1</v>
      </c>
      <c r="L110" t="s">
        <v>40</v>
      </c>
      <c r="M110" t="s">
        <v>38</v>
      </c>
      <c r="N110" s="1">
        <v>46030</v>
      </c>
      <c r="O110" s="2">
        <v>0.58376157407407403</v>
      </c>
      <c r="P110" s="2">
        <v>0.96118055555555559</v>
      </c>
      <c r="Q110">
        <v>9.07</v>
      </c>
      <c r="R110">
        <v>9.06</v>
      </c>
      <c r="S110">
        <v>2.54</v>
      </c>
      <c r="T110">
        <v>0.32</v>
      </c>
      <c r="U110">
        <v>0</v>
      </c>
      <c r="V110">
        <v>0.34</v>
      </c>
      <c r="W110">
        <v>2.72</v>
      </c>
      <c r="X110">
        <v>1.49</v>
      </c>
      <c r="Y110">
        <v>1.25</v>
      </c>
      <c r="Z110">
        <v>0</v>
      </c>
      <c r="AA110">
        <v>0.37</v>
      </c>
      <c r="AB110">
        <v>0</v>
      </c>
      <c r="AC110">
        <v>9.06</v>
      </c>
      <c r="AD110">
        <v>28.1</v>
      </c>
      <c r="AE110">
        <v>3.59</v>
      </c>
      <c r="AF110">
        <v>0</v>
      </c>
      <c r="AG110">
        <v>3.81</v>
      </c>
      <c r="AH110">
        <v>30.05</v>
      </c>
      <c r="AI110">
        <v>16.48</v>
      </c>
      <c r="AJ110">
        <v>13.82</v>
      </c>
      <c r="AK110">
        <v>0</v>
      </c>
      <c r="AL110">
        <v>4.1100000000000003</v>
      </c>
      <c r="AM110">
        <v>0.04</v>
      </c>
      <c r="AN110">
        <f t="shared" si="4"/>
        <v>5</v>
      </c>
      <c r="AO110" t="str">
        <f t="shared" si="5"/>
        <v>Thursday</v>
      </c>
    </row>
    <row r="111" spans="1:41" x14ac:dyDescent="0.2">
      <c r="A111" t="s">
        <v>41</v>
      </c>
      <c r="B111" s="1">
        <v>46030</v>
      </c>
      <c r="C111" s="1">
        <f t="shared" si="3"/>
        <v>46053</v>
      </c>
      <c r="D111">
        <v>50</v>
      </c>
      <c r="E111">
        <v>52</v>
      </c>
      <c r="F111">
        <v>9</v>
      </c>
      <c r="G111">
        <v>2</v>
      </c>
      <c r="H111">
        <v>10</v>
      </c>
      <c r="I111">
        <v>0</v>
      </c>
      <c r="J111">
        <v>0</v>
      </c>
      <c r="K111">
        <v>0</v>
      </c>
      <c r="L111" t="s">
        <v>41</v>
      </c>
      <c r="M111" t="s">
        <v>38</v>
      </c>
      <c r="N111" s="1">
        <v>46030</v>
      </c>
      <c r="O111" s="2">
        <v>0.58394675925925921</v>
      </c>
      <c r="P111" s="2">
        <v>0.95832175925925922</v>
      </c>
      <c r="Q111">
        <v>8.98</v>
      </c>
      <c r="R111">
        <v>8.9600000000000009</v>
      </c>
      <c r="S111">
        <v>1.98</v>
      </c>
      <c r="T111">
        <v>0.42</v>
      </c>
      <c r="U111">
        <v>0</v>
      </c>
      <c r="V111">
        <v>0.51</v>
      </c>
      <c r="W111">
        <v>2.85</v>
      </c>
      <c r="X111">
        <v>1.46</v>
      </c>
      <c r="Y111">
        <v>1.72</v>
      </c>
      <c r="Z111">
        <v>0</v>
      </c>
      <c r="AA111">
        <v>0</v>
      </c>
      <c r="AB111">
        <v>0.01</v>
      </c>
      <c r="AC111">
        <v>8.9600000000000009</v>
      </c>
      <c r="AD111">
        <v>22.14</v>
      </c>
      <c r="AE111">
        <v>4.6900000000000004</v>
      </c>
      <c r="AF111">
        <v>0</v>
      </c>
      <c r="AG111">
        <v>5.65</v>
      </c>
      <c r="AH111">
        <v>31.85</v>
      </c>
      <c r="AI111">
        <v>16.350000000000001</v>
      </c>
      <c r="AJ111">
        <v>19.23</v>
      </c>
      <c r="AK111">
        <v>0</v>
      </c>
      <c r="AL111">
        <v>0</v>
      </c>
      <c r="AM111">
        <v>0.1</v>
      </c>
      <c r="AN111">
        <f t="shared" si="4"/>
        <v>5</v>
      </c>
      <c r="AO111" t="str">
        <f t="shared" si="5"/>
        <v>Thursday</v>
      </c>
    </row>
    <row r="112" spans="1:41" x14ac:dyDescent="0.2">
      <c r="A112" t="s">
        <v>42</v>
      </c>
      <c r="B112" s="1">
        <v>46030</v>
      </c>
      <c r="C112" s="1">
        <f t="shared" si="3"/>
        <v>46053</v>
      </c>
      <c r="D112">
        <v>1</v>
      </c>
      <c r="E112">
        <v>2</v>
      </c>
      <c r="F112">
        <v>0</v>
      </c>
      <c r="G112">
        <v>0</v>
      </c>
      <c r="H112">
        <v>0</v>
      </c>
      <c r="I112">
        <v>0</v>
      </c>
      <c r="J112">
        <v>0</v>
      </c>
      <c r="K112">
        <v>0</v>
      </c>
      <c r="L112" t="s">
        <v>42</v>
      </c>
      <c r="M112" t="s">
        <v>38</v>
      </c>
      <c r="N112" s="1">
        <v>46030</v>
      </c>
      <c r="O112" s="2">
        <v>0.87525462962962963</v>
      </c>
      <c r="P112" s="2">
        <v>0.92530092592592594</v>
      </c>
      <c r="Q112">
        <v>1.2</v>
      </c>
      <c r="R112">
        <v>1.2</v>
      </c>
      <c r="S112">
        <v>1.19</v>
      </c>
      <c r="T112">
        <v>0</v>
      </c>
      <c r="U112">
        <v>0</v>
      </c>
      <c r="V112">
        <v>0.01</v>
      </c>
      <c r="W112">
        <v>0</v>
      </c>
      <c r="X112">
        <v>0</v>
      </c>
      <c r="Y112">
        <v>0</v>
      </c>
      <c r="Z112">
        <v>0</v>
      </c>
      <c r="AA112">
        <v>0</v>
      </c>
      <c r="AB112">
        <v>0</v>
      </c>
      <c r="AC112">
        <v>1.2</v>
      </c>
      <c r="AD112">
        <v>98.73</v>
      </c>
      <c r="AE112">
        <v>0</v>
      </c>
      <c r="AF112">
        <v>0</v>
      </c>
      <c r="AG112">
        <v>0.88</v>
      </c>
      <c r="AH112">
        <v>0</v>
      </c>
      <c r="AI112">
        <v>0</v>
      </c>
      <c r="AJ112">
        <v>0</v>
      </c>
      <c r="AK112">
        <v>0</v>
      </c>
      <c r="AL112">
        <v>0</v>
      </c>
      <c r="AM112">
        <v>0.39</v>
      </c>
      <c r="AN112">
        <f t="shared" si="4"/>
        <v>5</v>
      </c>
      <c r="AO112" t="str">
        <f t="shared" si="5"/>
        <v>Thursday</v>
      </c>
    </row>
    <row r="113" spans="1:41" x14ac:dyDescent="0.2">
      <c r="A113" t="s">
        <v>43</v>
      </c>
      <c r="B113" s="1">
        <v>46030</v>
      </c>
      <c r="C113" s="1">
        <f t="shared" si="3"/>
        <v>46053</v>
      </c>
      <c r="D113">
        <v>47</v>
      </c>
      <c r="E113">
        <v>67</v>
      </c>
      <c r="F113">
        <v>2</v>
      </c>
      <c r="G113">
        <v>5</v>
      </c>
      <c r="H113">
        <v>5</v>
      </c>
      <c r="I113">
        <v>0</v>
      </c>
      <c r="J113">
        <v>1</v>
      </c>
      <c r="K113">
        <v>0</v>
      </c>
      <c r="L113" t="s">
        <v>43</v>
      </c>
      <c r="M113" t="s">
        <v>38</v>
      </c>
      <c r="N113" s="1">
        <v>46030</v>
      </c>
      <c r="O113" s="2">
        <v>0.58343750000000005</v>
      </c>
      <c r="P113" s="2">
        <v>0.96129629629629632</v>
      </c>
      <c r="Q113">
        <v>9.07</v>
      </c>
      <c r="R113">
        <v>9.07</v>
      </c>
      <c r="S113">
        <v>2.37</v>
      </c>
      <c r="T113">
        <v>0.27</v>
      </c>
      <c r="U113">
        <v>0</v>
      </c>
      <c r="V113">
        <v>0.51</v>
      </c>
      <c r="W113">
        <v>3.25</v>
      </c>
      <c r="X113">
        <v>1.42</v>
      </c>
      <c r="Y113">
        <v>1.25</v>
      </c>
      <c r="Z113">
        <v>0</v>
      </c>
      <c r="AA113">
        <v>0</v>
      </c>
      <c r="AB113">
        <v>0</v>
      </c>
      <c r="AC113">
        <v>9.07</v>
      </c>
      <c r="AD113">
        <v>26.11</v>
      </c>
      <c r="AE113">
        <v>3.01</v>
      </c>
      <c r="AF113">
        <v>0</v>
      </c>
      <c r="AG113">
        <v>5.66</v>
      </c>
      <c r="AH113">
        <v>35.799999999999997</v>
      </c>
      <c r="AI113">
        <v>15.65</v>
      </c>
      <c r="AJ113">
        <v>13.74</v>
      </c>
      <c r="AK113">
        <v>0</v>
      </c>
      <c r="AL113">
        <v>0</v>
      </c>
      <c r="AM113">
        <v>0.04</v>
      </c>
      <c r="AN113">
        <f t="shared" si="4"/>
        <v>5</v>
      </c>
      <c r="AO113" t="str">
        <f t="shared" si="5"/>
        <v>Thursday</v>
      </c>
    </row>
    <row r="114" spans="1:41" x14ac:dyDescent="0.2">
      <c r="A114" t="s">
        <v>37</v>
      </c>
      <c r="B114" s="1">
        <v>46029</v>
      </c>
      <c r="C114" s="1">
        <f t="shared" si="3"/>
        <v>46053</v>
      </c>
      <c r="D114">
        <v>56</v>
      </c>
      <c r="E114">
        <v>141</v>
      </c>
      <c r="F114">
        <v>10</v>
      </c>
      <c r="G114">
        <v>17</v>
      </c>
      <c r="H114">
        <v>12</v>
      </c>
      <c r="I114">
        <v>1</v>
      </c>
      <c r="J114">
        <v>4</v>
      </c>
      <c r="K114">
        <v>64</v>
      </c>
      <c r="L114" t="s">
        <v>37</v>
      </c>
      <c r="M114" t="s">
        <v>38</v>
      </c>
      <c r="N114" s="1">
        <v>46029</v>
      </c>
      <c r="O114" s="2">
        <v>0.58456018518518515</v>
      </c>
      <c r="P114" s="2">
        <v>0.96004629629629634</v>
      </c>
      <c r="Q114">
        <v>9.02</v>
      </c>
      <c r="R114">
        <v>8.14</v>
      </c>
      <c r="S114">
        <v>3.31</v>
      </c>
      <c r="T114">
        <v>0.45</v>
      </c>
      <c r="U114">
        <v>0</v>
      </c>
      <c r="V114">
        <v>0.65</v>
      </c>
      <c r="W114">
        <v>3.09</v>
      </c>
      <c r="X114">
        <v>0.62</v>
      </c>
      <c r="Y114">
        <v>0</v>
      </c>
      <c r="Z114">
        <v>0</v>
      </c>
      <c r="AA114">
        <v>0</v>
      </c>
      <c r="AB114">
        <v>0.02</v>
      </c>
      <c r="AC114">
        <v>8.14</v>
      </c>
      <c r="AD114">
        <v>40.69</v>
      </c>
      <c r="AE114">
        <v>5.57</v>
      </c>
      <c r="AF114">
        <v>0</v>
      </c>
      <c r="AG114">
        <v>7.95</v>
      </c>
      <c r="AH114">
        <v>37.93</v>
      </c>
      <c r="AI114">
        <v>7.64</v>
      </c>
      <c r="AJ114">
        <v>0</v>
      </c>
      <c r="AK114">
        <v>0</v>
      </c>
      <c r="AL114">
        <v>0</v>
      </c>
      <c r="AM114">
        <v>0.22</v>
      </c>
      <c r="AN114">
        <f t="shared" si="4"/>
        <v>4</v>
      </c>
      <c r="AO114" t="str">
        <f t="shared" si="5"/>
        <v>Wednesday</v>
      </c>
    </row>
    <row r="115" spans="1:41" x14ac:dyDescent="0.2">
      <c r="A115" t="s">
        <v>39</v>
      </c>
      <c r="B115" s="1">
        <v>46029</v>
      </c>
      <c r="C115" s="1">
        <f t="shared" si="3"/>
        <v>46053</v>
      </c>
      <c r="D115">
        <v>68</v>
      </c>
      <c r="E115">
        <v>174</v>
      </c>
      <c r="F115">
        <v>12</v>
      </c>
      <c r="G115">
        <v>9</v>
      </c>
      <c r="H115">
        <v>13</v>
      </c>
      <c r="I115">
        <v>0</v>
      </c>
      <c r="J115">
        <v>2</v>
      </c>
      <c r="K115">
        <v>94</v>
      </c>
      <c r="L115" t="s">
        <v>39</v>
      </c>
      <c r="M115" t="s">
        <v>38</v>
      </c>
      <c r="N115" s="1">
        <v>46029</v>
      </c>
      <c r="O115" s="2">
        <v>0.58187500000000003</v>
      </c>
      <c r="P115" s="2">
        <v>0.95837962962962964</v>
      </c>
      <c r="Q115">
        <v>9.0500000000000007</v>
      </c>
      <c r="R115">
        <v>9.0299999999999994</v>
      </c>
      <c r="S115">
        <v>2.87</v>
      </c>
      <c r="T115">
        <v>0</v>
      </c>
      <c r="U115">
        <v>0</v>
      </c>
      <c r="V115">
        <v>0.06</v>
      </c>
      <c r="W115">
        <v>4.58</v>
      </c>
      <c r="X115">
        <v>1.49</v>
      </c>
      <c r="Y115">
        <v>0</v>
      </c>
      <c r="Z115">
        <v>0</v>
      </c>
      <c r="AA115">
        <v>0</v>
      </c>
      <c r="AB115">
        <v>0.04</v>
      </c>
      <c r="AC115">
        <v>9.0299999999999994</v>
      </c>
      <c r="AD115">
        <v>31.77</v>
      </c>
      <c r="AE115">
        <v>0</v>
      </c>
      <c r="AF115">
        <v>0</v>
      </c>
      <c r="AG115">
        <v>0.61</v>
      </c>
      <c r="AH115">
        <v>50.71</v>
      </c>
      <c r="AI115">
        <v>16.46</v>
      </c>
      <c r="AJ115">
        <v>0</v>
      </c>
      <c r="AK115">
        <v>0</v>
      </c>
      <c r="AL115">
        <v>0</v>
      </c>
      <c r="AM115">
        <v>0.44</v>
      </c>
      <c r="AN115">
        <f t="shared" si="4"/>
        <v>4</v>
      </c>
      <c r="AO115" t="str">
        <f t="shared" si="5"/>
        <v>Wednesday</v>
      </c>
    </row>
    <row r="116" spans="1:41" x14ac:dyDescent="0.2">
      <c r="A116" t="s">
        <v>40</v>
      </c>
      <c r="B116" s="1">
        <v>46029</v>
      </c>
      <c r="C116" s="1">
        <f t="shared" si="3"/>
        <v>46053</v>
      </c>
      <c r="D116">
        <v>61</v>
      </c>
      <c r="E116">
        <v>180</v>
      </c>
      <c r="F116">
        <v>18</v>
      </c>
      <c r="G116">
        <v>1</v>
      </c>
      <c r="H116">
        <v>17</v>
      </c>
      <c r="I116">
        <v>0</v>
      </c>
      <c r="J116">
        <v>2</v>
      </c>
      <c r="K116">
        <v>107</v>
      </c>
      <c r="L116" t="s">
        <v>40</v>
      </c>
      <c r="M116" t="s">
        <v>38</v>
      </c>
      <c r="N116" s="1">
        <v>46029</v>
      </c>
      <c r="O116" s="2">
        <v>0.58374999999999999</v>
      </c>
      <c r="P116" s="2">
        <v>0.95835648148148145</v>
      </c>
      <c r="Q116">
        <v>9</v>
      </c>
      <c r="R116">
        <v>8.99</v>
      </c>
      <c r="S116">
        <v>1.97</v>
      </c>
      <c r="T116">
        <v>0.89</v>
      </c>
      <c r="U116">
        <v>0</v>
      </c>
      <c r="V116">
        <v>0.46</v>
      </c>
      <c r="W116">
        <v>4.1399999999999997</v>
      </c>
      <c r="X116">
        <v>1.53</v>
      </c>
      <c r="Y116">
        <v>0</v>
      </c>
      <c r="Z116">
        <v>0</v>
      </c>
      <c r="AA116">
        <v>0</v>
      </c>
      <c r="AB116">
        <v>0</v>
      </c>
      <c r="AC116">
        <v>8.99</v>
      </c>
      <c r="AD116">
        <v>21.88</v>
      </c>
      <c r="AE116">
        <v>9.91</v>
      </c>
      <c r="AF116">
        <v>0</v>
      </c>
      <c r="AG116">
        <v>5.16</v>
      </c>
      <c r="AH116">
        <v>46.05</v>
      </c>
      <c r="AI116">
        <v>16.96</v>
      </c>
      <c r="AJ116">
        <v>0</v>
      </c>
      <c r="AK116">
        <v>0</v>
      </c>
      <c r="AL116">
        <v>0</v>
      </c>
      <c r="AM116">
        <v>0.03</v>
      </c>
      <c r="AN116">
        <f t="shared" si="4"/>
        <v>4</v>
      </c>
      <c r="AO116" t="str">
        <f t="shared" si="5"/>
        <v>Wednesday</v>
      </c>
    </row>
    <row r="117" spans="1:41" x14ac:dyDescent="0.2">
      <c r="A117" t="s">
        <v>41</v>
      </c>
      <c r="B117" s="1">
        <v>46029</v>
      </c>
      <c r="C117" s="1">
        <f t="shared" si="3"/>
        <v>46053</v>
      </c>
      <c r="D117">
        <v>70</v>
      </c>
      <c r="E117">
        <v>172</v>
      </c>
      <c r="F117">
        <v>18</v>
      </c>
      <c r="G117">
        <v>16</v>
      </c>
      <c r="H117">
        <v>22</v>
      </c>
      <c r="I117">
        <v>0</v>
      </c>
      <c r="J117">
        <v>5</v>
      </c>
      <c r="K117">
        <v>84</v>
      </c>
      <c r="L117" t="s">
        <v>41</v>
      </c>
      <c r="M117" t="s">
        <v>38</v>
      </c>
      <c r="N117" s="1">
        <v>46029</v>
      </c>
      <c r="O117" s="2">
        <v>0.58340277777777783</v>
      </c>
      <c r="P117" s="2">
        <v>0.95783564814814814</v>
      </c>
      <c r="Q117">
        <v>8.98</v>
      </c>
      <c r="R117">
        <v>8.98</v>
      </c>
      <c r="S117">
        <v>2.2999999999999998</v>
      </c>
      <c r="T117">
        <v>0.33</v>
      </c>
      <c r="U117">
        <v>0</v>
      </c>
      <c r="V117">
        <v>0.47</v>
      </c>
      <c r="W117">
        <v>4.43</v>
      </c>
      <c r="X117">
        <v>1.45</v>
      </c>
      <c r="Y117">
        <v>0</v>
      </c>
      <c r="Z117">
        <v>0</v>
      </c>
      <c r="AA117">
        <v>0</v>
      </c>
      <c r="AB117">
        <v>0</v>
      </c>
      <c r="AC117">
        <v>8.98</v>
      </c>
      <c r="AD117">
        <v>25.64</v>
      </c>
      <c r="AE117">
        <v>3.62</v>
      </c>
      <c r="AF117">
        <v>0</v>
      </c>
      <c r="AG117">
        <v>5.25</v>
      </c>
      <c r="AH117">
        <v>49.35</v>
      </c>
      <c r="AI117">
        <v>16.100000000000001</v>
      </c>
      <c r="AJ117">
        <v>0</v>
      </c>
      <c r="AK117">
        <v>0</v>
      </c>
      <c r="AL117">
        <v>0</v>
      </c>
      <c r="AM117">
        <v>0.04</v>
      </c>
      <c r="AN117">
        <f t="shared" si="4"/>
        <v>4</v>
      </c>
      <c r="AO117" t="str">
        <f t="shared" si="5"/>
        <v>Wednesday</v>
      </c>
    </row>
    <row r="118" spans="1:41" x14ac:dyDescent="0.2">
      <c r="A118" t="s">
        <v>43</v>
      </c>
      <c r="B118" s="1">
        <v>46029</v>
      </c>
      <c r="C118" s="1">
        <f t="shared" si="3"/>
        <v>46053</v>
      </c>
      <c r="D118">
        <v>65</v>
      </c>
      <c r="E118">
        <v>197</v>
      </c>
      <c r="F118">
        <v>9</v>
      </c>
      <c r="G118">
        <v>15</v>
      </c>
      <c r="H118">
        <v>9</v>
      </c>
      <c r="I118">
        <v>0</v>
      </c>
      <c r="J118">
        <v>0</v>
      </c>
      <c r="K118">
        <v>89</v>
      </c>
      <c r="L118" t="s">
        <v>43</v>
      </c>
      <c r="M118" t="s">
        <v>38</v>
      </c>
      <c r="N118" s="1">
        <v>46029</v>
      </c>
      <c r="O118" s="2">
        <v>0.58356481481481481</v>
      </c>
      <c r="P118" s="2">
        <v>0.9588888888888889</v>
      </c>
      <c r="Q118">
        <v>9</v>
      </c>
      <c r="R118">
        <v>9.01</v>
      </c>
      <c r="S118">
        <v>3.18</v>
      </c>
      <c r="T118">
        <v>0.33</v>
      </c>
      <c r="U118">
        <v>0</v>
      </c>
      <c r="V118">
        <v>0.53</v>
      </c>
      <c r="W118">
        <v>3.51</v>
      </c>
      <c r="X118">
        <v>1.45</v>
      </c>
      <c r="Y118">
        <v>0</v>
      </c>
      <c r="Z118">
        <v>0</v>
      </c>
      <c r="AA118">
        <v>0</v>
      </c>
      <c r="AB118">
        <v>0</v>
      </c>
      <c r="AC118">
        <v>9.01</v>
      </c>
      <c r="AD118">
        <v>35.36</v>
      </c>
      <c r="AE118">
        <v>3.65</v>
      </c>
      <c r="AF118">
        <v>0</v>
      </c>
      <c r="AG118">
        <v>5.9</v>
      </c>
      <c r="AH118">
        <v>38.93</v>
      </c>
      <c r="AI118">
        <v>16.12</v>
      </c>
      <c r="AJ118">
        <v>0</v>
      </c>
      <c r="AK118">
        <v>0</v>
      </c>
      <c r="AL118">
        <v>0</v>
      </c>
      <c r="AM118">
        <v>0.04</v>
      </c>
      <c r="AN118">
        <f t="shared" si="4"/>
        <v>4</v>
      </c>
      <c r="AO118" t="str">
        <f t="shared" si="5"/>
        <v>Wednesday</v>
      </c>
    </row>
    <row r="119" spans="1:41" x14ac:dyDescent="0.2">
      <c r="B119" s="1">
        <v>46029</v>
      </c>
      <c r="C119" s="1">
        <f t="shared" si="3"/>
        <v>46053</v>
      </c>
      <c r="D119">
        <v>1237</v>
      </c>
      <c r="E119">
        <v>0</v>
      </c>
      <c r="F119">
        <v>0</v>
      </c>
      <c r="G119">
        <v>0</v>
      </c>
      <c r="H119">
        <v>0</v>
      </c>
      <c r="I119">
        <v>0</v>
      </c>
      <c r="J119">
        <v>0</v>
      </c>
      <c r="K119">
        <v>0</v>
      </c>
      <c r="AN119">
        <f t="shared" si="4"/>
        <v>4</v>
      </c>
      <c r="AO119" t="str">
        <f t="shared" si="5"/>
        <v>Wednesday</v>
      </c>
    </row>
    <row r="120" spans="1:41" x14ac:dyDescent="0.2">
      <c r="A120" t="s">
        <v>37</v>
      </c>
      <c r="B120" s="1">
        <v>46028</v>
      </c>
      <c r="C120" s="1">
        <f t="shared" si="3"/>
        <v>46053</v>
      </c>
      <c r="D120">
        <v>46</v>
      </c>
      <c r="E120">
        <v>59</v>
      </c>
      <c r="F120">
        <v>5</v>
      </c>
      <c r="G120">
        <v>7</v>
      </c>
      <c r="H120">
        <v>4</v>
      </c>
      <c r="I120">
        <v>1</v>
      </c>
      <c r="J120">
        <v>2</v>
      </c>
      <c r="K120">
        <v>0</v>
      </c>
      <c r="L120" t="s">
        <v>37</v>
      </c>
      <c r="M120" t="s">
        <v>38</v>
      </c>
      <c r="N120" s="1">
        <v>46028</v>
      </c>
      <c r="O120" s="2">
        <v>0.58407407407407408</v>
      </c>
      <c r="P120" s="2">
        <v>0.95848379629629632</v>
      </c>
      <c r="Q120">
        <v>8.98</v>
      </c>
      <c r="R120">
        <v>8.09</v>
      </c>
      <c r="S120">
        <v>2.87</v>
      </c>
      <c r="T120">
        <v>0.18</v>
      </c>
      <c r="U120">
        <v>0</v>
      </c>
      <c r="V120">
        <v>0.65</v>
      </c>
      <c r="W120">
        <v>3.79</v>
      </c>
      <c r="X120">
        <v>0.59</v>
      </c>
      <c r="Y120">
        <v>0</v>
      </c>
      <c r="Z120">
        <v>0</v>
      </c>
      <c r="AA120">
        <v>0</v>
      </c>
      <c r="AB120">
        <v>0.01</v>
      </c>
      <c r="AC120">
        <v>8.09</v>
      </c>
      <c r="AD120">
        <v>35.450000000000003</v>
      </c>
      <c r="AE120">
        <v>2.17</v>
      </c>
      <c r="AF120">
        <v>0</v>
      </c>
      <c r="AG120">
        <v>8.0399999999999991</v>
      </c>
      <c r="AH120">
        <v>46.89</v>
      </c>
      <c r="AI120">
        <v>7.3</v>
      </c>
      <c r="AJ120">
        <v>0</v>
      </c>
      <c r="AK120">
        <v>0</v>
      </c>
      <c r="AL120">
        <v>0</v>
      </c>
      <c r="AM120">
        <v>0.14000000000000001</v>
      </c>
      <c r="AN120">
        <f t="shared" si="4"/>
        <v>3</v>
      </c>
      <c r="AO120" t="str">
        <f t="shared" si="5"/>
        <v>Tuesday</v>
      </c>
    </row>
    <row r="121" spans="1:41" x14ac:dyDescent="0.2">
      <c r="A121" t="s">
        <v>39</v>
      </c>
      <c r="B121" s="1">
        <v>46028</v>
      </c>
      <c r="C121" s="1">
        <f t="shared" si="3"/>
        <v>46053</v>
      </c>
      <c r="D121">
        <v>47</v>
      </c>
      <c r="E121">
        <v>50</v>
      </c>
      <c r="F121">
        <v>5</v>
      </c>
      <c r="G121">
        <v>4</v>
      </c>
      <c r="H121">
        <v>8</v>
      </c>
      <c r="I121">
        <v>1</v>
      </c>
      <c r="J121">
        <v>1</v>
      </c>
      <c r="K121">
        <v>0</v>
      </c>
      <c r="L121" t="s">
        <v>39</v>
      </c>
      <c r="M121" t="s">
        <v>38</v>
      </c>
      <c r="N121" s="1">
        <v>46028</v>
      </c>
      <c r="O121" s="2">
        <v>0.58384259259259264</v>
      </c>
      <c r="P121" s="2">
        <v>0.95843750000000005</v>
      </c>
      <c r="Q121">
        <v>9</v>
      </c>
      <c r="R121">
        <v>8.99</v>
      </c>
      <c r="S121">
        <v>3.12</v>
      </c>
      <c r="T121">
        <v>0.11</v>
      </c>
      <c r="U121">
        <v>0</v>
      </c>
      <c r="V121">
        <v>0.06</v>
      </c>
      <c r="W121">
        <v>4.2</v>
      </c>
      <c r="X121">
        <v>1.49</v>
      </c>
      <c r="Y121">
        <v>0</v>
      </c>
      <c r="Z121">
        <v>0</v>
      </c>
      <c r="AA121">
        <v>0</v>
      </c>
      <c r="AB121">
        <v>0.01</v>
      </c>
      <c r="AC121">
        <v>8.99</v>
      </c>
      <c r="AD121">
        <v>34.76</v>
      </c>
      <c r="AE121">
        <v>1.23</v>
      </c>
      <c r="AF121">
        <v>0</v>
      </c>
      <c r="AG121">
        <v>0.7</v>
      </c>
      <c r="AH121">
        <v>46.68</v>
      </c>
      <c r="AI121">
        <v>16.579999999999998</v>
      </c>
      <c r="AJ121">
        <v>0</v>
      </c>
      <c r="AK121">
        <v>0</v>
      </c>
      <c r="AL121">
        <v>0</v>
      </c>
      <c r="AM121">
        <v>0.06</v>
      </c>
      <c r="AN121">
        <f t="shared" si="4"/>
        <v>3</v>
      </c>
      <c r="AO121" t="str">
        <f t="shared" si="5"/>
        <v>Tuesday</v>
      </c>
    </row>
    <row r="122" spans="1:41" x14ac:dyDescent="0.2">
      <c r="A122" t="s">
        <v>40</v>
      </c>
      <c r="B122" s="1">
        <v>46028</v>
      </c>
      <c r="C122" s="1">
        <f t="shared" si="3"/>
        <v>46053</v>
      </c>
      <c r="D122">
        <v>65</v>
      </c>
      <c r="E122">
        <v>83</v>
      </c>
      <c r="F122">
        <v>3</v>
      </c>
      <c r="G122">
        <v>1</v>
      </c>
      <c r="H122">
        <v>12</v>
      </c>
      <c r="I122">
        <v>2</v>
      </c>
      <c r="J122">
        <v>2</v>
      </c>
      <c r="K122">
        <v>0</v>
      </c>
      <c r="L122" t="s">
        <v>40</v>
      </c>
      <c r="M122" t="s">
        <v>38</v>
      </c>
      <c r="N122" s="1">
        <v>46028</v>
      </c>
      <c r="O122" s="2">
        <v>0.58380787037037041</v>
      </c>
      <c r="P122" s="2">
        <v>0.95834490740740741</v>
      </c>
      <c r="Q122">
        <v>9</v>
      </c>
      <c r="R122">
        <v>8.99</v>
      </c>
      <c r="S122">
        <v>2.2400000000000002</v>
      </c>
      <c r="T122">
        <v>0.22</v>
      </c>
      <c r="U122">
        <v>0</v>
      </c>
      <c r="V122">
        <v>0.69</v>
      </c>
      <c r="W122">
        <v>4.3099999999999996</v>
      </c>
      <c r="X122">
        <v>1.54</v>
      </c>
      <c r="Y122">
        <v>0</v>
      </c>
      <c r="Z122">
        <v>0</v>
      </c>
      <c r="AA122">
        <v>0</v>
      </c>
      <c r="AB122">
        <v>0</v>
      </c>
      <c r="AC122">
        <v>8.99</v>
      </c>
      <c r="AD122">
        <v>24.88</v>
      </c>
      <c r="AE122">
        <v>2.4300000000000002</v>
      </c>
      <c r="AF122">
        <v>0</v>
      </c>
      <c r="AG122">
        <v>7.65</v>
      </c>
      <c r="AH122">
        <v>47.94</v>
      </c>
      <c r="AI122">
        <v>17.079999999999998</v>
      </c>
      <c r="AJ122">
        <v>0</v>
      </c>
      <c r="AK122">
        <v>0</v>
      </c>
      <c r="AL122">
        <v>0</v>
      </c>
      <c r="AM122">
        <v>0.04</v>
      </c>
      <c r="AN122">
        <f t="shared" si="4"/>
        <v>3</v>
      </c>
      <c r="AO122" t="str">
        <f t="shared" si="5"/>
        <v>Tuesday</v>
      </c>
    </row>
    <row r="123" spans="1:41" x14ac:dyDescent="0.2">
      <c r="A123" t="s">
        <v>41</v>
      </c>
      <c r="B123" s="1">
        <v>46028</v>
      </c>
      <c r="C123" s="1">
        <f t="shared" si="3"/>
        <v>46053</v>
      </c>
      <c r="D123">
        <v>29</v>
      </c>
      <c r="E123">
        <v>31</v>
      </c>
      <c r="F123">
        <v>3</v>
      </c>
      <c r="G123">
        <v>3</v>
      </c>
      <c r="H123">
        <v>2</v>
      </c>
      <c r="I123">
        <v>0</v>
      </c>
      <c r="J123">
        <v>4</v>
      </c>
      <c r="K123">
        <v>0</v>
      </c>
      <c r="L123" t="s">
        <v>41</v>
      </c>
      <c r="M123" t="s">
        <v>38</v>
      </c>
      <c r="N123" s="1">
        <v>46028</v>
      </c>
      <c r="O123" s="2">
        <v>0.58339120370370368</v>
      </c>
      <c r="P123" s="2">
        <v>0.68910879629629629</v>
      </c>
      <c r="Q123">
        <v>2.5299999999999998</v>
      </c>
      <c r="R123">
        <v>2.54</v>
      </c>
      <c r="S123">
        <v>0.72</v>
      </c>
      <c r="T123">
        <v>0</v>
      </c>
      <c r="U123">
        <v>0</v>
      </c>
      <c r="V123">
        <v>0.17</v>
      </c>
      <c r="W123">
        <v>1.63</v>
      </c>
      <c r="X123">
        <v>0</v>
      </c>
      <c r="Y123">
        <v>0</v>
      </c>
      <c r="Z123">
        <v>0</v>
      </c>
      <c r="AA123">
        <v>0</v>
      </c>
      <c r="AB123">
        <v>0</v>
      </c>
      <c r="AC123">
        <v>2.54</v>
      </c>
      <c r="AD123">
        <v>28.54</v>
      </c>
      <c r="AE123">
        <v>0</v>
      </c>
      <c r="AF123">
        <v>0</v>
      </c>
      <c r="AG123">
        <v>6.89</v>
      </c>
      <c r="AH123">
        <v>64.44</v>
      </c>
      <c r="AI123">
        <v>0</v>
      </c>
      <c r="AJ123">
        <v>0</v>
      </c>
      <c r="AK123">
        <v>0</v>
      </c>
      <c r="AL123">
        <v>0</v>
      </c>
      <c r="AM123">
        <v>0.13</v>
      </c>
      <c r="AN123">
        <f t="shared" si="4"/>
        <v>3</v>
      </c>
      <c r="AO123" t="str">
        <f t="shared" si="5"/>
        <v>Tuesday</v>
      </c>
    </row>
    <row r="124" spans="1:41" x14ac:dyDescent="0.2">
      <c r="A124" t="s">
        <v>42</v>
      </c>
      <c r="B124" s="1">
        <v>46028</v>
      </c>
      <c r="C124" s="1">
        <f t="shared" si="3"/>
        <v>46053</v>
      </c>
      <c r="D124">
        <v>1</v>
      </c>
      <c r="E124">
        <v>1</v>
      </c>
      <c r="F124">
        <v>0</v>
      </c>
      <c r="G124">
        <v>0</v>
      </c>
      <c r="H124">
        <v>1</v>
      </c>
      <c r="I124">
        <v>0</v>
      </c>
      <c r="J124">
        <v>0</v>
      </c>
      <c r="K124">
        <v>0</v>
      </c>
      <c r="L124" t="s">
        <v>42</v>
      </c>
      <c r="M124" t="s">
        <v>38</v>
      </c>
      <c r="N124" s="1">
        <v>46028</v>
      </c>
      <c r="O124" s="2">
        <v>0.85167824074074072</v>
      </c>
      <c r="P124" s="2">
        <v>0.8658217592592593</v>
      </c>
      <c r="Q124">
        <v>0.33</v>
      </c>
      <c r="R124">
        <v>0.34</v>
      </c>
      <c r="S124">
        <v>0.33</v>
      </c>
      <c r="T124">
        <v>0</v>
      </c>
      <c r="U124">
        <v>0</v>
      </c>
      <c r="V124">
        <v>0</v>
      </c>
      <c r="W124">
        <v>0</v>
      </c>
      <c r="X124">
        <v>0</v>
      </c>
      <c r="Y124">
        <v>0</v>
      </c>
      <c r="Z124">
        <v>0</v>
      </c>
      <c r="AA124">
        <v>0</v>
      </c>
      <c r="AB124">
        <v>0.01</v>
      </c>
      <c r="AC124">
        <v>0.34</v>
      </c>
      <c r="AD124">
        <v>97.3</v>
      </c>
      <c r="AE124">
        <v>0</v>
      </c>
      <c r="AF124">
        <v>0</v>
      </c>
      <c r="AG124">
        <v>1.06</v>
      </c>
      <c r="AH124">
        <v>0</v>
      </c>
      <c r="AI124">
        <v>0</v>
      </c>
      <c r="AJ124">
        <v>0</v>
      </c>
      <c r="AK124">
        <v>0</v>
      </c>
      <c r="AL124">
        <v>0</v>
      </c>
      <c r="AM124">
        <v>1.64</v>
      </c>
      <c r="AN124">
        <f t="shared" si="4"/>
        <v>3</v>
      </c>
      <c r="AO124" t="str">
        <f t="shared" si="5"/>
        <v>Tuesday</v>
      </c>
    </row>
    <row r="125" spans="1:41" x14ac:dyDescent="0.2">
      <c r="A125" t="s">
        <v>43</v>
      </c>
      <c r="B125" s="1">
        <v>46028</v>
      </c>
      <c r="C125" s="1">
        <f t="shared" si="3"/>
        <v>46053</v>
      </c>
      <c r="D125">
        <v>68</v>
      </c>
      <c r="E125">
        <v>87</v>
      </c>
      <c r="F125">
        <v>9</v>
      </c>
      <c r="G125">
        <v>7</v>
      </c>
      <c r="H125">
        <v>5</v>
      </c>
      <c r="I125">
        <v>1</v>
      </c>
      <c r="J125">
        <v>1</v>
      </c>
      <c r="K125">
        <v>0</v>
      </c>
      <c r="L125" t="s">
        <v>43</v>
      </c>
      <c r="M125" t="s">
        <v>38</v>
      </c>
      <c r="N125" s="1">
        <v>46028</v>
      </c>
      <c r="O125" s="2">
        <v>0.5829050925925926</v>
      </c>
      <c r="P125" s="2">
        <v>0.96840277777777772</v>
      </c>
      <c r="Q125">
        <v>9.25</v>
      </c>
      <c r="R125">
        <v>9.25</v>
      </c>
      <c r="S125">
        <v>3.23</v>
      </c>
      <c r="T125">
        <v>0.35</v>
      </c>
      <c r="U125">
        <v>0</v>
      </c>
      <c r="V125">
        <v>0.48</v>
      </c>
      <c r="W125">
        <v>3.73</v>
      </c>
      <c r="X125">
        <v>1.47</v>
      </c>
      <c r="Y125">
        <v>0</v>
      </c>
      <c r="Z125">
        <v>0</v>
      </c>
      <c r="AA125">
        <v>0</v>
      </c>
      <c r="AB125">
        <v>0</v>
      </c>
      <c r="AC125">
        <v>9.25</v>
      </c>
      <c r="AD125">
        <v>34.869999999999997</v>
      </c>
      <c r="AE125">
        <v>3.78</v>
      </c>
      <c r="AF125">
        <v>0</v>
      </c>
      <c r="AG125">
        <v>5.16</v>
      </c>
      <c r="AH125">
        <v>40.270000000000003</v>
      </c>
      <c r="AI125">
        <v>15.88</v>
      </c>
      <c r="AJ125">
        <v>0</v>
      </c>
      <c r="AK125">
        <v>0</v>
      </c>
      <c r="AL125">
        <v>0</v>
      </c>
      <c r="AM125">
        <v>0.05</v>
      </c>
      <c r="AN125">
        <f t="shared" si="4"/>
        <v>3</v>
      </c>
      <c r="AO125" t="str">
        <f t="shared" si="5"/>
        <v>Tuesday</v>
      </c>
    </row>
    <row r="126" spans="1:41" x14ac:dyDescent="0.2">
      <c r="A126" t="s">
        <v>39</v>
      </c>
      <c r="B126" s="1">
        <v>46027</v>
      </c>
      <c r="C126" s="1">
        <f t="shared" si="3"/>
        <v>46053</v>
      </c>
      <c r="D126">
        <v>77</v>
      </c>
      <c r="E126">
        <v>172</v>
      </c>
      <c r="F126">
        <v>19</v>
      </c>
      <c r="G126">
        <v>14</v>
      </c>
      <c r="H126">
        <v>25</v>
      </c>
      <c r="I126">
        <v>0</v>
      </c>
      <c r="J126">
        <v>2</v>
      </c>
      <c r="K126">
        <v>80</v>
      </c>
      <c r="L126" t="s">
        <v>39</v>
      </c>
      <c r="M126" t="s">
        <v>38</v>
      </c>
      <c r="N126" s="1">
        <v>46027</v>
      </c>
      <c r="O126" s="2">
        <v>0.58357638888888885</v>
      </c>
      <c r="P126" s="2">
        <v>0.9583680555555556</v>
      </c>
      <c r="Q126">
        <v>9</v>
      </c>
      <c r="R126">
        <v>8.99</v>
      </c>
      <c r="S126">
        <v>3.61</v>
      </c>
      <c r="T126">
        <v>0</v>
      </c>
      <c r="U126">
        <v>0</v>
      </c>
      <c r="V126">
        <v>0.09</v>
      </c>
      <c r="W126">
        <v>3.8</v>
      </c>
      <c r="X126">
        <v>1.48</v>
      </c>
      <c r="Y126">
        <v>0</v>
      </c>
      <c r="Z126">
        <v>0</v>
      </c>
      <c r="AA126">
        <v>0</v>
      </c>
      <c r="AB126">
        <v>0.01</v>
      </c>
      <c r="AC126">
        <v>8.99</v>
      </c>
      <c r="AD126">
        <v>40.159999999999997</v>
      </c>
      <c r="AE126">
        <v>0</v>
      </c>
      <c r="AF126">
        <v>0</v>
      </c>
      <c r="AG126">
        <v>0.99</v>
      </c>
      <c r="AH126">
        <v>42.29</v>
      </c>
      <c r="AI126">
        <v>16.5</v>
      </c>
      <c r="AJ126">
        <v>0</v>
      </c>
      <c r="AK126">
        <v>0</v>
      </c>
      <c r="AL126">
        <v>0</v>
      </c>
      <c r="AM126">
        <v>0.06</v>
      </c>
      <c r="AN126">
        <f t="shared" si="4"/>
        <v>2</v>
      </c>
      <c r="AO126" t="str">
        <f t="shared" si="5"/>
        <v>Monday</v>
      </c>
    </row>
    <row r="127" spans="1:41" x14ac:dyDescent="0.2">
      <c r="A127" t="s">
        <v>40</v>
      </c>
      <c r="B127" s="1">
        <v>46027</v>
      </c>
      <c r="C127" s="1">
        <f t="shared" si="3"/>
        <v>46053</v>
      </c>
      <c r="D127">
        <v>57</v>
      </c>
      <c r="E127">
        <v>114</v>
      </c>
      <c r="F127">
        <v>11</v>
      </c>
      <c r="G127">
        <v>2</v>
      </c>
      <c r="H127">
        <v>18</v>
      </c>
      <c r="I127">
        <v>0</v>
      </c>
      <c r="J127">
        <v>1</v>
      </c>
      <c r="K127">
        <v>50</v>
      </c>
      <c r="L127" t="s">
        <v>40</v>
      </c>
      <c r="M127" t="s">
        <v>38</v>
      </c>
      <c r="N127" s="1">
        <v>46027</v>
      </c>
      <c r="O127" s="2">
        <v>0.58371527777777776</v>
      </c>
      <c r="P127" s="2">
        <v>0.9584259259259259</v>
      </c>
      <c r="Q127">
        <v>9</v>
      </c>
      <c r="R127">
        <v>8.99</v>
      </c>
      <c r="S127">
        <v>2.1800000000000002</v>
      </c>
      <c r="T127">
        <v>1.26</v>
      </c>
      <c r="U127">
        <v>0</v>
      </c>
      <c r="V127">
        <v>0.5</v>
      </c>
      <c r="W127">
        <v>2.78</v>
      </c>
      <c r="X127">
        <v>1.5</v>
      </c>
      <c r="Y127">
        <v>0.77</v>
      </c>
      <c r="Z127">
        <v>0</v>
      </c>
      <c r="AA127">
        <v>0</v>
      </c>
      <c r="AB127">
        <v>0.01</v>
      </c>
      <c r="AC127">
        <v>8.99</v>
      </c>
      <c r="AD127">
        <v>24.19</v>
      </c>
      <c r="AE127">
        <v>13.97</v>
      </c>
      <c r="AF127">
        <v>0</v>
      </c>
      <c r="AG127">
        <v>5.55</v>
      </c>
      <c r="AH127">
        <v>30.91</v>
      </c>
      <c r="AI127">
        <v>16.72</v>
      </c>
      <c r="AJ127">
        <v>8.52</v>
      </c>
      <c r="AK127">
        <v>0</v>
      </c>
      <c r="AL127">
        <v>0</v>
      </c>
      <c r="AM127">
        <v>0.15</v>
      </c>
      <c r="AN127">
        <f t="shared" si="4"/>
        <v>2</v>
      </c>
      <c r="AO127" t="str">
        <f t="shared" si="5"/>
        <v>Monday</v>
      </c>
    </row>
    <row r="128" spans="1:41" x14ac:dyDescent="0.2">
      <c r="A128" t="s">
        <v>41</v>
      </c>
      <c r="B128" s="1">
        <v>46027</v>
      </c>
      <c r="C128" s="1">
        <f t="shared" si="3"/>
        <v>46053</v>
      </c>
      <c r="D128">
        <v>69</v>
      </c>
      <c r="E128">
        <v>154</v>
      </c>
      <c r="F128">
        <v>15</v>
      </c>
      <c r="G128">
        <v>3</v>
      </c>
      <c r="H128">
        <v>19</v>
      </c>
      <c r="I128">
        <v>0</v>
      </c>
      <c r="J128">
        <v>7</v>
      </c>
      <c r="K128">
        <v>86</v>
      </c>
      <c r="L128" t="s">
        <v>41</v>
      </c>
      <c r="M128" t="s">
        <v>38</v>
      </c>
      <c r="N128" s="1">
        <v>46027</v>
      </c>
      <c r="O128" s="2">
        <v>0.66638888888888892</v>
      </c>
      <c r="P128" s="2">
        <v>0.95775462962962965</v>
      </c>
      <c r="Q128">
        <v>7</v>
      </c>
      <c r="R128">
        <v>6.94</v>
      </c>
      <c r="S128">
        <v>1.93</v>
      </c>
      <c r="T128">
        <v>0.17</v>
      </c>
      <c r="U128">
        <v>0</v>
      </c>
      <c r="V128">
        <v>0.51</v>
      </c>
      <c r="W128">
        <v>3.02</v>
      </c>
      <c r="X128">
        <v>1.31</v>
      </c>
      <c r="Y128">
        <v>0</v>
      </c>
      <c r="Z128">
        <v>0</v>
      </c>
      <c r="AA128">
        <v>0</v>
      </c>
      <c r="AB128">
        <v>0.01</v>
      </c>
      <c r="AC128">
        <v>6.94</v>
      </c>
      <c r="AD128">
        <v>27.79</v>
      </c>
      <c r="AE128">
        <v>2.4</v>
      </c>
      <c r="AF128">
        <v>0</v>
      </c>
      <c r="AG128">
        <v>7.33</v>
      </c>
      <c r="AH128">
        <v>43.51</v>
      </c>
      <c r="AI128">
        <v>18.84</v>
      </c>
      <c r="AJ128">
        <v>0</v>
      </c>
      <c r="AK128">
        <v>0</v>
      </c>
      <c r="AL128">
        <v>0</v>
      </c>
      <c r="AM128">
        <v>0.12</v>
      </c>
      <c r="AN128">
        <f t="shared" si="4"/>
        <v>2</v>
      </c>
      <c r="AO128" t="str">
        <f t="shared" si="5"/>
        <v>Monday</v>
      </c>
    </row>
    <row r="129" spans="1:41" x14ac:dyDescent="0.2">
      <c r="A129" t="s">
        <v>43</v>
      </c>
      <c r="B129" s="1">
        <v>46027</v>
      </c>
      <c r="C129" s="1">
        <f t="shared" si="3"/>
        <v>46053</v>
      </c>
      <c r="D129">
        <v>76</v>
      </c>
      <c r="E129">
        <v>207</v>
      </c>
      <c r="F129">
        <v>7</v>
      </c>
      <c r="G129">
        <v>16</v>
      </c>
      <c r="H129">
        <v>7</v>
      </c>
      <c r="I129">
        <v>3</v>
      </c>
      <c r="J129">
        <v>1</v>
      </c>
      <c r="K129">
        <v>111</v>
      </c>
      <c r="L129" t="s">
        <v>43</v>
      </c>
      <c r="M129" t="s">
        <v>38</v>
      </c>
      <c r="N129" s="1">
        <v>46027</v>
      </c>
      <c r="O129" s="2">
        <v>0.58356481481481481</v>
      </c>
      <c r="P129" s="2">
        <v>0.95899305555555558</v>
      </c>
      <c r="Q129">
        <v>9</v>
      </c>
      <c r="R129">
        <v>9.01</v>
      </c>
      <c r="S129">
        <v>2.68</v>
      </c>
      <c r="T129">
        <v>0.4</v>
      </c>
      <c r="U129">
        <v>0</v>
      </c>
      <c r="V129">
        <v>0.55000000000000004</v>
      </c>
      <c r="W129">
        <v>3.9</v>
      </c>
      <c r="X129">
        <v>1.47</v>
      </c>
      <c r="Y129">
        <v>0</v>
      </c>
      <c r="Z129">
        <v>0</v>
      </c>
      <c r="AA129">
        <v>0</v>
      </c>
      <c r="AB129">
        <v>0</v>
      </c>
      <c r="AC129">
        <v>9.01</v>
      </c>
      <c r="AD129">
        <v>29.75</v>
      </c>
      <c r="AE129">
        <v>4.42</v>
      </c>
      <c r="AF129">
        <v>0</v>
      </c>
      <c r="AG129">
        <v>6.12</v>
      </c>
      <c r="AH129">
        <v>43.32</v>
      </c>
      <c r="AI129">
        <v>16.37</v>
      </c>
      <c r="AJ129">
        <v>0</v>
      </c>
      <c r="AK129">
        <v>0</v>
      </c>
      <c r="AL129">
        <v>0</v>
      </c>
      <c r="AM129">
        <v>0.03</v>
      </c>
      <c r="AN129">
        <f t="shared" si="4"/>
        <v>2</v>
      </c>
      <c r="AO129" t="str">
        <f t="shared" si="5"/>
        <v>Monday</v>
      </c>
    </row>
    <row r="130" spans="1:41" x14ac:dyDescent="0.2">
      <c r="B130" s="1">
        <v>46027</v>
      </c>
      <c r="C130" s="1">
        <f t="shared" si="3"/>
        <v>46053</v>
      </c>
      <c r="D130">
        <v>1201</v>
      </c>
      <c r="E130">
        <v>0</v>
      </c>
      <c r="F130">
        <v>1</v>
      </c>
      <c r="G130">
        <v>0</v>
      </c>
      <c r="H130">
        <v>0</v>
      </c>
      <c r="I130">
        <v>0</v>
      </c>
      <c r="J130">
        <v>0</v>
      </c>
      <c r="K130">
        <v>0</v>
      </c>
      <c r="AN130">
        <f t="shared" si="4"/>
        <v>2</v>
      </c>
      <c r="AO130" t="str">
        <f t="shared" si="5"/>
        <v>Monday</v>
      </c>
    </row>
    <row r="131" spans="1:41" x14ac:dyDescent="0.2">
      <c r="A131" t="s">
        <v>37</v>
      </c>
      <c r="B131" s="1">
        <v>46024</v>
      </c>
      <c r="C131" s="1">
        <f t="shared" ref="C131:C194" si="6">EOMONTH(B131,0)</f>
        <v>46053</v>
      </c>
      <c r="D131">
        <v>50</v>
      </c>
      <c r="E131">
        <v>80</v>
      </c>
      <c r="F131">
        <v>12</v>
      </c>
      <c r="G131">
        <v>9</v>
      </c>
      <c r="H131">
        <v>3</v>
      </c>
      <c r="I131">
        <v>0</v>
      </c>
      <c r="J131">
        <v>5</v>
      </c>
      <c r="K131">
        <v>30</v>
      </c>
      <c r="L131" t="s">
        <v>37</v>
      </c>
      <c r="M131" t="s">
        <v>38</v>
      </c>
      <c r="N131" s="1">
        <v>46024</v>
      </c>
      <c r="O131" s="2">
        <v>0.58488425925925924</v>
      </c>
      <c r="P131" s="2">
        <v>0.95894675925925921</v>
      </c>
      <c r="Q131">
        <v>8.9700000000000006</v>
      </c>
      <c r="R131">
        <v>8.06</v>
      </c>
      <c r="S131">
        <v>3.01</v>
      </c>
      <c r="T131">
        <v>0.59</v>
      </c>
      <c r="U131">
        <v>0</v>
      </c>
      <c r="V131">
        <v>0.68</v>
      </c>
      <c r="W131">
        <v>3.42</v>
      </c>
      <c r="X131">
        <v>0.34</v>
      </c>
      <c r="Y131">
        <v>0</v>
      </c>
      <c r="Z131">
        <v>0</v>
      </c>
      <c r="AA131">
        <v>0</v>
      </c>
      <c r="AB131">
        <v>0.02</v>
      </c>
      <c r="AC131">
        <v>8.06</v>
      </c>
      <c r="AD131">
        <v>37.36</v>
      </c>
      <c r="AE131">
        <v>7.34</v>
      </c>
      <c r="AF131">
        <v>0</v>
      </c>
      <c r="AG131">
        <v>8.44</v>
      </c>
      <c r="AH131">
        <v>42.38</v>
      </c>
      <c r="AI131">
        <v>4.1900000000000004</v>
      </c>
      <c r="AJ131">
        <v>0</v>
      </c>
      <c r="AK131">
        <v>0</v>
      </c>
      <c r="AL131">
        <v>0</v>
      </c>
      <c r="AM131">
        <v>0.3</v>
      </c>
      <c r="AN131">
        <f t="shared" ref="AN131:AN194" si="7">WEEKDAY(B131,1)</f>
        <v>6</v>
      </c>
      <c r="AO131" t="str">
        <f t="shared" ref="AO131:AO194" si="8">VLOOKUP(AN131,$AY$2:$AZ$8,2,FALSE)</f>
        <v>Friday</v>
      </c>
    </row>
    <row r="132" spans="1:41" x14ac:dyDescent="0.2">
      <c r="A132" t="s">
        <v>39</v>
      </c>
      <c r="B132" s="1">
        <v>46024</v>
      </c>
      <c r="C132" s="1">
        <f t="shared" si="6"/>
        <v>46053</v>
      </c>
      <c r="D132">
        <v>93</v>
      </c>
      <c r="E132">
        <v>152</v>
      </c>
      <c r="F132">
        <v>22</v>
      </c>
      <c r="G132">
        <v>12</v>
      </c>
      <c r="H132">
        <v>12</v>
      </c>
      <c r="I132">
        <v>0</v>
      </c>
      <c r="J132">
        <v>3</v>
      </c>
      <c r="K132">
        <v>62</v>
      </c>
      <c r="L132" t="s">
        <v>39</v>
      </c>
      <c r="M132" t="s">
        <v>38</v>
      </c>
      <c r="N132" s="1">
        <v>46024</v>
      </c>
      <c r="O132" s="2">
        <v>0.58354166666666663</v>
      </c>
      <c r="P132" s="2">
        <v>0.95841435185185186</v>
      </c>
      <c r="Q132">
        <v>9</v>
      </c>
      <c r="R132">
        <v>9</v>
      </c>
      <c r="S132">
        <v>2.85</v>
      </c>
      <c r="T132">
        <v>0.02</v>
      </c>
      <c r="U132">
        <v>0</v>
      </c>
      <c r="V132">
        <v>0.3</v>
      </c>
      <c r="W132">
        <v>4.3099999999999996</v>
      </c>
      <c r="X132">
        <v>1.49</v>
      </c>
      <c r="Y132">
        <v>0</v>
      </c>
      <c r="Z132">
        <v>0</v>
      </c>
      <c r="AA132">
        <v>0.02</v>
      </c>
      <c r="AB132">
        <v>0.01</v>
      </c>
      <c r="AC132">
        <v>9</v>
      </c>
      <c r="AD132">
        <v>31.67</v>
      </c>
      <c r="AE132">
        <v>0.22</v>
      </c>
      <c r="AF132">
        <v>0</v>
      </c>
      <c r="AG132">
        <v>3.29</v>
      </c>
      <c r="AH132">
        <v>47.89</v>
      </c>
      <c r="AI132">
        <v>16.59</v>
      </c>
      <c r="AJ132">
        <v>0</v>
      </c>
      <c r="AK132">
        <v>0</v>
      </c>
      <c r="AL132">
        <v>0.27</v>
      </c>
      <c r="AM132">
        <v>7.0000000000000007E-2</v>
      </c>
      <c r="AN132">
        <f t="shared" si="7"/>
        <v>6</v>
      </c>
      <c r="AO132" t="str">
        <f t="shared" si="8"/>
        <v>Friday</v>
      </c>
    </row>
    <row r="133" spans="1:41" x14ac:dyDescent="0.2">
      <c r="A133" t="s">
        <v>41</v>
      </c>
      <c r="B133" s="1">
        <v>46024</v>
      </c>
      <c r="C133" s="1">
        <f t="shared" si="6"/>
        <v>46053</v>
      </c>
      <c r="D133">
        <v>60</v>
      </c>
      <c r="E133">
        <v>89</v>
      </c>
      <c r="F133">
        <v>13</v>
      </c>
      <c r="G133">
        <v>10</v>
      </c>
      <c r="H133">
        <v>13</v>
      </c>
      <c r="I133">
        <v>0</v>
      </c>
      <c r="J133">
        <v>3</v>
      </c>
      <c r="K133">
        <v>31</v>
      </c>
      <c r="L133" t="s">
        <v>41</v>
      </c>
      <c r="M133" t="s">
        <v>38</v>
      </c>
      <c r="N133" s="1">
        <v>46024</v>
      </c>
      <c r="O133" s="2">
        <v>0.58332175925925922</v>
      </c>
      <c r="P133" s="2">
        <v>0.95945601851851847</v>
      </c>
      <c r="Q133">
        <v>9.0299999999999994</v>
      </c>
      <c r="R133">
        <v>9.02</v>
      </c>
      <c r="S133">
        <v>2.75</v>
      </c>
      <c r="T133">
        <v>0.14000000000000001</v>
      </c>
      <c r="U133">
        <v>0</v>
      </c>
      <c r="V133">
        <v>0.63</v>
      </c>
      <c r="W133">
        <v>4.05</v>
      </c>
      <c r="X133">
        <v>1.46</v>
      </c>
      <c r="Y133">
        <v>0</v>
      </c>
      <c r="Z133">
        <v>0</v>
      </c>
      <c r="AA133">
        <v>0</v>
      </c>
      <c r="AB133">
        <v>0</v>
      </c>
      <c r="AC133">
        <v>9.02</v>
      </c>
      <c r="AD133">
        <v>30.47</v>
      </c>
      <c r="AE133">
        <v>1.51</v>
      </c>
      <c r="AF133">
        <v>0</v>
      </c>
      <c r="AG133">
        <v>6.94</v>
      </c>
      <c r="AH133">
        <v>44.88</v>
      </c>
      <c r="AI133">
        <v>16.170000000000002</v>
      </c>
      <c r="AJ133">
        <v>0</v>
      </c>
      <c r="AK133">
        <v>0</v>
      </c>
      <c r="AL133">
        <v>0</v>
      </c>
      <c r="AM133">
        <v>0.04</v>
      </c>
      <c r="AN133">
        <f t="shared" si="7"/>
        <v>6</v>
      </c>
      <c r="AO133" t="str">
        <f t="shared" si="8"/>
        <v>Friday</v>
      </c>
    </row>
    <row r="134" spans="1:41" x14ac:dyDescent="0.2">
      <c r="B134" s="1">
        <v>46024</v>
      </c>
      <c r="C134" s="1">
        <f t="shared" si="6"/>
        <v>46053</v>
      </c>
      <c r="D134">
        <v>875</v>
      </c>
      <c r="E134">
        <v>0</v>
      </c>
      <c r="F134">
        <v>0</v>
      </c>
      <c r="G134">
        <v>0</v>
      </c>
      <c r="H134">
        <v>0</v>
      </c>
      <c r="I134">
        <v>0</v>
      </c>
      <c r="J134">
        <v>0</v>
      </c>
      <c r="K134">
        <v>0</v>
      </c>
      <c r="AN134">
        <f t="shared" si="7"/>
        <v>6</v>
      </c>
      <c r="AO134" t="str">
        <f t="shared" si="8"/>
        <v>Friday</v>
      </c>
    </row>
    <row r="135" spans="1:41" x14ac:dyDescent="0.2">
      <c r="A135" t="s">
        <v>39</v>
      </c>
      <c r="B135" s="1">
        <v>46021</v>
      </c>
      <c r="C135" s="1">
        <f t="shared" si="6"/>
        <v>46022</v>
      </c>
      <c r="D135">
        <v>20</v>
      </c>
      <c r="E135">
        <v>25</v>
      </c>
      <c r="F135">
        <v>7</v>
      </c>
      <c r="G135">
        <v>1</v>
      </c>
      <c r="H135">
        <v>8</v>
      </c>
      <c r="I135">
        <v>1</v>
      </c>
      <c r="J135">
        <v>1</v>
      </c>
      <c r="K135">
        <v>0</v>
      </c>
      <c r="L135" t="s">
        <v>39</v>
      </c>
      <c r="M135" t="s">
        <v>38</v>
      </c>
      <c r="N135" s="1">
        <v>46021</v>
      </c>
      <c r="O135" s="2">
        <v>0.62466435185185187</v>
      </c>
      <c r="P135" s="2">
        <v>0.87509259259259264</v>
      </c>
      <c r="Q135">
        <v>6.02</v>
      </c>
      <c r="R135">
        <v>6.01</v>
      </c>
      <c r="S135">
        <v>2.56</v>
      </c>
      <c r="T135">
        <v>0.01</v>
      </c>
      <c r="U135">
        <v>0</v>
      </c>
      <c r="V135">
        <v>0.03</v>
      </c>
      <c r="W135">
        <v>2.9</v>
      </c>
      <c r="X135">
        <v>0.49</v>
      </c>
      <c r="Y135">
        <v>0</v>
      </c>
      <c r="Z135">
        <v>0</v>
      </c>
      <c r="AA135">
        <v>0</v>
      </c>
      <c r="AB135">
        <v>0.01</v>
      </c>
      <c r="AC135">
        <v>6.01</v>
      </c>
      <c r="AD135">
        <v>42.63</v>
      </c>
      <c r="AE135">
        <v>0.2</v>
      </c>
      <c r="AF135">
        <v>0</v>
      </c>
      <c r="AG135">
        <v>0.56999999999999995</v>
      </c>
      <c r="AH135">
        <v>48.25</v>
      </c>
      <c r="AI135">
        <v>8.16</v>
      </c>
      <c r="AJ135">
        <v>0</v>
      </c>
      <c r="AK135">
        <v>0</v>
      </c>
      <c r="AL135">
        <v>0</v>
      </c>
      <c r="AM135">
        <v>0.18</v>
      </c>
      <c r="AN135">
        <f t="shared" si="7"/>
        <v>3</v>
      </c>
      <c r="AO135" t="str">
        <f t="shared" si="8"/>
        <v>Tuesday</v>
      </c>
    </row>
    <row r="136" spans="1:41" x14ac:dyDescent="0.2">
      <c r="A136" t="s">
        <v>41</v>
      </c>
      <c r="B136" s="1">
        <v>46021</v>
      </c>
      <c r="C136" s="1">
        <f t="shared" si="6"/>
        <v>46022</v>
      </c>
      <c r="D136">
        <v>19</v>
      </c>
      <c r="E136">
        <v>25</v>
      </c>
      <c r="F136">
        <v>10</v>
      </c>
      <c r="G136">
        <v>1</v>
      </c>
      <c r="H136">
        <v>2</v>
      </c>
      <c r="I136">
        <v>2</v>
      </c>
      <c r="J136">
        <v>4</v>
      </c>
      <c r="K136">
        <v>0</v>
      </c>
      <c r="L136" t="s">
        <v>41</v>
      </c>
      <c r="M136" t="s">
        <v>38</v>
      </c>
      <c r="N136" s="1">
        <v>46021</v>
      </c>
      <c r="O136" s="2">
        <v>0.62445601851851851</v>
      </c>
      <c r="P136" s="2">
        <v>0.87336805555555552</v>
      </c>
      <c r="Q136">
        <v>5.97</v>
      </c>
      <c r="R136">
        <v>5.97</v>
      </c>
      <c r="S136">
        <v>2.4300000000000002</v>
      </c>
      <c r="T136">
        <v>0</v>
      </c>
      <c r="U136">
        <v>0</v>
      </c>
      <c r="V136">
        <v>0.31</v>
      </c>
      <c r="W136">
        <v>2.89</v>
      </c>
      <c r="X136">
        <v>0.34</v>
      </c>
      <c r="Y136">
        <v>0</v>
      </c>
      <c r="Z136">
        <v>0</v>
      </c>
      <c r="AA136">
        <v>0</v>
      </c>
      <c r="AB136">
        <v>0</v>
      </c>
      <c r="AC136">
        <v>5.97</v>
      </c>
      <c r="AD136">
        <v>40.65</v>
      </c>
      <c r="AE136">
        <v>0</v>
      </c>
      <c r="AF136">
        <v>0</v>
      </c>
      <c r="AG136">
        <v>5.1100000000000003</v>
      </c>
      <c r="AH136">
        <v>48.46</v>
      </c>
      <c r="AI136">
        <v>5.73</v>
      </c>
      <c r="AJ136">
        <v>0</v>
      </c>
      <c r="AK136">
        <v>0</v>
      </c>
      <c r="AL136">
        <v>0</v>
      </c>
      <c r="AM136">
        <v>0.06</v>
      </c>
      <c r="AN136">
        <f t="shared" si="7"/>
        <v>3</v>
      </c>
      <c r="AO136" t="str">
        <f t="shared" si="8"/>
        <v>Tuesday</v>
      </c>
    </row>
    <row r="137" spans="1:41" x14ac:dyDescent="0.2">
      <c r="A137" t="s">
        <v>39</v>
      </c>
      <c r="B137" s="1">
        <v>46020</v>
      </c>
      <c r="C137" s="1">
        <f t="shared" si="6"/>
        <v>46022</v>
      </c>
      <c r="D137">
        <v>30</v>
      </c>
      <c r="E137">
        <v>38</v>
      </c>
      <c r="F137">
        <v>10</v>
      </c>
      <c r="G137">
        <v>1</v>
      </c>
      <c r="H137">
        <v>6</v>
      </c>
      <c r="I137">
        <v>0</v>
      </c>
      <c r="J137">
        <v>0</v>
      </c>
      <c r="K137">
        <v>2</v>
      </c>
      <c r="L137" t="s">
        <v>39</v>
      </c>
      <c r="M137" t="s">
        <v>38</v>
      </c>
      <c r="N137" s="1">
        <v>46020</v>
      </c>
      <c r="O137" s="2">
        <v>0.62493055555555554</v>
      </c>
      <c r="P137" s="2">
        <v>0.87583333333333335</v>
      </c>
      <c r="Q137">
        <v>6.03</v>
      </c>
      <c r="R137">
        <v>6.02</v>
      </c>
      <c r="S137">
        <v>2.0499999999999998</v>
      </c>
      <c r="T137">
        <v>0.01</v>
      </c>
      <c r="U137">
        <v>0</v>
      </c>
      <c r="V137">
        <v>0.06</v>
      </c>
      <c r="W137">
        <v>3.42</v>
      </c>
      <c r="X137">
        <v>0.48</v>
      </c>
      <c r="Y137">
        <v>0</v>
      </c>
      <c r="Z137">
        <v>0</v>
      </c>
      <c r="AA137">
        <v>0</v>
      </c>
      <c r="AB137">
        <v>0.01</v>
      </c>
      <c r="AC137">
        <v>6.02</v>
      </c>
      <c r="AD137">
        <v>34.11</v>
      </c>
      <c r="AE137">
        <v>0.08</v>
      </c>
      <c r="AF137">
        <v>0</v>
      </c>
      <c r="AG137">
        <v>0.95</v>
      </c>
      <c r="AH137">
        <v>56.79</v>
      </c>
      <c r="AI137">
        <v>7.97</v>
      </c>
      <c r="AJ137">
        <v>0</v>
      </c>
      <c r="AK137">
        <v>0</v>
      </c>
      <c r="AL137">
        <v>0</v>
      </c>
      <c r="AM137">
        <v>0.1</v>
      </c>
      <c r="AN137">
        <f t="shared" si="7"/>
        <v>2</v>
      </c>
      <c r="AO137" t="str">
        <f t="shared" si="8"/>
        <v>Monday</v>
      </c>
    </row>
    <row r="138" spans="1:41" x14ac:dyDescent="0.2">
      <c r="A138" t="s">
        <v>40</v>
      </c>
      <c r="B138" s="1">
        <v>46020</v>
      </c>
      <c r="C138" s="1">
        <f t="shared" si="6"/>
        <v>46022</v>
      </c>
      <c r="D138">
        <v>17</v>
      </c>
      <c r="E138">
        <v>18</v>
      </c>
      <c r="F138">
        <v>5</v>
      </c>
      <c r="G138">
        <v>0</v>
      </c>
      <c r="H138">
        <v>9</v>
      </c>
      <c r="I138">
        <v>0</v>
      </c>
      <c r="J138">
        <v>2</v>
      </c>
      <c r="K138">
        <v>0</v>
      </c>
      <c r="L138" t="s">
        <v>40</v>
      </c>
      <c r="M138" t="s">
        <v>38</v>
      </c>
      <c r="N138" s="1">
        <v>46020</v>
      </c>
      <c r="O138" s="2">
        <v>0.62543981481481481</v>
      </c>
      <c r="P138" s="2">
        <v>0.87501157407407404</v>
      </c>
      <c r="Q138">
        <v>6</v>
      </c>
      <c r="R138">
        <v>5.99</v>
      </c>
      <c r="S138">
        <v>1.35</v>
      </c>
      <c r="T138">
        <v>0</v>
      </c>
      <c r="U138">
        <v>0</v>
      </c>
      <c r="V138">
        <v>7.0000000000000007E-2</v>
      </c>
      <c r="W138">
        <v>4.07</v>
      </c>
      <c r="X138">
        <v>0.5</v>
      </c>
      <c r="Y138">
        <v>0</v>
      </c>
      <c r="Z138">
        <v>0</v>
      </c>
      <c r="AA138">
        <v>0</v>
      </c>
      <c r="AB138">
        <v>0</v>
      </c>
      <c r="AC138">
        <v>5.99</v>
      </c>
      <c r="AD138">
        <v>22.46</v>
      </c>
      <c r="AE138">
        <v>0</v>
      </c>
      <c r="AF138">
        <v>0</v>
      </c>
      <c r="AG138">
        <v>1.17</v>
      </c>
      <c r="AH138">
        <v>68.02</v>
      </c>
      <c r="AI138">
        <v>8.2899999999999991</v>
      </c>
      <c r="AJ138">
        <v>0</v>
      </c>
      <c r="AK138">
        <v>0</v>
      </c>
      <c r="AL138">
        <v>0</v>
      </c>
      <c r="AM138">
        <v>0.06</v>
      </c>
      <c r="AN138">
        <f t="shared" si="7"/>
        <v>2</v>
      </c>
      <c r="AO138" t="str">
        <f t="shared" si="8"/>
        <v>Monday</v>
      </c>
    </row>
    <row r="139" spans="1:41" x14ac:dyDescent="0.2">
      <c r="A139" t="s">
        <v>37</v>
      </c>
      <c r="B139" s="1">
        <v>46014</v>
      </c>
      <c r="C139" s="1">
        <f t="shared" si="6"/>
        <v>46022</v>
      </c>
      <c r="D139">
        <v>54</v>
      </c>
      <c r="E139">
        <v>74</v>
      </c>
      <c r="F139">
        <v>8</v>
      </c>
      <c r="G139">
        <v>7</v>
      </c>
      <c r="H139">
        <v>4</v>
      </c>
      <c r="I139">
        <v>3</v>
      </c>
      <c r="J139">
        <v>3</v>
      </c>
      <c r="K139">
        <v>4</v>
      </c>
      <c r="L139" t="s">
        <v>37</v>
      </c>
      <c r="M139" t="s">
        <v>38</v>
      </c>
      <c r="N139" s="1">
        <v>46014</v>
      </c>
      <c r="O139" s="2">
        <v>0.58359953703703704</v>
      </c>
      <c r="P139" s="2">
        <v>0.95870370370370372</v>
      </c>
      <c r="Q139">
        <v>9</v>
      </c>
      <c r="R139">
        <v>8.1999999999999993</v>
      </c>
      <c r="S139">
        <v>2.78</v>
      </c>
      <c r="T139">
        <v>0.56000000000000005</v>
      </c>
      <c r="U139">
        <v>0</v>
      </c>
      <c r="V139">
        <v>0.59</v>
      </c>
      <c r="W139">
        <v>3.84</v>
      </c>
      <c r="X139">
        <v>0.36</v>
      </c>
      <c r="Y139">
        <v>0</v>
      </c>
      <c r="Z139">
        <v>0</v>
      </c>
      <c r="AA139">
        <v>0</v>
      </c>
      <c r="AB139">
        <v>7.0000000000000007E-2</v>
      </c>
      <c r="AC139">
        <v>8.1999999999999993</v>
      </c>
      <c r="AD139">
        <v>33.93</v>
      </c>
      <c r="AE139">
        <v>6.84</v>
      </c>
      <c r="AF139">
        <v>0</v>
      </c>
      <c r="AG139">
        <v>7.2</v>
      </c>
      <c r="AH139">
        <v>46.81</v>
      </c>
      <c r="AI139">
        <v>4.3499999999999996</v>
      </c>
      <c r="AJ139">
        <v>0</v>
      </c>
      <c r="AK139">
        <v>0</v>
      </c>
      <c r="AL139">
        <v>0</v>
      </c>
      <c r="AM139">
        <v>0.87</v>
      </c>
      <c r="AN139">
        <f t="shared" si="7"/>
        <v>3</v>
      </c>
      <c r="AO139" t="str">
        <f t="shared" si="8"/>
        <v>Tuesday</v>
      </c>
    </row>
    <row r="140" spans="1:41" x14ac:dyDescent="0.2">
      <c r="A140" t="s">
        <v>39</v>
      </c>
      <c r="B140" s="1">
        <v>46014</v>
      </c>
      <c r="C140" s="1">
        <f t="shared" si="6"/>
        <v>46022</v>
      </c>
      <c r="D140">
        <v>76</v>
      </c>
      <c r="E140">
        <v>97</v>
      </c>
      <c r="F140">
        <v>9</v>
      </c>
      <c r="G140">
        <v>3</v>
      </c>
      <c r="H140">
        <v>10</v>
      </c>
      <c r="I140">
        <v>0</v>
      </c>
      <c r="J140">
        <v>1</v>
      </c>
      <c r="K140">
        <v>0</v>
      </c>
      <c r="L140" t="s">
        <v>39</v>
      </c>
      <c r="M140" t="s">
        <v>38</v>
      </c>
      <c r="N140" s="1">
        <v>46014</v>
      </c>
      <c r="O140" s="2">
        <v>0.58390046296296294</v>
      </c>
      <c r="P140" s="2">
        <v>0.95837962962962964</v>
      </c>
      <c r="Q140">
        <v>9</v>
      </c>
      <c r="R140">
        <v>8.98</v>
      </c>
      <c r="S140">
        <v>2.69</v>
      </c>
      <c r="T140">
        <v>0</v>
      </c>
      <c r="U140">
        <v>0</v>
      </c>
      <c r="V140">
        <v>0.15</v>
      </c>
      <c r="W140">
        <v>4.6500000000000004</v>
      </c>
      <c r="X140">
        <v>1.48</v>
      </c>
      <c r="Y140">
        <v>0</v>
      </c>
      <c r="Z140">
        <v>0</v>
      </c>
      <c r="AA140">
        <v>0</v>
      </c>
      <c r="AB140">
        <v>0.01</v>
      </c>
      <c r="AC140">
        <v>8.98</v>
      </c>
      <c r="AD140">
        <v>29.89</v>
      </c>
      <c r="AE140">
        <v>0</v>
      </c>
      <c r="AF140">
        <v>0</v>
      </c>
      <c r="AG140">
        <v>1.68</v>
      </c>
      <c r="AH140">
        <v>51.78</v>
      </c>
      <c r="AI140">
        <v>16.489999999999998</v>
      </c>
      <c r="AJ140">
        <v>0</v>
      </c>
      <c r="AK140">
        <v>0</v>
      </c>
      <c r="AL140">
        <v>0</v>
      </c>
      <c r="AM140">
        <v>0.16</v>
      </c>
      <c r="AN140">
        <f t="shared" si="7"/>
        <v>3</v>
      </c>
      <c r="AO140" t="str">
        <f t="shared" si="8"/>
        <v>Tuesday</v>
      </c>
    </row>
    <row r="141" spans="1:41" x14ac:dyDescent="0.2">
      <c r="A141" t="s">
        <v>40</v>
      </c>
      <c r="B141" s="1">
        <v>46014</v>
      </c>
      <c r="C141" s="1">
        <f t="shared" si="6"/>
        <v>46022</v>
      </c>
      <c r="D141">
        <v>70</v>
      </c>
      <c r="E141">
        <v>87</v>
      </c>
      <c r="F141">
        <v>6</v>
      </c>
      <c r="G141">
        <v>2</v>
      </c>
      <c r="H141">
        <v>11</v>
      </c>
      <c r="I141">
        <v>1</v>
      </c>
      <c r="J141">
        <v>0</v>
      </c>
      <c r="K141">
        <v>0</v>
      </c>
      <c r="L141" t="s">
        <v>40</v>
      </c>
      <c r="M141" t="s">
        <v>38</v>
      </c>
      <c r="N141" s="1">
        <v>46014</v>
      </c>
      <c r="O141" s="2">
        <v>0.58369212962962957</v>
      </c>
      <c r="P141" s="2">
        <v>0.95839120370370368</v>
      </c>
      <c r="Q141">
        <v>9</v>
      </c>
      <c r="R141">
        <v>8.99</v>
      </c>
      <c r="S141">
        <v>2.5299999999999998</v>
      </c>
      <c r="T141">
        <v>0.09</v>
      </c>
      <c r="U141">
        <v>0</v>
      </c>
      <c r="V141">
        <v>0.91</v>
      </c>
      <c r="W141">
        <v>3.96</v>
      </c>
      <c r="X141">
        <v>1.5</v>
      </c>
      <c r="Y141">
        <v>0</v>
      </c>
      <c r="Z141">
        <v>0</v>
      </c>
      <c r="AA141">
        <v>0</v>
      </c>
      <c r="AB141">
        <v>0</v>
      </c>
      <c r="AC141">
        <v>8.99</v>
      </c>
      <c r="AD141">
        <v>28.16</v>
      </c>
      <c r="AE141">
        <v>1.02</v>
      </c>
      <c r="AF141">
        <v>0</v>
      </c>
      <c r="AG141">
        <v>10.119999999999999</v>
      </c>
      <c r="AH141">
        <v>44.02</v>
      </c>
      <c r="AI141">
        <v>16.649999999999999</v>
      </c>
      <c r="AJ141">
        <v>0</v>
      </c>
      <c r="AK141">
        <v>0</v>
      </c>
      <c r="AL141">
        <v>0</v>
      </c>
      <c r="AM141">
        <v>0.03</v>
      </c>
      <c r="AN141">
        <f t="shared" si="7"/>
        <v>3</v>
      </c>
      <c r="AO141" t="str">
        <f t="shared" si="8"/>
        <v>Tuesday</v>
      </c>
    </row>
    <row r="142" spans="1:41" x14ac:dyDescent="0.2">
      <c r="A142" t="s">
        <v>41</v>
      </c>
      <c r="B142" s="1">
        <v>46014</v>
      </c>
      <c r="C142" s="1">
        <f t="shared" si="6"/>
        <v>46022</v>
      </c>
      <c r="D142">
        <v>39</v>
      </c>
      <c r="E142">
        <v>40</v>
      </c>
      <c r="F142">
        <v>4</v>
      </c>
      <c r="G142">
        <v>5</v>
      </c>
      <c r="H142">
        <v>3</v>
      </c>
      <c r="I142">
        <v>1</v>
      </c>
      <c r="J142">
        <v>4</v>
      </c>
      <c r="K142">
        <v>1</v>
      </c>
      <c r="L142" t="s">
        <v>41</v>
      </c>
      <c r="M142" t="s">
        <v>38</v>
      </c>
      <c r="N142" s="1">
        <v>46014</v>
      </c>
      <c r="O142" s="2">
        <v>0.58384259259259264</v>
      </c>
      <c r="P142" s="2">
        <v>0.79033564814814816</v>
      </c>
      <c r="Q142">
        <v>4.97</v>
      </c>
      <c r="R142">
        <v>4.95</v>
      </c>
      <c r="S142">
        <v>1.04</v>
      </c>
      <c r="T142">
        <v>0.52</v>
      </c>
      <c r="U142">
        <v>0</v>
      </c>
      <c r="V142">
        <v>0.21</v>
      </c>
      <c r="W142">
        <v>1.92</v>
      </c>
      <c r="X142">
        <v>1.26</v>
      </c>
      <c r="Y142">
        <v>0</v>
      </c>
      <c r="Z142">
        <v>0</v>
      </c>
      <c r="AA142">
        <v>0</v>
      </c>
      <c r="AB142">
        <v>0</v>
      </c>
      <c r="AC142">
        <v>4.95</v>
      </c>
      <c r="AD142">
        <v>21.02</v>
      </c>
      <c r="AE142">
        <v>10.47</v>
      </c>
      <c r="AF142">
        <v>0</v>
      </c>
      <c r="AG142">
        <v>4.24</v>
      </c>
      <c r="AH142">
        <v>38.83</v>
      </c>
      <c r="AI142">
        <v>25.38</v>
      </c>
      <c r="AJ142">
        <v>0</v>
      </c>
      <c r="AK142">
        <v>0</v>
      </c>
      <c r="AL142">
        <v>0</v>
      </c>
      <c r="AM142">
        <v>0.06</v>
      </c>
      <c r="AN142">
        <f t="shared" si="7"/>
        <v>3</v>
      </c>
      <c r="AO142" t="str">
        <f t="shared" si="8"/>
        <v>Tuesday</v>
      </c>
    </row>
    <row r="143" spans="1:41" x14ac:dyDescent="0.2">
      <c r="A143" t="s">
        <v>37</v>
      </c>
      <c r="B143" s="1">
        <v>46013</v>
      </c>
      <c r="C143" s="1">
        <f t="shared" si="6"/>
        <v>46022</v>
      </c>
      <c r="D143">
        <v>55</v>
      </c>
      <c r="E143">
        <v>112</v>
      </c>
      <c r="F143">
        <v>6</v>
      </c>
      <c r="G143">
        <v>3</v>
      </c>
      <c r="H143">
        <v>13</v>
      </c>
      <c r="I143">
        <v>0</v>
      </c>
      <c r="J143">
        <v>6</v>
      </c>
      <c r="K143">
        <v>51</v>
      </c>
      <c r="L143" t="s">
        <v>37</v>
      </c>
      <c r="M143" t="s">
        <v>38</v>
      </c>
      <c r="N143" s="1">
        <v>46013</v>
      </c>
      <c r="O143" s="2">
        <v>0.5834259259259259</v>
      </c>
      <c r="P143" s="2">
        <v>0.95861111111111108</v>
      </c>
      <c r="Q143">
        <v>9</v>
      </c>
      <c r="R143">
        <v>8.19</v>
      </c>
      <c r="S143">
        <v>3.13</v>
      </c>
      <c r="T143">
        <v>0.28000000000000003</v>
      </c>
      <c r="U143">
        <v>0</v>
      </c>
      <c r="V143">
        <v>0.56000000000000005</v>
      </c>
      <c r="W143">
        <v>3.18</v>
      </c>
      <c r="X143">
        <v>0.6</v>
      </c>
      <c r="Y143">
        <v>0.43</v>
      </c>
      <c r="Z143">
        <v>0</v>
      </c>
      <c r="AA143">
        <v>0</v>
      </c>
      <c r="AB143">
        <v>0.01</v>
      </c>
      <c r="AC143">
        <v>8.19</v>
      </c>
      <c r="AD143">
        <v>38.26</v>
      </c>
      <c r="AE143">
        <v>3.37</v>
      </c>
      <c r="AF143">
        <v>0</v>
      </c>
      <c r="AG143">
        <v>6.9</v>
      </c>
      <c r="AH143">
        <v>38.83</v>
      </c>
      <c r="AI143">
        <v>7.28</v>
      </c>
      <c r="AJ143">
        <v>5.25</v>
      </c>
      <c r="AK143">
        <v>0</v>
      </c>
      <c r="AL143">
        <v>0</v>
      </c>
      <c r="AM143">
        <v>0.12</v>
      </c>
      <c r="AN143">
        <f t="shared" si="7"/>
        <v>2</v>
      </c>
      <c r="AO143" t="str">
        <f t="shared" si="8"/>
        <v>Monday</v>
      </c>
    </row>
    <row r="144" spans="1:41" x14ac:dyDescent="0.2">
      <c r="A144" t="s">
        <v>39</v>
      </c>
      <c r="B144" s="1">
        <v>46013</v>
      </c>
      <c r="C144" s="1">
        <f t="shared" si="6"/>
        <v>46022</v>
      </c>
      <c r="D144">
        <v>78</v>
      </c>
      <c r="E144">
        <v>212</v>
      </c>
      <c r="F144">
        <v>3</v>
      </c>
      <c r="G144">
        <v>11</v>
      </c>
      <c r="H144">
        <v>14</v>
      </c>
      <c r="I144">
        <v>0</v>
      </c>
      <c r="J144">
        <v>4</v>
      </c>
      <c r="K144">
        <v>127</v>
      </c>
      <c r="L144" t="s">
        <v>39</v>
      </c>
      <c r="M144" t="s">
        <v>38</v>
      </c>
      <c r="N144" s="1">
        <v>46013</v>
      </c>
      <c r="O144" s="2">
        <v>0.5835069444444444</v>
      </c>
      <c r="P144" s="2">
        <v>0.95840277777777783</v>
      </c>
      <c r="Q144">
        <v>9</v>
      </c>
      <c r="R144">
        <v>8.94</v>
      </c>
      <c r="S144">
        <v>2.25</v>
      </c>
      <c r="T144">
        <v>0.06</v>
      </c>
      <c r="U144">
        <v>0</v>
      </c>
      <c r="V144">
        <v>0.12</v>
      </c>
      <c r="W144">
        <v>5.01</v>
      </c>
      <c r="X144">
        <v>1.49</v>
      </c>
      <c r="Y144">
        <v>0</v>
      </c>
      <c r="Z144">
        <v>0</v>
      </c>
      <c r="AA144">
        <v>0</v>
      </c>
      <c r="AB144">
        <v>0.01</v>
      </c>
      <c r="AC144">
        <v>8.94</v>
      </c>
      <c r="AD144">
        <v>25.15</v>
      </c>
      <c r="AE144">
        <v>0.68</v>
      </c>
      <c r="AF144">
        <v>0</v>
      </c>
      <c r="AG144">
        <v>1.4</v>
      </c>
      <c r="AH144">
        <v>56.05</v>
      </c>
      <c r="AI144">
        <v>16.62</v>
      </c>
      <c r="AJ144">
        <v>0</v>
      </c>
      <c r="AK144">
        <v>0</v>
      </c>
      <c r="AL144">
        <v>0</v>
      </c>
      <c r="AM144">
        <v>0.1</v>
      </c>
      <c r="AN144">
        <f t="shared" si="7"/>
        <v>2</v>
      </c>
      <c r="AO144" t="str">
        <f t="shared" si="8"/>
        <v>Monday</v>
      </c>
    </row>
    <row r="145" spans="1:41" x14ac:dyDescent="0.2">
      <c r="A145" t="s">
        <v>40</v>
      </c>
      <c r="B145" s="1">
        <v>46013</v>
      </c>
      <c r="C145" s="1">
        <f t="shared" si="6"/>
        <v>46022</v>
      </c>
      <c r="D145">
        <v>48</v>
      </c>
      <c r="E145">
        <v>128</v>
      </c>
      <c r="F145">
        <v>2</v>
      </c>
      <c r="G145">
        <v>3</v>
      </c>
      <c r="H145">
        <v>12</v>
      </c>
      <c r="I145">
        <v>0</v>
      </c>
      <c r="J145">
        <v>2</v>
      </c>
      <c r="K145">
        <v>73</v>
      </c>
      <c r="L145" t="s">
        <v>40</v>
      </c>
      <c r="M145" t="s">
        <v>38</v>
      </c>
      <c r="N145" s="1">
        <v>46013</v>
      </c>
      <c r="O145" s="2">
        <v>0.5837268518518518</v>
      </c>
      <c r="P145" s="2">
        <v>0.95839120370370368</v>
      </c>
      <c r="Q145">
        <v>9</v>
      </c>
      <c r="R145">
        <v>8.99</v>
      </c>
      <c r="S145">
        <v>2.2999999999999998</v>
      </c>
      <c r="T145">
        <v>0.39</v>
      </c>
      <c r="U145">
        <v>0</v>
      </c>
      <c r="V145">
        <v>0.52</v>
      </c>
      <c r="W145">
        <v>3.4</v>
      </c>
      <c r="X145">
        <v>1.52</v>
      </c>
      <c r="Y145">
        <v>0.77</v>
      </c>
      <c r="Z145">
        <v>0</v>
      </c>
      <c r="AA145">
        <v>0.09</v>
      </c>
      <c r="AB145">
        <v>0.01</v>
      </c>
      <c r="AC145">
        <v>8.99</v>
      </c>
      <c r="AD145">
        <v>25.62</v>
      </c>
      <c r="AE145">
        <v>4.29</v>
      </c>
      <c r="AF145">
        <v>0</v>
      </c>
      <c r="AG145">
        <v>5.75</v>
      </c>
      <c r="AH145">
        <v>37.799999999999997</v>
      </c>
      <c r="AI145">
        <v>16.91</v>
      </c>
      <c r="AJ145">
        <v>8.5299999999999994</v>
      </c>
      <c r="AK145">
        <v>0</v>
      </c>
      <c r="AL145">
        <v>1.04</v>
      </c>
      <c r="AM145">
        <v>0.06</v>
      </c>
      <c r="AN145">
        <f t="shared" si="7"/>
        <v>2</v>
      </c>
      <c r="AO145" t="str">
        <f t="shared" si="8"/>
        <v>Monday</v>
      </c>
    </row>
    <row r="146" spans="1:41" x14ac:dyDescent="0.2">
      <c r="A146" t="s">
        <v>41</v>
      </c>
      <c r="B146" s="1">
        <v>46013</v>
      </c>
      <c r="C146" s="1">
        <f t="shared" si="6"/>
        <v>46022</v>
      </c>
      <c r="D146">
        <v>52</v>
      </c>
      <c r="E146">
        <v>127</v>
      </c>
      <c r="F146">
        <v>5</v>
      </c>
      <c r="G146">
        <v>10</v>
      </c>
      <c r="H146">
        <v>4</v>
      </c>
      <c r="I146">
        <v>0</v>
      </c>
      <c r="J146">
        <v>12</v>
      </c>
      <c r="K146">
        <v>69</v>
      </c>
      <c r="L146" t="s">
        <v>41</v>
      </c>
      <c r="M146" t="s">
        <v>38</v>
      </c>
      <c r="N146" s="1">
        <v>46013</v>
      </c>
      <c r="O146" s="2">
        <v>0.5835069444444444</v>
      </c>
      <c r="P146" s="2">
        <v>0.83204861111111106</v>
      </c>
      <c r="Q146">
        <v>5.97</v>
      </c>
      <c r="R146">
        <v>5.96</v>
      </c>
      <c r="S146">
        <v>1.4</v>
      </c>
      <c r="T146">
        <v>0.18</v>
      </c>
      <c r="U146">
        <v>0</v>
      </c>
      <c r="V146">
        <v>0.19</v>
      </c>
      <c r="W146">
        <v>2.71</v>
      </c>
      <c r="X146">
        <v>1.48</v>
      </c>
      <c r="Y146">
        <v>0</v>
      </c>
      <c r="Z146">
        <v>0</v>
      </c>
      <c r="AA146">
        <v>0</v>
      </c>
      <c r="AB146">
        <v>0</v>
      </c>
      <c r="AC146">
        <v>5.96</v>
      </c>
      <c r="AD146">
        <v>23.5</v>
      </c>
      <c r="AE146">
        <v>2.99</v>
      </c>
      <c r="AF146">
        <v>0</v>
      </c>
      <c r="AG146">
        <v>3.26</v>
      </c>
      <c r="AH146">
        <v>45.39</v>
      </c>
      <c r="AI146">
        <v>24.79</v>
      </c>
      <c r="AJ146">
        <v>0</v>
      </c>
      <c r="AK146">
        <v>0</v>
      </c>
      <c r="AL146">
        <v>0</v>
      </c>
      <c r="AM146">
        <v>0.06</v>
      </c>
      <c r="AN146">
        <f t="shared" si="7"/>
        <v>2</v>
      </c>
      <c r="AO146" t="str">
        <f t="shared" si="8"/>
        <v>Monday</v>
      </c>
    </row>
    <row r="147" spans="1:41" x14ac:dyDescent="0.2">
      <c r="B147" s="1">
        <v>46013</v>
      </c>
      <c r="C147" s="1">
        <f t="shared" si="6"/>
        <v>46022</v>
      </c>
      <c r="D147">
        <v>1033</v>
      </c>
      <c r="E147">
        <v>0</v>
      </c>
      <c r="F147">
        <v>0</v>
      </c>
      <c r="G147">
        <v>0</v>
      </c>
      <c r="H147">
        <v>0</v>
      </c>
      <c r="I147">
        <v>0</v>
      </c>
      <c r="J147">
        <v>0</v>
      </c>
      <c r="K147">
        <v>0</v>
      </c>
      <c r="AN147">
        <f t="shared" si="7"/>
        <v>2</v>
      </c>
      <c r="AO147" t="str">
        <f t="shared" si="8"/>
        <v>Monday</v>
      </c>
    </row>
    <row r="148" spans="1:41" x14ac:dyDescent="0.2">
      <c r="A148" t="s">
        <v>37</v>
      </c>
      <c r="B148" s="1">
        <v>46010</v>
      </c>
      <c r="C148" s="1">
        <f t="shared" si="6"/>
        <v>46022</v>
      </c>
      <c r="D148">
        <v>48</v>
      </c>
      <c r="E148">
        <v>119</v>
      </c>
      <c r="F148">
        <v>2</v>
      </c>
      <c r="G148">
        <v>5</v>
      </c>
      <c r="H148">
        <v>7</v>
      </c>
      <c r="I148">
        <v>0</v>
      </c>
      <c r="J148">
        <v>2</v>
      </c>
      <c r="K148">
        <v>60</v>
      </c>
      <c r="L148" t="s">
        <v>37</v>
      </c>
      <c r="M148" t="s">
        <v>38</v>
      </c>
      <c r="N148" s="1">
        <v>46010</v>
      </c>
      <c r="O148" s="2">
        <v>0.58364583333333331</v>
      </c>
      <c r="P148" s="2">
        <v>0.95859953703703704</v>
      </c>
      <c r="Q148">
        <v>9</v>
      </c>
      <c r="R148">
        <v>8.25</v>
      </c>
      <c r="S148">
        <v>1.72</v>
      </c>
      <c r="T148">
        <v>0</v>
      </c>
      <c r="U148">
        <v>0</v>
      </c>
      <c r="V148">
        <v>0.33</v>
      </c>
      <c r="W148">
        <v>5.43</v>
      </c>
      <c r="X148">
        <v>0.76</v>
      </c>
      <c r="Y148">
        <v>0</v>
      </c>
      <c r="Z148">
        <v>0</v>
      </c>
      <c r="AA148">
        <v>0</v>
      </c>
      <c r="AB148">
        <v>0.01</v>
      </c>
      <c r="AC148">
        <v>8.25</v>
      </c>
      <c r="AD148">
        <v>20.82</v>
      </c>
      <c r="AE148">
        <v>0</v>
      </c>
      <c r="AF148">
        <v>0</v>
      </c>
      <c r="AG148">
        <v>4.04</v>
      </c>
      <c r="AH148">
        <v>65.81</v>
      </c>
      <c r="AI148">
        <v>9.15</v>
      </c>
      <c r="AJ148">
        <v>0</v>
      </c>
      <c r="AK148">
        <v>0</v>
      </c>
      <c r="AL148">
        <v>0</v>
      </c>
      <c r="AM148">
        <v>0.18</v>
      </c>
      <c r="AN148">
        <f t="shared" si="7"/>
        <v>6</v>
      </c>
      <c r="AO148" t="str">
        <f t="shared" si="8"/>
        <v>Friday</v>
      </c>
    </row>
    <row r="149" spans="1:41" x14ac:dyDescent="0.2">
      <c r="A149" t="s">
        <v>39</v>
      </c>
      <c r="B149" s="1">
        <v>46010</v>
      </c>
      <c r="C149" s="1">
        <f t="shared" si="6"/>
        <v>46022</v>
      </c>
      <c r="D149">
        <v>41</v>
      </c>
      <c r="E149">
        <v>82</v>
      </c>
      <c r="F149">
        <v>9</v>
      </c>
      <c r="G149">
        <v>4</v>
      </c>
      <c r="H149">
        <v>7</v>
      </c>
      <c r="I149">
        <v>3</v>
      </c>
      <c r="J149">
        <v>0</v>
      </c>
      <c r="K149">
        <v>39</v>
      </c>
      <c r="L149" t="s">
        <v>39</v>
      </c>
      <c r="M149" t="s">
        <v>38</v>
      </c>
      <c r="N149" s="1">
        <v>46010</v>
      </c>
      <c r="O149" s="2">
        <v>0.58349537037037036</v>
      </c>
      <c r="P149" s="2">
        <v>0.95837962962962964</v>
      </c>
      <c r="Q149">
        <v>9</v>
      </c>
      <c r="R149">
        <v>9</v>
      </c>
      <c r="S149">
        <v>2.11</v>
      </c>
      <c r="T149">
        <v>0.16</v>
      </c>
      <c r="U149">
        <v>0</v>
      </c>
      <c r="V149">
        <v>0.05</v>
      </c>
      <c r="W149">
        <v>5.18</v>
      </c>
      <c r="X149">
        <v>1.49</v>
      </c>
      <c r="Y149">
        <v>0</v>
      </c>
      <c r="Z149">
        <v>0</v>
      </c>
      <c r="AA149">
        <v>0</v>
      </c>
      <c r="AB149">
        <v>0.01</v>
      </c>
      <c r="AC149">
        <v>9</v>
      </c>
      <c r="AD149">
        <v>23.45</v>
      </c>
      <c r="AE149">
        <v>1.75</v>
      </c>
      <c r="AF149">
        <v>0</v>
      </c>
      <c r="AG149">
        <v>0.56999999999999995</v>
      </c>
      <c r="AH149">
        <v>57.63</v>
      </c>
      <c r="AI149">
        <v>16.54</v>
      </c>
      <c r="AJ149">
        <v>0</v>
      </c>
      <c r="AK149">
        <v>0</v>
      </c>
      <c r="AL149">
        <v>0</v>
      </c>
      <c r="AM149">
        <v>0.06</v>
      </c>
      <c r="AN149">
        <f t="shared" si="7"/>
        <v>6</v>
      </c>
      <c r="AO149" t="str">
        <f t="shared" si="8"/>
        <v>Friday</v>
      </c>
    </row>
    <row r="150" spans="1:41" x14ac:dyDescent="0.2">
      <c r="A150" t="s">
        <v>40</v>
      </c>
      <c r="B150" s="1">
        <v>46010</v>
      </c>
      <c r="C150" s="1">
        <f t="shared" si="6"/>
        <v>46022</v>
      </c>
      <c r="D150">
        <v>50</v>
      </c>
      <c r="E150">
        <v>108</v>
      </c>
      <c r="F150">
        <v>8</v>
      </c>
      <c r="G150">
        <v>4</v>
      </c>
      <c r="H150">
        <v>11</v>
      </c>
      <c r="I150">
        <v>0</v>
      </c>
      <c r="J150">
        <v>1</v>
      </c>
      <c r="K150">
        <v>54</v>
      </c>
      <c r="L150" t="s">
        <v>40</v>
      </c>
      <c r="M150" t="s">
        <v>38</v>
      </c>
      <c r="N150" s="1">
        <v>46010</v>
      </c>
      <c r="O150" s="2">
        <v>0.5846527777777778</v>
      </c>
      <c r="P150" s="2">
        <v>0.95849537037037036</v>
      </c>
      <c r="Q150">
        <v>8.98</v>
      </c>
      <c r="R150">
        <v>8.9700000000000006</v>
      </c>
      <c r="S150">
        <v>1.35</v>
      </c>
      <c r="T150">
        <v>0.06</v>
      </c>
      <c r="U150">
        <v>0</v>
      </c>
      <c r="V150">
        <v>0.32</v>
      </c>
      <c r="W150">
        <v>5.12</v>
      </c>
      <c r="X150">
        <v>1.52</v>
      </c>
      <c r="Y150">
        <v>0.61</v>
      </c>
      <c r="Z150">
        <v>0</v>
      </c>
      <c r="AA150">
        <v>0</v>
      </c>
      <c r="AB150">
        <v>0</v>
      </c>
      <c r="AC150">
        <v>8.9700000000000006</v>
      </c>
      <c r="AD150">
        <v>15.02</v>
      </c>
      <c r="AE150">
        <v>0.72</v>
      </c>
      <c r="AF150">
        <v>0</v>
      </c>
      <c r="AG150">
        <v>3.52</v>
      </c>
      <c r="AH150">
        <v>57.01</v>
      </c>
      <c r="AI150">
        <v>16.93</v>
      </c>
      <c r="AJ150">
        <v>6.77</v>
      </c>
      <c r="AK150">
        <v>0</v>
      </c>
      <c r="AL150">
        <v>0</v>
      </c>
      <c r="AM150">
        <v>0.03</v>
      </c>
      <c r="AN150">
        <f t="shared" si="7"/>
        <v>6</v>
      </c>
      <c r="AO150" t="str">
        <f t="shared" si="8"/>
        <v>Friday</v>
      </c>
    </row>
    <row r="151" spans="1:41" x14ac:dyDescent="0.2">
      <c r="A151" t="s">
        <v>41</v>
      </c>
      <c r="B151" s="1">
        <v>46010</v>
      </c>
      <c r="C151" s="1">
        <f t="shared" si="6"/>
        <v>46022</v>
      </c>
      <c r="D151">
        <v>57</v>
      </c>
      <c r="E151">
        <v>122</v>
      </c>
      <c r="F151">
        <v>5</v>
      </c>
      <c r="G151">
        <v>13</v>
      </c>
      <c r="H151">
        <v>9</v>
      </c>
      <c r="I151">
        <v>0</v>
      </c>
      <c r="J151">
        <v>6</v>
      </c>
      <c r="K151">
        <v>67</v>
      </c>
      <c r="L151" t="s">
        <v>41</v>
      </c>
      <c r="M151" t="s">
        <v>38</v>
      </c>
      <c r="N151" s="1">
        <v>46010</v>
      </c>
      <c r="O151" s="2">
        <v>0.58291666666666664</v>
      </c>
      <c r="P151" s="2">
        <v>0.95776620370370369</v>
      </c>
      <c r="Q151">
        <v>9</v>
      </c>
      <c r="R151">
        <v>9</v>
      </c>
      <c r="S151">
        <v>1.25</v>
      </c>
      <c r="T151">
        <v>0.31</v>
      </c>
      <c r="U151">
        <v>0</v>
      </c>
      <c r="V151">
        <v>0.24</v>
      </c>
      <c r="W151">
        <v>5.72</v>
      </c>
      <c r="X151">
        <v>1.47</v>
      </c>
      <c r="Y151">
        <v>0</v>
      </c>
      <c r="Z151">
        <v>0</v>
      </c>
      <c r="AA151">
        <v>0</v>
      </c>
      <c r="AB151">
        <v>0</v>
      </c>
      <c r="AC151">
        <v>9</v>
      </c>
      <c r="AD151">
        <v>13.91</v>
      </c>
      <c r="AE151">
        <v>3.49</v>
      </c>
      <c r="AF151">
        <v>0</v>
      </c>
      <c r="AG151">
        <v>2.63</v>
      </c>
      <c r="AH151">
        <v>63.62</v>
      </c>
      <c r="AI151">
        <v>16.3</v>
      </c>
      <c r="AJ151">
        <v>0</v>
      </c>
      <c r="AK151">
        <v>0</v>
      </c>
      <c r="AL151">
        <v>0</v>
      </c>
      <c r="AM151">
        <v>0.05</v>
      </c>
      <c r="AN151">
        <f t="shared" si="7"/>
        <v>6</v>
      </c>
      <c r="AO151" t="str">
        <f t="shared" si="8"/>
        <v>Friday</v>
      </c>
    </row>
    <row r="152" spans="1:41" x14ac:dyDescent="0.2">
      <c r="A152" t="s">
        <v>43</v>
      </c>
      <c r="B152" s="1">
        <v>46010</v>
      </c>
      <c r="C152" s="1">
        <f t="shared" si="6"/>
        <v>46022</v>
      </c>
      <c r="D152">
        <v>47</v>
      </c>
      <c r="E152">
        <v>110</v>
      </c>
      <c r="F152">
        <v>12</v>
      </c>
      <c r="G152">
        <v>8</v>
      </c>
      <c r="H152">
        <v>4</v>
      </c>
      <c r="I152">
        <v>0</v>
      </c>
      <c r="J152">
        <v>1</v>
      </c>
      <c r="K152">
        <v>54</v>
      </c>
      <c r="L152" t="s">
        <v>43</v>
      </c>
      <c r="M152" t="s">
        <v>38</v>
      </c>
      <c r="N152" s="1">
        <v>46010</v>
      </c>
      <c r="O152" s="2">
        <v>0.58310185185185182</v>
      </c>
      <c r="P152" s="2">
        <v>0.9595717592592593</v>
      </c>
      <c r="Q152">
        <v>9.0299999999999994</v>
      </c>
      <c r="R152">
        <v>9.0299999999999994</v>
      </c>
      <c r="S152">
        <v>1.38</v>
      </c>
      <c r="T152">
        <v>0.11</v>
      </c>
      <c r="U152">
        <v>0</v>
      </c>
      <c r="V152">
        <v>0.21</v>
      </c>
      <c r="W152">
        <v>4.82</v>
      </c>
      <c r="X152">
        <v>1.99</v>
      </c>
      <c r="Y152">
        <v>0.51</v>
      </c>
      <c r="Z152">
        <v>0</v>
      </c>
      <c r="AA152">
        <v>0</v>
      </c>
      <c r="AB152">
        <v>0</v>
      </c>
      <c r="AC152">
        <v>9.0299999999999994</v>
      </c>
      <c r="AD152">
        <v>15.32</v>
      </c>
      <c r="AE152">
        <v>1.21</v>
      </c>
      <c r="AF152">
        <v>0</v>
      </c>
      <c r="AG152">
        <v>2.37</v>
      </c>
      <c r="AH152">
        <v>53.41</v>
      </c>
      <c r="AI152">
        <v>22.05</v>
      </c>
      <c r="AJ152">
        <v>5.61</v>
      </c>
      <c r="AK152">
        <v>0</v>
      </c>
      <c r="AL152">
        <v>0</v>
      </c>
      <c r="AM152">
        <v>0.03</v>
      </c>
      <c r="AN152">
        <f t="shared" si="7"/>
        <v>6</v>
      </c>
      <c r="AO152" t="str">
        <f t="shared" si="8"/>
        <v>Friday</v>
      </c>
    </row>
    <row r="153" spans="1:41" x14ac:dyDescent="0.2">
      <c r="B153" s="1">
        <v>46010</v>
      </c>
      <c r="C153" s="1">
        <f t="shared" si="6"/>
        <v>46022</v>
      </c>
      <c r="D153">
        <v>1178</v>
      </c>
      <c r="E153">
        <v>0</v>
      </c>
      <c r="F153">
        <v>0</v>
      </c>
      <c r="G153">
        <v>0</v>
      </c>
      <c r="H153">
        <v>0</v>
      </c>
      <c r="I153">
        <v>0</v>
      </c>
      <c r="J153">
        <v>0</v>
      </c>
      <c r="K153">
        <v>0</v>
      </c>
      <c r="AN153">
        <f t="shared" si="7"/>
        <v>6</v>
      </c>
      <c r="AO153" t="str">
        <f t="shared" si="8"/>
        <v>Friday</v>
      </c>
    </row>
    <row r="154" spans="1:41" x14ac:dyDescent="0.2">
      <c r="A154" t="s">
        <v>37</v>
      </c>
      <c r="B154" s="1">
        <v>46009</v>
      </c>
      <c r="C154" s="1">
        <f t="shared" si="6"/>
        <v>46022</v>
      </c>
      <c r="D154">
        <v>50</v>
      </c>
      <c r="E154">
        <v>61</v>
      </c>
      <c r="F154">
        <v>6</v>
      </c>
      <c r="G154">
        <v>3</v>
      </c>
      <c r="H154">
        <v>3</v>
      </c>
      <c r="I154">
        <v>0</v>
      </c>
      <c r="J154">
        <v>0</v>
      </c>
      <c r="K154">
        <v>1</v>
      </c>
      <c r="L154" t="s">
        <v>37</v>
      </c>
      <c r="M154" t="s">
        <v>38</v>
      </c>
      <c r="N154" s="1">
        <v>46009</v>
      </c>
      <c r="O154" s="2">
        <v>0.58383101851851849</v>
      </c>
      <c r="P154" s="2">
        <v>0.95851851851851855</v>
      </c>
      <c r="Q154">
        <v>9</v>
      </c>
      <c r="R154">
        <v>8.07</v>
      </c>
      <c r="S154">
        <v>1.82</v>
      </c>
      <c r="T154">
        <v>0.12</v>
      </c>
      <c r="U154">
        <v>0</v>
      </c>
      <c r="V154">
        <v>0.35</v>
      </c>
      <c r="W154">
        <v>4.29</v>
      </c>
      <c r="X154">
        <v>0.56000000000000005</v>
      </c>
      <c r="Y154">
        <v>0.88</v>
      </c>
      <c r="Z154">
        <v>0</v>
      </c>
      <c r="AA154">
        <v>0</v>
      </c>
      <c r="AB154">
        <v>0.03</v>
      </c>
      <c r="AC154">
        <v>8.07</v>
      </c>
      <c r="AD154">
        <v>22.56</v>
      </c>
      <c r="AE154">
        <v>1.51</v>
      </c>
      <c r="AF154">
        <v>0</v>
      </c>
      <c r="AG154">
        <v>4.38</v>
      </c>
      <c r="AH154">
        <v>53.21</v>
      </c>
      <c r="AI154">
        <v>7</v>
      </c>
      <c r="AJ154">
        <v>10.95</v>
      </c>
      <c r="AK154">
        <v>0</v>
      </c>
      <c r="AL154">
        <v>0</v>
      </c>
      <c r="AM154">
        <v>0.39</v>
      </c>
      <c r="AN154">
        <f t="shared" si="7"/>
        <v>5</v>
      </c>
      <c r="AO154" t="str">
        <f t="shared" si="8"/>
        <v>Thursday</v>
      </c>
    </row>
    <row r="155" spans="1:41" x14ac:dyDescent="0.2">
      <c r="A155" t="s">
        <v>39</v>
      </c>
      <c r="B155" s="1">
        <v>46009</v>
      </c>
      <c r="C155" s="1">
        <f t="shared" si="6"/>
        <v>46022</v>
      </c>
      <c r="D155">
        <v>56</v>
      </c>
      <c r="E155">
        <v>60</v>
      </c>
      <c r="F155">
        <v>2</v>
      </c>
      <c r="G155">
        <v>5</v>
      </c>
      <c r="H155">
        <v>7</v>
      </c>
      <c r="I155">
        <v>0</v>
      </c>
      <c r="J155">
        <v>1</v>
      </c>
      <c r="K155">
        <v>0</v>
      </c>
      <c r="L155" t="s">
        <v>39</v>
      </c>
      <c r="M155" t="s">
        <v>38</v>
      </c>
      <c r="N155" s="1">
        <v>46009</v>
      </c>
      <c r="O155" s="2">
        <v>0.583587962962963</v>
      </c>
      <c r="P155" s="2">
        <v>0.96072916666666663</v>
      </c>
      <c r="Q155">
        <v>9.0500000000000007</v>
      </c>
      <c r="R155">
        <v>9.06</v>
      </c>
      <c r="S155">
        <v>1.84</v>
      </c>
      <c r="T155">
        <v>0.08</v>
      </c>
      <c r="U155">
        <v>0</v>
      </c>
      <c r="V155">
        <v>0.21</v>
      </c>
      <c r="W155">
        <v>4.62</v>
      </c>
      <c r="X155">
        <v>1.48</v>
      </c>
      <c r="Y155">
        <v>0.83</v>
      </c>
      <c r="Z155">
        <v>0</v>
      </c>
      <c r="AA155">
        <v>0</v>
      </c>
      <c r="AB155">
        <v>0</v>
      </c>
      <c r="AC155">
        <v>9.06</v>
      </c>
      <c r="AD155">
        <v>20.28</v>
      </c>
      <c r="AE155">
        <v>0.83</v>
      </c>
      <c r="AF155">
        <v>0</v>
      </c>
      <c r="AG155">
        <v>2.34</v>
      </c>
      <c r="AH155">
        <v>51.01</v>
      </c>
      <c r="AI155">
        <v>16.37</v>
      </c>
      <c r="AJ155">
        <v>9.1300000000000008</v>
      </c>
      <c r="AK155">
        <v>0</v>
      </c>
      <c r="AL155">
        <v>0</v>
      </c>
      <c r="AM155">
        <v>0.04</v>
      </c>
      <c r="AN155">
        <f t="shared" si="7"/>
        <v>5</v>
      </c>
      <c r="AO155" t="str">
        <f t="shared" si="8"/>
        <v>Thursday</v>
      </c>
    </row>
    <row r="156" spans="1:41" x14ac:dyDescent="0.2">
      <c r="A156" t="s">
        <v>40</v>
      </c>
      <c r="B156" s="1">
        <v>46009</v>
      </c>
      <c r="C156" s="1">
        <f t="shared" si="6"/>
        <v>46022</v>
      </c>
      <c r="D156">
        <v>35</v>
      </c>
      <c r="E156">
        <v>41</v>
      </c>
      <c r="F156">
        <v>3</v>
      </c>
      <c r="G156">
        <v>4</v>
      </c>
      <c r="H156">
        <v>9</v>
      </c>
      <c r="I156">
        <v>1</v>
      </c>
      <c r="J156">
        <v>0</v>
      </c>
      <c r="K156">
        <v>0</v>
      </c>
      <c r="L156" t="s">
        <v>40</v>
      </c>
      <c r="M156" t="s">
        <v>38</v>
      </c>
      <c r="N156" s="1">
        <v>46009</v>
      </c>
      <c r="O156" s="2">
        <v>0.58378472222222222</v>
      </c>
      <c r="P156" s="2">
        <v>0.95861111111111108</v>
      </c>
      <c r="Q156">
        <v>9</v>
      </c>
      <c r="R156">
        <v>8.99</v>
      </c>
      <c r="S156">
        <v>1.87</v>
      </c>
      <c r="T156">
        <v>0.04</v>
      </c>
      <c r="U156">
        <v>0</v>
      </c>
      <c r="V156">
        <v>0.27</v>
      </c>
      <c r="W156">
        <v>4.4800000000000004</v>
      </c>
      <c r="X156">
        <v>1.53</v>
      </c>
      <c r="Y156">
        <v>0.81</v>
      </c>
      <c r="Z156">
        <v>0</v>
      </c>
      <c r="AA156">
        <v>0</v>
      </c>
      <c r="AB156">
        <v>0</v>
      </c>
      <c r="AC156">
        <v>8.99</v>
      </c>
      <c r="AD156">
        <v>20.76</v>
      </c>
      <c r="AE156">
        <v>0.48</v>
      </c>
      <c r="AF156">
        <v>0</v>
      </c>
      <c r="AG156">
        <v>2.97</v>
      </c>
      <c r="AH156">
        <v>49.8</v>
      </c>
      <c r="AI156">
        <v>16.97</v>
      </c>
      <c r="AJ156">
        <v>8.98</v>
      </c>
      <c r="AK156">
        <v>0</v>
      </c>
      <c r="AL156">
        <v>0</v>
      </c>
      <c r="AM156">
        <v>0.03</v>
      </c>
      <c r="AN156">
        <f t="shared" si="7"/>
        <v>5</v>
      </c>
      <c r="AO156" t="str">
        <f t="shared" si="8"/>
        <v>Thursday</v>
      </c>
    </row>
    <row r="157" spans="1:41" x14ac:dyDescent="0.2">
      <c r="A157" t="s">
        <v>41</v>
      </c>
      <c r="B157" s="1">
        <v>46009</v>
      </c>
      <c r="C157" s="1">
        <f t="shared" si="6"/>
        <v>46022</v>
      </c>
      <c r="D157">
        <v>41</v>
      </c>
      <c r="E157">
        <v>43</v>
      </c>
      <c r="F157">
        <v>6</v>
      </c>
      <c r="G157">
        <v>4</v>
      </c>
      <c r="H157">
        <v>0</v>
      </c>
      <c r="I157">
        <v>0</v>
      </c>
      <c r="J157">
        <v>3</v>
      </c>
      <c r="K157">
        <v>1</v>
      </c>
      <c r="L157" t="s">
        <v>41</v>
      </c>
      <c r="M157" t="s">
        <v>38</v>
      </c>
      <c r="N157" s="1">
        <v>46009</v>
      </c>
      <c r="O157" s="2">
        <v>0.58267361111111116</v>
      </c>
      <c r="P157" s="2">
        <v>0.95766203703703701</v>
      </c>
      <c r="Q157">
        <v>9</v>
      </c>
      <c r="R157">
        <v>9</v>
      </c>
      <c r="S157">
        <v>1.1100000000000001</v>
      </c>
      <c r="T157">
        <v>0.41</v>
      </c>
      <c r="U157">
        <v>0</v>
      </c>
      <c r="V157">
        <v>0.17</v>
      </c>
      <c r="W157">
        <v>4.63</v>
      </c>
      <c r="X157">
        <v>1.45</v>
      </c>
      <c r="Y157">
        <v>1.23</v>
      </c>
      <c r="Z157">
        <v>0</v>
      </c>
      <c r="AA157">
        <v>0</v>
      </c>
      <c r="AB157">
        <v>0</v>
      </c>
      <c r="AC157">
        <v>9</v>
      </c>
      <c r="AD157">
        <v>12.38</v>
      </c>
      <c r="AE157">
        <v>4.5199999999999996</v>
      </c>
      <c r="AF157">
        <v>0</v>
      </c>
      <c r="AG157">
        <v>1.84</v>
      </c>
      <c r="AH157">
        <v>51.44</v>
      </c>
      <c r="AI157">
        <v>16.079999999999998</v>
      </c>
      <c r="AJ157">
        <v>13.71</v>
      </c>
      <c r="AK157">
        <v>0</v>
      </c>
      <c r="AL157">
        <v>0</v>
      </c>
      <c r="AM157">
        <v>0.04</v>
      </c>
      <c r="AN157">
        <f t="shared" si="7"/>
        <v>5</v>
      </c>
      <c r="AO157" t="str">
        <f t="shared" si="8"/>
        <v>Thursday</v>
      </c>
    </row>
    <row r="158" spans="1:41" x14ac:dyDescent="0.2">
      <c r="A158" t="s">
        <v>43</v>
      </c>
      <c r="B158" s="1">
        <v>46009</v>
      </c>
      <c r="C158" s="1">
        <f t="shared" si="6"/>
        <v>46022</v>
      </c>
      <c r="D158">
        <v>35</v>
      </c>
      <c r="E158">
        <v>46</v>
      </c>
      <c r="F158">
        <v>4</v>
      </c>
      <c r="G158">
        <v>3</v>
      </c>
      <c r="H158">
        <v>1</v>
      </c>
      <c r="I158">
        <v>3</v>
      </c>
      <c r="J158">
        <v>0</v>
      </c>
      <c r="K158">
        <v>0</v>
      </c>
      <c r="L158" t="s">
        <v>43</v>
      </c>
      <c r="M158" t="s">
        <v>38</v>
      </c>
      <c r="N158" s="1">
        <v>46009</v>
      </c>
      <c r="O158" s="2">
        <v>0.58353009259259259</v>
      </c>
      <c r="P158" s="2">
        <v>0.95984953703703701</v>
      </c>
      <c r="Q158">
        <v>9.0299999999999994</v>
      </c>
      <c r="R158">
        <v>9.0299999999999994</v>
      </c>
      <c r="S158">
        <v>1.64</v>
      </c>
      <c r="T158">
        <v>0.17</v>
      </c>
      <c r="U158">
        <v>0</v>
      </c>
      <c r="V158">
        <v>0.36</v>
      </c>
      <c r="W158">
        <v>4.63</v>
      </c>
      <c r="X158">
        <v>1.46</v>
      </c>
      <c r="Y158">
        <v>0.78</v>
      </c>
      <c r="Z158">
        <v>0</v>
      </c>
      <c r="AA158">
        <v>0</v>
      </c>
      <c r="AB158">
        <v>0</v>
      </c>
      <c r="AC158">
        <v>9.0299999999999994</v>
      </c>
      <c r="AD158">
        <v>18.12</v>
      </c>
      <c r="AE158">
        <v>1.85</v>
      </c>
      <c r="AF158">
        <v>0</v>
      </c>
      <c r="AG158">
        <v>3.93</v>
      </c>
      <c r="AH158">
        <v>51.29</v>
      </c>
      <c r="AI158">
        <v>16.13</v>
      </c>
      <c r="AJ158">
        <v>8.6300000000000008</v>
      </c>
      <c r="AK158">
        <v>0</v>
      </c>
      <c r="AL158">
        <v>0</v>
      </c>
      <c r="AM158">
        <v>0.04</v>
      </c>
      <c r="AN158">
        <f t="shared" si="7"/>
        <v>5</v>
      </c>
      <c r="AO158" t="str">
        <f t="shared" si="8"/>
        <v>Thursday</v>
      </c>
    </row>
    <row r="159" spans="1:41" x14ac:dyDescent="0.2">
      <c r="A159" t="s">
        <v>37</v>
      </c>
      <c r="B159" s="1">
        <v>46008</v>
      </c>
      <c r="C159" s="1">
        <f t="shared" si="6"/>
        <v>46022</v>
      </c>
      <c r="D159">
        <v>40</v>
      </c>
      <c r="E159">
        <v>97</v>
      </c>
      <c r="F159">
        <v>5</v>
      </c>
      <c r="G159">
        <v>4</v>
      </c>
      <c r="H159">
        <v>11</v>
      </c>
      <c r="I159">
        <v>1</v>
      </c>
      <c r="J159">
        <v>2</v>
      </c>
      <c r="K159">
        <v>50</v>
      </c>
      <c r="L159" t="s">
        <v>37</v>
      </c>
      <c r="M159" t="s">
        <v>38</v>
      </c>
      <c r="N159" s="1">
        <v>46008</v>
      </c>
      <c r="O159" s="2">
        <v>0.58374999999999999</v>
      </c>
      <c r="P159" s="2">
        <v>0.95937499999999998</v>
      </c>
      <c r="Q159">
        <v>9.02</v>
      </c>
      <c r="R159">
        <v>7.87</v>
      </c>
      <c r="S159">
        <v>2.69</v>
      </c>
      <c r="T159">
        <v>0.27</v>
      </c>
      <c r="U159">
        <v>0</v>
      </c>
      <c r="V159">
        <v>0.28999999999999998</v>
      </c>
      <c r="W159">
        <v>4.37</v>
      </c>
      <c r="X159">
        <v>0.15</v>
      </c>
      <c r="Y159">
        <v>0</v>
      </c>
      <c r="Z159">
        <v>0</v>
      </c>
      <c r="AA159">
        <v>0</v>
      </c>
      <c r="AB159">
        <v>0.1</v>
      </c>
      <c r="AC159">
        <v>7.87</v>
      </c>
      <c r="AD159">
        <v>34.11</v>
      </c>
      <c r="AE159">
        <v>3.42</v>
      </c>
      <c r="AF159">
        <v>0</v>
      </c>
      <c r="AG159">
        <v>3.67</v>
      </c>
      <c r="AH159">
        <v>55.55</v>
      </c>
      <c r="AI159">
        <v>1.95</v>
      </c>
      <c r="AJ159">
        <v>0</v>
      </c>
      <c r="AK159">
        <v>0</v>
      </c>
      <c r="AL159">
        <v>0</v>
      </c>
      <c r="AM159">
        <v>1.3</v>
      </c>
      <c r="AN159">
        <f t="shared" si="7"/>
        <v>4</v>
      </c>
      <c r="AO159" t="str">
        <f t="shared" si="8"/>
        <v>Wednesday</v>
      </c>
    </row>
    <row r="160" spans="1:41" x14ac:dyDescent="0.2">
      <c r="A160" t="s">
        <v>39</v>
      </c>
      <c r="B160" s="1">
        <v>46008</v>
      </c>
      <c r="C160" s="1">
        <f t="shared" si="6"/>
        <v>46022</v>
      </c>
      <c r="D160">
        <v>45</v>
      </c>
      <c r="E160">
        <v>130</v>
      </c>
      <c r="F160">
        <v>10</v>
      </c>
      <c r="G160">
        <v>3</v>
      </c>
      <c r="H160">
        <v>13</v>
      </c>
      <c r="I160">
        <v>0</v>
      </c>
      <c r="J160">
        <v>0</v>
      </c>
      <c r="K160">
        <v>74</v>
      </c>
      <c r="L160" t="s">
        <v>39</v>
      </c>
      <c r="M160" t="s">
        <v>38</v>
      </c>
      <c r="N160" s="1">
        <v>46008</v>
      </c>
      <c r="O160" s="2">
        <v>0.58354166666666663</v>
      </c>
      <c r="P160" s="2">
        <v>0.95837962962962964</v>
      </c>
      <c r="Q160">
        <v>9</v>
      </c>
      <c r="R160">
        <v>9</v>
      </c>
      <c r="S160">
        <v>1.7</v>
      </c>
      <c r="T160">
        <v>0</v>
      </c>
      <c r="U160">
        <v>0</v>
      </c>
      <c r="V160">
        <v>0.16</v>
      </c>
      <c r="W160">
        <v>5.67</v>
      </c>
      <c r="X160">
        <v>1.47</v>
      </c>
      <c r="Y160">
        <v>0</v>
      </c>
      <c r="Z160">
        <v>0</v>
      </c>
      <c r="AA160">
        <v>0</v>
      </c>
      <c r="AB160">
        <v>0</v>
      </c>
      <c r="AC160">
        <v>9</v>
      </c>
      <c r="AD160">
        <v>18.850000000000001</v>
      </c>
      <c r="AE160">
        <v>0</v>
      </c>
      <c r="AF160">
        <v>0</v>
      </c>
      <c r="AG160">
        <v>1.79</v>
      </c>
      <c r="AH160">
        <v>63.01</v>
      </c>
      <c r="AI160">
        <v>16.3</v>
      </c>
      <c r="AJ160">
        <v>0</v>
      </c>
      <c r="AK160">
        <v>0</v>
      </c>
      <c r="AL160">
        <v>0</v>
      </c>
      <c r="AM160">
        <v>0.05</v>
      </c>
      <c r="AN160">
        <f t="shared" si="7"/>
        <v>4</v>
      </c>
      <c r="AO160" t="str">
        <f t="shared" si="8"/>
        <v>Wednesday</v>
      </c>
    </row>
    <row r="161" spans="1:41" x14ac:dyDescent="0.2">
      <c r="A161" t="s">
        <v>40</v>
      </c>
      <c r="B161" s="1">
        <v>46008</v>
      </c>
      <c r="C161" s="1">
        <f t="shared" si="6"/>
        <v>46022</v>
      </c>
      <c r="D161">
        <v>55</v>
      </c>
      <c r="E161">
        <v>162</v>
      </c>
      <c r="F161">
        <v>4</v>
      </c>
      <c r="G161">
        <v>3</v>
      </c>
      <c r="H161">
        <v>12</v>
      </c>
      <c r="I161">
        <v>0</v>
      </c>
      <c r="J161">
        <v>2</v>
      </c>
      <c r="K161">
        <v>111</v>
      </c>
      <c r="L161" t="s">
        <v>40</v>
      </c>
      <c r="M161" t="s">
        <v>38</v>
      </c>
      <c r="N161" s="1">
        <v>46008</v>
      </c>
      <c r="O161" s="2">
        <v>0.58370370370370372</v>
      </c>
      <c r="P161" s="2">
        <v>0.95861111111111108</v>
      </c>
      <c r="Q161">
        <v>9</v>
      </c>
      <c r="R161">
        <v>9</v>
      </c>
      <c r="S161">
        <v>1.32</v>
      </c>
      <c r="T161">
        <v>0.17</v>
      </c>
      <c r="U161">
        <v>0</v>
      </c>
      <c r="V161">
        <v>0.38</v>
      </c>
      <c r="W161">
        <v>5.61</v>
      </c>
      <c r="X161">
        <v>1.51</v>
      </c>
      <c r="Y161">
        <v>0</v>
      </c>
      <c r="Z161">
        <v>0</v>
      </c>
      <c r="AA161">
        <v>0</v>
      </c>
      <c r="AB161">
        <v>0</v>
      </c>
      <c r="AC161">
        <v>9</v>
      </c>
      <c r="AD161">
        <v>14.67</v>
      </c>
      <c r="AE161">
        <v>1.89</v>
      </c>
      <c r="AF161">
        <v>0</v>
      </c>
      <c r="AG161">
        <v>4.25</v>
      </c>
      <c r="AH161">
        <v>62.39</v>
      </c>
      <c r="AI161">
        <v>16.760000000000002</v>
      </c>
      <c r="AJ161">
        <v>0</v>
      </c>
      <c r="AK161">
        <v>0</v>
      </c>
      <c r="AL161">
        <v>0</v>
      </c>
      <c r="AM161">
        <v>0.03</v>
      </c>
      <c r="AN161">
        <f t="shared" si="7"/>
        <v>4</v>
      </c>
      <c r="AO161" t="str">
        <f t="shared" si="8"/>
        <v>Wednesday</v>
      </c>
    </row>
    <row r="162" spans="1:41" x14ac:dyDescent="0.2">
      <c r="A162" t="s">
        <v>41</v>
      </c>
      <c r="B162" s="1">
        <v>46008</v>
      </c>
      <c r="C162" s="1">
        <f t="shared" si="6"/>
        <v>46022</v>
      </c>
      <c r="D162">
        <v>62</v>
      </c>
      <c r="E162">
        <v>170</v>
      </c>
      <c r="F162">
        <v>3</v>
      </c>
      <c r="G162">
        <v>7</v>
      </c>
      <c r="H162">
        <v>6</v>
      </c>
      <c r="I162">
        <v>0</v>
      </c>
      <c r="J162">
        <v>9</v>
      </c>
      <c r="K162">
        <v>111</v>
      </c>
      <c r="L162" t="s">
        <v>41</v>
      </c>
      <c r="M162" t="s">
        <v>38</v>
      </c>
      <c r="N162" s="1">
        <v>46008</v>
      </c>
      <c r="O162" s="2">
        <v>0.58370370370370372</v>
      </c>
      <c r="P162" s="2">
        <v>0.95780092592592592</v>
      </c>
      <c r="Q162">
        <v>8.98</v>
      </c>
      <c r="R162">
        <v>8.98</v>
      </c>
      <c r="S162">
        <v>1.1200000000000001</v>
      </c>
      <c r="T162">
        <v>0.18</v>
      </c>
      <c r="U162">
        <v>0</v>
      </c>
      <c r="V162">
        <v>0.22</v>
      </c>
      <c r="W162">
        <v>5.98</v>
      </c>
      <c r="X162">
        <v>1.47</v>
      </c>
      <c r="Y162">
        <v>0</v>
      </c>
      <c r="Z162">
        <v>0</v>
      </c>
      <c r="AA162">
        <v>0</v>
      </c>
      <c r="AB162">
        <v>0</v>
      </c>
      <c r="AC162">
        <v>8.98</v>
      </c>
      <c r="AD162">
        <v>12.52</v>
      </c>
      <c r="AE162">
        <v>1.99</v>
      </c>
      <c r="AF162">
        <v>0</v>
      </c>
      <c r="AG162">
        <v>2.4</v>
      </c>
      <c r="AH162">
        <v>66.66</v>
      </c>
      <c r="AI162">
        <v>16.39</v>
      </c>
      <c r="AJ162">
        <v>0</v>
      </c>
      <c r="AK162">
        <v>0</v>
      </c>
      <c r="AL162">
        <v>0</v>
      </c>
      <c r="AM162">
        <v>0.04</v>
      </c>
      <c r="AN162">
        <f t="shared" si="7"/>
        <v>4</v>
      </c>
      <c r="AO162" t="str">
        <f t="shared" si="8"/>
        <v>Wednesday</v>
      </c>
    </row>
    <row r="163" spans="1:41" x14ac:dyDescent="0.2">
      <c r="A163" t="s">
        <v>43</v>
      </c>
      <c r="B163" s="1">
        <v>46008</v>
      </c>
      <c r="C163" s="1">
        <f t="shared" si="6"/>
        <v>46022</v>
      </c>
      <c r="D163">
        <v>55</v>
      </c>
      <c r="E163">
        <v>172</v>
      </c>
      <c r="F163">
        <v>15</v>
      </c>
      <c r="G163">
        <v>4</v>
      </c>
      <c r="H163">
        <v>11</v>
      </c>
      <c r="I163">
        <v>0</v>
      </c>
      <c r="J163">
        <v>0</v>
      </c>
      <c r="K163">
        <v>95</v>
      </c>
      <c r="L163" t="s">
        <v>43</v>
      </c>
      <c r="M163" t="s">
        <v>38</v>
      </c>
      <c r="N163" s="1">
        <v>46008</v>
      </c>
      <c r="O163" s="2">
        <v>0.58362268518518523</v>
      </c>
      <c r="P163" s="2">
        <v>0.9593518518518519</v>
      </c>
      <c r="Q163">
        <v>9.02</v>
      </c>
      <c r="R163">
        <v>9.02</v>
      </c>
      <c r="S163">
        <v>1.45</v>
      </c>
      <c r="T163">
        <v>0.26</v>
      </c>
      <c r="U163">
        <v>0</v>
      </c>
      <c r="V163">
        <v>0.26</v>
      </c>
      <c r="W163">
        <v>5.57</v>
      </c>
      <c r="X163">
        <v>1.47</v>
      </c>
      <c r="Y163">
        <v>0</v>
      </c>
      <c r="Z163">
        <v>0</v>
      </c>
      <c r="AA163">
        <v>0</v>
      </c>
      <c r="AB163">
        <v>0</v>
      </c>
      <c r="AC163">
        <v>9.02</v>
      </c>
      <c r="AD163">
        <v>16.100000000000001</v>
      </c>
      <c r="AE163">
        <v>2.88</v>
      </c>
      <c r="AF163">
        <v>0</v>
      </c>
      <c r="AG163">
        <v>2.9</v>
      </c>
      <c r="AH163">
        <v>61.75</v>
      </c>
      <c r="AI163">
        <v>16.34</v>
      </c>
      <c r="AJ163">
        <v>0</v>
      </c>
      <c r="AK163">
        <v>0</v>
      </c>
      <c r="AL163">
        <v>0</v>
      </c>
      <c r="AM163">
        <v>0.03</v>
      </c>
      <c r="AN163">
        <f t="shared" si="7"/>
        <v>4</v>
      </c>
      <c r="AO163" t="str">
        <f t="shared" si="8"/>
        <v>Wednesday</v>
      </c>
    </row>
    <row r="164" spans="1:41" x14ac:dyDescent="0.2">
      <c r="B164" s="1">
        <v>46008</v>
      </c>
      <c r="C164" s="1">
        <f t="shared" si="6"/>
        <v>46022</v>
      </c>
      <c r="D164">
        <v>1105</v>
      </c>
      <c r="E164">
        <v>0</v>
      </c>
      <c r="F164">
        <v>0</v>
      </c>
      <c r="G164">
        <v>0</v>
      </c>
      <c r="H164">
        <v>0</v>
      </c>
      <c r="I164">
        <v>0</v>
      </c>
      <c r="J164">
        <v>0</v>
      </c>
      <c r="K164">
        <v>0</v>
      </c>
      <c r="AN164">
        <f t="shared" si="7"/>
        <v>4</v>
      </c>
      <c r="AO164" t="str">
        <f t="shared" si="8"/>
        <v>Wednesday</v>
      </c>
    </row>
    <row r="165" spans="1:41" x14ac:dyDescent="0.2">
      <c r="A165" t="s">
        <v>37</v>
      </c>
      <c r="B165" s="1">
        <v>46007</v>
      </c>
      <c r="C165" s="1">
        <f t="shared" si="6"/>
        <v>46022</v>
      </c>
      <c r="D165">
        <v>44</v>
      </c>
      <c r="E165">
        <v>94</v>
      </c>
      <c r="F165">
        <v>6</v>
      </c>
      <c r="G165">
        <v>3</v>
      </c>
      <c r="H165">
        <v>9</v>
      </c>
      <c r="I165">
        <v>1</v>
      </c>
      <c r="J165">
        <v>9</v>
      </c>
      <c r="K165">
        <v>46</v>
      </c>
      <c r="L165" t="s">
        <v>37</v>
      </c>
      <c r="M165" t="s">
        <v>38</v>
      </c>
      <c r="N165" s="1">
        <v>46007</v>
      </c>
      <c r="O165" s="2">
        <v>0.58395833333333336</v>
      </c>
      <c r="P165" s="2">
        <v>0.95857638888888885</v>
      </c>
      <c r="Q165">
        <v>9</v>
      </c>
      <c r="R165">
        <v>8.08</v>
      </c>
      <c r="S165">
        <v>2.59</v>
      </c>
      <c r="T165">
        <v>0.4</v>
      </c>
      <c r="U165">
        <v>0</v>
      </c>
      <c r="V165">
        <v>0.41</v>
      </c>
      <c r="W165">
        <v>4.05</v>
      </c>
      <c r="X165">
        <v>0.45</v>
      </c>
      <c r="Y165">
        <v>0.11</v>
      </c>
      <c r="Z165">
        <v>0</v>
      </c>
      <c r="AA165">
        <v>0.05</v>
      </c>
      <c r="AB165">
        <v>0.02</v>
      </c>
      <c r="AC165">
        <v>8.08</v>
      </c>
      <c r="AD165">
        <v>32.01</v>
      </c>
      <c r="AE165">
        <v>4.99</v>
      </c>
      <c r="AF165">
        <v>0</v>
      </c>
      <c r="AG165">
        <v>5.08</v>
      </c>
      <c r="AH165">
        <v>50.12</v>
      </c>
      <c r="AI165">
        <v>5.57</v>
      </c>
      <c r="AJ165">
        <v>1.31</v>
      </c>
      <c r="AK165">
        <v>0</v>
      </c>
      <c r="AL165">
        <v>0.67</v>
      </c>
      <c r="AM165">
        <v>0.26</v>
      </c>
      <c r="AN165">
        <f t="shared" si="7"/>
        <v>3</v>
      </c>
      <c r="AO165" t="str">
        <f t="shared" si="8"/>
        <v>Tuesday</v>
      </c>
    </row>
    <row r="166" spans="1:41" x14ac:dyDescent="0.2">
      <c r="A166" t="s">
        <v>39</v>
      </c>
      <c r="B166" s="1">
        <v>46007</v>
      </c>
      <c r="C166" s="1">
        <f t="shared" si="6"/>
        <v>46022</v>
      </c>
      <c r="D166">
        <v>78</v>
      </c>
      <c r="E166">
        <v>181</v>
      </c>
      <c r="F166">
        <v>9</v>
      </c>
      <c r="G166">
        <v>13</v>
      </c>
      <c r="H166">
        <v>18</v>
      </c>
      <c r="I166">
        <v>0</v>
      </c>
      <c r="J166">
        <v>2</v>
      </c>
      <c r="K166">
        <v>98</v>
      </c>
      <c r="L166" t="s">
        <v>39</v>
      </c>
      <c r="M166" t="s">
        <v>38</v>
      </c>
      <c r="N166" s="1">
        <v>46007</v>
      </c>
      <c r="O166" s="2">
        <v>0.5836689814814815</v>
      </c>
      <c r="P166" s="2">
        <v>0.96258101851851852</v>
      </c>
      <c r="Q166">
        <v>9.1</v>
      </c>
      <c r="R166">
        <v>9.1</v>
      </c>
      <c r="S166">
        <v>2.46</v>
      </c>
      <c r="T166">
        <v>0.06</v>
      </c>
      <c r="U166">
        <v>0</v>
      </c>
      <c r="V166">
        <v>0.19</v>
      </c>
      <c r="W166">
        <v>4.8899999999999997</v>
      </c>
      <c r="X166">
        <v>1.5</v>
      </c>
      <c r="Y166">
        <v>0</v>
      </c>
      <c r="Z166">
        <v>0</v>
      </c>
      <c r="AA166">
        <v>0</v>
      </c>
      <c r="AB166">
        <v>0.01</v>
      </c>
      <c r="AC166">
        <v>9.1</v>
      </c>
      <c r="AD166">
        <v>27</v>
      </c>
      <c r="AE166">
        <v>0.62</v>
      </c>
      <c r="AF166">
        <v>0</v>
      </c>
      <c r="AG166">
        <v>2.04</v>
      </c>
      <c r="AH166">
        <v>53.75</v>
      </c>
      <c r="AI166">
        <v>16.48</v>
      </c>
      <c r="AJ166">
        <v>0</v>
      </c>
      <c r="AK166">
        <v>0</v>
      </c>
      <c r="AL166">
        <v>0</v>
      </c>
      <c r="AM166">
        <v>0.11</v>
      </c>
      <c r="AN166">
        <f t="shared" si="7"/>
        <v>3</v>
      </c>
      <c r="AO166" t="str">
        <f t="shared" si="8"/>
        <v>Tuesday</v>
      </c>
    </row>
    <row r="167" spans="1:41" x14ac:dyDescent="0.2">
      <c r="A167" t="s">
        <v>40</v>
      </c>
      <c r="B167" s="1">
        <v>46007</v>
      </c>
      <c r="C167" s="1">
        <f t="shared" si="6"/>
        <v>46022</v>
      </c>
      <c r="D167">
        <v>65</v>
      </c>
      <c r="E167">
        <v>175</v>
      </c>
      <c r="F167">
        <v>11</v>
      </c>
      <c r="G167">
        <v>4</v>
      </c>
      <c r="H167">
        <v>11</v>
      </c>
      <c r="I167">
        <v>0</v>
      </c>
      <c r="J167">
        <v>2</v>
      </c>
      <c r="K167">
        <v>108</v>
      </c>
      <c r="L167" t="s">
        <v>40</v>
      </c>
      <c r="M167" t="s">
        <v>38</v>
      </c>
      <c r="N167" s="1">
        <v>46007</v>
      </c>
      <c r="O167" s="2">
        <v>0.58384259259259264</v>
      </c>
      <c r="P167" s="2">
        <v>0.95839120370370368</v>
      </c>
      <c r="Q167">
        <v>9</v>
      </c>
      <c r="R167">
        <v>8.98</v>
      </c>
      <c r="S167">
        <v>1.1000000000000001</v>
      </c>
      <c r="T167">
        <v>0.45</v>
      </c>
      <c r="U167">
        <v>0</v>
      </c>
      <c r="V167">
        <v>0.56000000000000005</v>
      </c>
      <c r="W167">
        <v>5.35</v>
      </c>
      <c r="X167">
        <v>1.52</v>
      </c>
      <c r="Y167">
        <v>0</v>
      </c>
      <c r="Z167">
        <v>0</v>
      </c>
      <c r="AA167">
        <v>0</v>
      </c>
      <c r="AB167">
        <v>0.01</v>
      </c>
      <c r="AC167">
        <v>8.98</v>
      </c>
      <c r="AD167">
        <v>12.24</v>
      </c>
      <c r="AE167">
        <v>4.96</v>
      </c>
      <c r="AF167">
        <v>0</v>
      </c>
      <c r="AG167">
        <v>6.2</v>
      </c>
      <c r="AH167">
        <v>59.52</v>
      </c>
      <c r="AI167">
        <v>16.96</v>
      </c>
      <c r="AJ167">
        <v>0</v>
      </c>
      <c r="AK167">
        <v>0</v>
      </c>
      <c r="AL167">
        <v>0.03</v>
      </c>
      <c r="AM167">
        <v>0.11</v>
      </c>
      <c r="AN167">
        <f t="shared" si="7"/>
        <v>3</v>
      </c>
      <c r="AO167" t="str">
        <f t="shared" si="8"/>
        <v>Tuesday</v>
      </c>
    </row>
    <row r="168" spans="1:41" x14ac:dyDescent="0.2">
      <c r="A168" t="s">
        <v>41</v>
      </c>
      <c r="B168" s="1">
        <v>46007</v>
      </c>
      <c r="C168" s="1">
        <f t="shared" si="6"/>
        <v>46022</v>
      </c>
      <c r="D168">
        <v>52</v>
      </c>
      <c r="E168">
        <v>118</v>
      </c>
      <c r="F168">
        <v>10</v>
      </c>
      <c r="G168">
        <v>24</v>
      </c>
      <c r="H168">
        <v>12</v>
      </c>
      <c r="I168">
        <v>0</v>
      </c>
      <c r="J168">
        <v>7</v>
      </c>
      <c r="K168">
        <v>47</v>
      </c>
      <c r="L168" t="s">
        <v>41</v>
      </c>
      <c r="M168" t="s">
        <v>38</v>
      </c>
      <c r="N168" s="1">
        <v>46007</v>
      </c>
      <c r="O168" s="2">
        <v>0.58321759259259254</v>
      </c>
      <c r="P168" s="2">
        <v>0.95767361111111116</v>
      </c>
      <c r="Q168">
        <v>9</v>
      </c>
      <c r="R168">
        <v>8.9499999999999993</v>
      </c>
      <c r="S168">
        <v>2.11</v>
      </c>
      <c r="T168">
        <v>0.4</v>
      </c>
      <c r="U168">
        <v>0</v>
      </c>
      <c r="V168">
        <v>0.39</v>
      </c>
      <c r="W168">
        <v>4.57</v>
      </c>
      <c r="X168">
        <v>1.47</v>
      </c>
      <c r="Y168">
        <v>0</v>
      </c>
      <c r="Z168">
        <v>0</v>
      </c>
      <c r="AA168">
        <v>0</v>
      </c>
      <c r="AB168">
        <v>0.01</v>
      </c>
      <c r="AC168">
        <v>8.9499999999999993</v>
      </c>
      <c r="AD168">
        <v>23.59</v>
      </c>
      <c r="AE168">
        <v>4.5</v>
      </c>
      <c r="AF168">
        <v>0</v>
      </c>
      <c r="AG168">
        <v>4.3499999999999996</v>
      </c>
      <c r="AH168">
        <v>51.09</v>
      </c>
      <c r="AI168">
        <v>16.38</v>
      </c>
      <c r="AJ168">
        <v>0</v>
      </c>
      <c r="AK168">
        <v>0</v>
      </c>
      <c r="AL168">
        <v>0</v>
      </c>
      <c r="AM168">
        <v>0.08</v>
      </c>
      <c r="AN168">
        <f t="shared" si="7"/>
        <v>3</v>
      </c>
      <c r="AO168" t="str">
        <f t="shared" si="8"/>
        <v>Tuesday</v>
      </c>
    </row>
    <row r="169" spans="1:41" x14ac:dyDescent="0.2">
      <c r="A169" t="s">
        <v>43</v>
      </c>
      <c r="B169" s="1">
        <v>46007</v>
      </c>
      <c r="C169" s="1">
        <f t="shared" si="6"/>
        <v>46022</v>
      </c>
      <c r="D169">
        <v>61</v>
      </c>
      <c r="E169">
        <v>169</v>
      </c>
      <c r="F169">
        <v>12</v>
      </c>
      <c r="G169">
        <v>11</v>
      </c>
      <c r="H169">
        <v>5</v>
      </c>
      <c r="I169">
        <v>0</v>
      </c>
      <c r="J169">
        <v>0</v>
      </c>
      <c r="K169">
        <v>93</v>
      </c>
      <c r="L169" t="s">
        <v>43</v>
      </c>
      <c r="M169" t="s">
        <v>38</v>
      </c>
      <c r="N169" s="1">
        <v>46007</v>
      </c>
      <c r="O169" s="2">
        <v>0.58405092592592589</v>
      </c>
      <c r="P169" s="2">
        <v>0.95947916666666666</v>
      </c>
      <c r="Q169">
        <v>9</v>
      </c>
      <c r="R169">
        <v>9.01</v>
      </c>
      <c r="S169">
        <v>2.0099999999999998</v>
      </c>
      <c r="T169">
        <v>0.36</v>
      </c>
      <c r="U169">
        <v>0</v>
      </c>
      <c r="V169">
        <v>0.34</v>
      </c>
      <c r="W169">
        <v>4.8899999999999997</v>
      </c>
      <c r="X169">
        <v>1.4</v>
      </c>
      <c r="Y169">
        <v>0</v>
      </c>
      <c r="Z169">
        <v>0</v>
      </c>
      <c r="AA169">
        <v>0</v>
      </c>
      <c r="AB169">
        <v>0.01</v>
      </c>
      <c r="AC169">
        <v>9.01</v>
      </c>
      <c r="AD169">
        <v>22.34</v>
      </c>
      <c r="AE169">
        <v>3.96</v>
      </c>
      <c r="AF169">
        <v>0</v>
      </c>
      <c r="AG169">
        <v>3.78</v>
      </c>
      <c r="AH169">
        <v>54.3</v>
      </c>
      <c r="AI169">
        <v>15.55</v>
      </c>
      <c r="AJ169">
        <v>0</v>
      </c>
      <c r="AK169">
        <v>0</v>
      </c>
      <c r="AL169">
        <v>0</v>
      </c>
      <c r="AM169">
        <v>7.0000000000000007E-2</v>
      </c>
      <c r="AN169">
        <f t="shared" si="7"/>
        <v>3</v>
      </c>
      <c r="AO169" t="str">
        <f t="shared" si="8"/>
        <v>Tuesday</v>
      </c>
    </row>
    <row r="170" spans="1:41" x14ac:dyDescent="0.2">
      <c r="B170" s="1">
        <v>46007</v>
      </c>
      <c r="C170" s="1">
        <f t="shared" si="6"/>
        <v>46022</v>
      </c>
      <c r="D170">
        <v>1181</v>
      </c>
      <c r="E170">
        <v>0</v>
      </c>
      <c r="F170">
        <v>0</v>
      </c>
      <c r="G170">
        <v>0</v>
      </c>
      <c r="H170">
        <v>0</v>
      </c>
      <c r="I170">
        <v>0</v>
      </c>
      <c r="J170">
        <v>0</v>
      </c>
      <c r="K170">
        <v>0</v>
      </c>
      <c r="AN170">
        <f t="shared" si="7"/>
        <v>3</v>
      </c>
      <c r="AO170" t="str">
        <f t="shared" si="8"/>
        <v>Tuesday</v>
      </c>
    </row>
    <row r="171" spans="1:41" x14ac:dyDescent="0.2">
      <c r="A171" t="s">
        <v>37</v>
      </c>
      <c r="B171" s="1">
        <v>46006</v>
      </c>
      <c r="C171" s="1">
        <f t="shared" si="6"/>
        <v>46022</v>
      </c>
      <c r="D171">
        <v>55</v>
      </c>
      <c r="E171">
        <v>145</v>
      </c>
      <c r="F171">
        <v>1</v>
      </c>
      <c r="G171">
        <v>3</v>
      </c>
      <c r="H171">
        <v>6</v>
      </c>
      <c r="I171">
        <v>0</v>
      </c>
      <c r="J171">
        <v>1</v>
      </c>
      <c r="K171">
        <v>86</v>
      </c>
      <c r="L171" t="s">
        <v>37</v>
      </c>
      <c r="M171" t="s">
        <v>38</v>
      </c>
      <c r="N171" s="1">
        <v>46006</v>
      </c>
      <c r="O171" s="2">
        <v>0.58377314814814818</v>
      </c>
      <c r="P171" s="2">
        <v>0.9583680555555556</v>
      </c>
      <c r="Q171">
        <v>9</v>
      </c>
      <c r="R171">
        <v>8.06</v>
      </c>
      <c r="S171">
        <v>2.12</v>
      </c>
      <c r="T171">
        <v>0.43</v>
      </c>
      <c r="U171">
        <v>0</v>
      </c>
      <c r="V171">
        <v>0.22</v>
      </c>
      <c r="W171">
        <v>4.72</v>
      </c>
      <c r="X171">
        <v>0.55000000000000004</v>
      </c>
      <c r="Y171">
        <v>0</v>
      </c>
      <c r="Z171">
        <v>0</v>
      </c>
      <c r="AA171">
        <v>0</v>
      </c>
      <c r="AB171">
        <v>0.02</v>
      </c>
      <c r="AC171">
        <v>8.06</v>
      </c>
      <c r="AD171">
        <v>26.34</v>
      </c>
      <c r="AE171">
        <v>5.35</v>
      </c>
      <c r="AF171">
        <v>0</v>
      </c>
      <c r="AG171">
        <v>2.7</v>
      </c>
      <c r="AH171">
        <v>58.53</v>
      </c>
      <c r="AI171">
        <v>6.84</v>
      </c>
      <c r="AJ171">
        <v>0.01</v>
      </c>
      <c r="AK171">
        <v>0</v>
      </c>
      <c r="AL171">
        <v>0</v>
      </c>
      <c r="AM171">
        <v>0.22</v>
      </c>
      <c r="AN171">
        <f t="shared" si="7"/>
        <v>2</v>
      </c>
      <c r="AO171" t="str">
        <f t="shared" si="8"/>
        <v>Monday</v>
      </c>
    </row>
    <row r="172" spans="1:41" x14ac:dyDescent="0.2">
      <c r="A172" t="s">
        <v>39</v>
      </c>
      <c r="B172" s="1">
        <v>46006</v>
      </c>
      <c r="C172" s="1">
        <f t="shared" si="6"/>
        <v>46022</v>
      </c>
      <c r="D172">
        <v>49</v>
      </c>
      <c r="E172">
        <v>115</v>
      </c>
      <c r="F172">
        <v>6</v>
      </c>
      <c r="G172">
        <v>6</v>
      </c>
      <c r="H172">
        <v>20</v>
      </c>
      <c r="I172">
        <v>1</v>
      </c>
      <c r="J172">
        <v>1</v>
      </c>
      <c r="K172">
        <v>52</v>
      </c>
      <c r="L172" t="s">
        <v>39</v>
      </c>
      <c r="M172" t="s">
        <v>38</v>
      </c>
      <c r="N172" s="1">
        <v>46006</v>
      </c>
      <c r="O172" s="2">
        <v>0.58362268518518523</v>
      </c>
      <c r="P172" s="2">
        <v>0.95841435185185186</v>
      </c>
      <c r="Q172">
        <v>9</v>
      </c>
      <c r="R172">
        <v>9</v>
      </c>
      <c r="S172">
        <v>2.56</v>
      </c>
      <c r="T172">
        <v>7.0000000000000007E-2</v>
      </c>
      <c r="U172">
        <v>0</v>
      </c>
      <c r="V172">
        <v>0.18</v>
      </c>
      <c r="W172">
        <v>4.7</v>
      </c>
      <c r="X172">
        <v>1.47</v>
      </c>
      <c r="Y172">
        <v>0</v>
      </c>
      <c r="Z172">
        <v>0</v>
      </c>
      <c r="AA172">
        <v>0</v>
      </c>
      <c r="AB172">
        <v>0</v>
      </c>
      <c r="AC172">
        <v>9</v>
      </c>
      <c r="AD172">
        <v>28.44</v>
      </c>
      <c r="AE172">
        <v>0.81</v>
      </c>
      <c r="AF172">
        <v>0</v>
      </c>
      <c r="AG172">
        <v>2.0499999999999998</v>
      </c>
      <c r="AH172">
        <v>52.29</v>
      </c>
      <c r="AI172">
        <v>16.36</v>
      </c>
      <c r="AJ172">
        <v>0</v>
      </c>
      <c r="AK172">
        <v>0</v>
      </c>
      <c r="AL172">
        <v>0</v>
      </c>
      <c r="AM172">
        <v>0.04</v>
      </c>
      <c r="AN172">
        <f t="shared" si="7"/>
        <v>2</v>
      </c>
      <c r="AO172" t="str">
        <f t="shared" si="8"/>
        <v>Monday</v>
      </c>
    </row>
    <row r="173" spans="1:41" x14ac:dyDescent="0.2">
      <c r="A173" t="s">
        <v>40</v>
      </c>
      <c r="B173" s="1">
        <v>46006</v>
      </c>
      <c r="C173" s="1">
        <f t="shared" si="6"/>
        <v>46022</v>
      </c>
      <c r="D173">
        <v>49</v>
      </c>
      <c r="E173">
        <v>159</v>
      </c>
      <c r="F173">
        <v>3</v>
      </c>
      <c r="G173">
        <v>4</v>
      </c>
      <c r="H173">
        <v>20</v>
      </c>
      <c r="I173">
        <v>4</v>
      </c>
      <c r="J173">
        <v>3</v>
      </c>
      <c r="K173">
        <v>98</v>
      </c>
      <c r="L173" t="s">
        <v>40</v>
      </c>
      <c r="M173" t="s">
        <v>38</v>
      </c>
      <c r="N173" s="1">
        <v>46006</v>
      </c>
      <c r="O173" s="2">
        <v>0.5838888888888889</v>
      </c>
      <c r="P173" s="2">
        <v>0.96446759259259263</v>
      </c>
      <c r="Q173">
        <v>9.1300000000000008</v>
      </c>
      <c r="R173">
        <v>9.1300000000000008</v>
      </c>
      <c r="S173">
        <v>1.81</v>
      </c>
      <c r="T173">
        <v>0.16</v>
      </c>
      <c r="U173">
        <v>0</v>
      </c>
      <c r="V173">
        <v>0.56999999999999995</v>
      </c>
      <c r="W173">
        <v>4.8</v>
      </c>
      <c r="X173">
        <v>1.51</v>
      </c>
      <c r="Y173">
        <v>0.28999999999999998</v>
      </c>
      <c r="Z173">
        <v>0</v>
      </c>
      <c r="AA173">
        <v>0</v>
      </c>
      <c r="AB173">
        <v>0</v>
      </c>
      <c r="AC173">
        <v>9.1300000000000008</v>
      </c>
      <c r="AD173">
        <v>19.82</v>
      </c>
      <c r="AE173">
        <v>1.71</v>
      </c>
      <c r="AF173">
        <v>0</v>
      </c>
      <c r="AG173">
        <v>6.24</v>
      </c>
      <c r="AH173">
        <v>52.53</v>
      </c>
      <c r="AI173">
        <v>16.48</v>
      </c>
      <c r="AJ173">
        <v>3.19</v>
      </c>
      <c r="AK173">
        <v>0</v>
      </c>
      <c r="AL173">
        <v>0</v>
      </c>
      <c r="AM173">
        <v>0.03</v>
      </c>
      <c r="AN173">
        <f t="shared" si="7"/>
        <v>2</v>
      </c>
      <c r="AO173" t="str">
        <f t="shared" si="8"/>
        <v>Monday</v>
      </c>
    </row>
    <row r="174" spans="1:41" x14ac:dyDescent="0.2">
      <c r="A174" t="s">
        <v>41</v>
      </c>
      <c r="B174" s="1">
        <v>46006</v>
      </c>
      <c r="C174" s="1">
        <f t="shared" si="6"/>
        <v>46022</v>
      </c>
      <c r="D174">
        <v>53</v>
      </c>
      <c r="E174">
        <v>127</v>
      </c>
      <c r="F174">
        <v>3</v>
      </c>
      <c r="G174">
        <v>5</v>
      </c>
      <c r="H174">
        <v>17</v>
      </c>
      <c r="I174">
        <v>0</v>
      </c>
      <c r="J174">
        <v>7</v>
      </c>
      <c r="K174">
        <v>66</v>
      </c>
      <c r="L174" t="s">
        <v>41</v>
      </c>
      <c r="M174" t="s">
        <v>38</v>
      </c>
      <c r="N174" s="1">
        <v>46006</v>
      </c>
      <c r="O174" s="2">
        <v>0.58531250000000001</v>
      </c>
      <c r="P174" s="2">
        <v>0.95773148148148146</v>
      </c>
      <c r="Q174">
        <v>8.9499999999999993</v>
      </c>
      <c r="R174">
        <v>8.94</v>
      </c>
      <c r="S174">
        <v>1.65</v>
      </c>
      <c r="T174">
        <v>0.5</v>
      </c>
      <c r="U174">
        <v>0</v>
      </c>
      <c r="V174">
        <v>0.2</v>
      </c>
      <c r="W174">
        <v>5.0999999999999996</v>
      </c>
      <c r="X174">
        <v>1.48</v>
      </c>
      <c r="Y174">
        <v>0</v>
      </c>
      <c r="Z174">
        <v>0</v>
      </c>
      <c r="AA174">
        <v>0</v>
      </c>
      <c r="AB174">
        <v>0</v>
      </c>
      <c r="AC174">
        <v>8.94</v>
      </c>
      <c r="AD174">
        <v>18.47</v>
      </c>
      <c r="AE174">
        <v>5.61</v>
      </c>
      <c r="AF174">
        <v>0</v>
      </c>
      <c r="AG174">
        <v>2.2599999999999998</v>
      </c>
      <c r="AH174">
        <v>57.08</v>
      </c>
      <c r="AI174">
        <v>16.54</v>
      </c>
      <c r="AJ174">
        <v>0</v>
      </c>
      <c r="AK174">
        <v>0</v>
      </c>
      <c r="AL174">
        <v>0</v>
      </c>
      <c r="AM174">
        <v>0.03</v>
      </c>
      <c r="AN174">
        <f t="shared" si="7"/>
        <v>2</v>
      </c>
      <c r="AO174" t="str">
        <f t="shared" si="8"/>
        <v>Monday</v>
      </c>
    </row>
    <row r="175" spans="1:41" x14ac:dyDescent="0.2">
      <c r="A175" t="s">
        <v>43</v>
      </c>
      <c r="B175" s="1">
        <v>46006</v>
      </c>
      <c r="C175" s="1">
        <f t="shared" si="6"/>
        <v>46022</v>
      </c>
      <c r="D175">
        <v>53</v>
      </c>
      <c r="E175">
        <v>174</v>
      </c>
      <c r="F175">
        <v>6</v>
      </c>
      <c r="G175">
        <v>28</v>
      </c>
      <c r="H175">
        <v>15</v>
      </c>
      <c r="I175">
        <v>2</v>
      </c>
      <c r="J175">
        <v>0</v>
      </c>
      <c r="K175">
        <v>68</v>
      </c>
      <c r="L175" t="s">
        <v>43</v>
      </c>
      <c r="M175" t="s">
        <v>38</v>
      </c>
      <c r="N175" s="1">
        <v>46006</v>
      </c>
      <c r="O175" s="2">
        <v>0.58409722222222227</v>
      </c>
      <c r="P175" s="2">
        <v>0.95909722222222227</v>
      </c>
      <c r="Q175">
        <v>9</v>
      </c>
      <c r="R175">
        <v>9</v>
      </c>
      <c r="S175">
        <v>2.14</v>
      </c>
      <c r="T175">
        <v>0.32</v>
      </c>
      <c r="U175">
        <v>0</v>
      </c>
      <c r="V175">
        <v>0.52</v>
      </c>
      <c r="W175">
        <v>4.55</v>
      </c>
      <c r="X175">
        <v>1.45</v>
      </c>
      <c r="Y175">
        <v>0</v>
      </c>
      <c r="Z175">
        <v>0</v>
      </c>
      <c r="AA175">
        <v>0</v>
      </c>
      <c r="AB175">
        <v>0</v>
      </c>
      <c r="AC175">
        <v>9</v>
      </c>
      <c r="AD175">
        <v>23.83</v>
      </c>
      <c r="AE175">
        <v>3.6</v>
      </c>
      <c r="AF175">
        <v>0</v>
      </c>
      <c r="AG175">
        <v>5.82</v>
      </c>
      <c r="AH175">
        <v>50.59</v>
      </c>
      <c r="AI175">
        <v>16.14</v>
      </c>
      <c r="AJ175">
        <v>0</v>
      </c>
      <c r="AK175">
        <v>0</v>
      </c>
      <c r="AL175">
        <v>0</v>
      </c>
      <c r="AM175">
        <v>0.03</v>
      </c>
      <c r="AN175">
        <f t="shared" si="7"/>
        <v>2</v>
      </c>
      <c r="AO175" t="str">
        <f t="shared" si="8"/>
        <v>Monday</v>
      </c>
    </row>
    <row r="176" spans="1:41" x14ac:dyDescent="0.2">
      <c r="B176" s="1">
        <v>46006</v>
      </c>
      <c r="C176" s="1">
        <f t="shared" si="6"/>
        <v>46022</v>
      </c>
      <c r="D176">
        <v>1009</v>
      </c>
      <c r="E176">
        <v>0</v>
      </c>
      <c r="F176">
        <v>0</v>
      </c>
      <c r="G176">
        <v>0</v>
      </c>
      <c r="H176">
        <v>0</v>
      </c>
      <c r="I176">
        <v>0</v>
      </c>
      <c r="J176">
        <v>0</v>
      </c>
      <c r="K176">
        <v>0</v>
      </c>
      <c r="AN176">
        <f t="shared" si="7"/>
        <v>2</v>
      </c>
      <c r="AO176" t="str">
        <f t="shared" si="8"/>
        <v>Monday</v>
      </c>
    </row>
    <row r="177" spans="1:41" x14ac:dyDescent="0.2">
      <c r="A177" t="s">
        <v>37</v>
      </c>
      <c r="B177" s="1">
        <v>46003</v>
      </c>
      <c r="C177" s="1">
        <f t="shared" si="6"/>
        <v>46022</v>
      </c>
      <c r="D177">
        <v>56</v>
      </c>
      <c r="E177">
        <v>119</v>
      </c>
      <c r="F177">
        <v>6</v>
      </c>
      <c r="G177">
        <v>7</v>
      </c>
      <c r="H177">
        <v>6</v>
      </c>
      <c r="I177">
        <v>0</v>
      </c>
      <c r="J177">
        <v>1</v>
      </c>
      <c r="K177">
        <v>58</v>
      </c>
      <c r="L177" t="s">
        <v>37</v>
      </c>
      <c r="M177" t="s">
        <v>38</v>
      </c>
      <c r="N177" s="1">
        <v>46003</v>
      </c>
      <c r="O177" s="2">
        <v>0.58379629629629626</v>
      </c>
      <c r="P177" s="2">
        <v>0.9583680555555556</v>
      </c>
      <c r="Q177">
        <v>9</v>
      </c>
      <c r="R177">
        <v>8.0500000000000007</v>
      </c>
      <c r="S177">
        <v>2.54</v>
      </c>
      <c r="T177">
        <v>0.4</v>
      </c>
      <c r="U177">
        <v>0</v>
      </c>
      <c r="V177">
        <v>0.47</v>
      </c>
      <c r="W177">
        <v>4.22</v>
      </c>
      <c r="X177">
        <v>0.32</v>
      </c>
      <c r="Y177">
        <v>0</v>
      </c>
      <c r="Z177">
        <v>0</v>
      </c>
      <c r="AA177">
        <v>0.06</v>
      </c>
      <c r="AB177">
        <v>0.04</v>
      </c>
      <c r="AC177">
        <v>8.0500000000000007</v>
      </c>
      <c r="AD177">
        <v>31.55</v>
      </c>
      <c r="AE177">
        <v>4.9800000000000004</v>
      </c>
      <c r="AF177">
        <v>0</v>
      </c>
      <c r="AG177">
        <v>5.81</v>
      </c>
      <c r="AH177">
        <v>52.43</v>
      </c>
      <c r="AI177">
        <v>4.03</v>
      </c>
      <c r="AJ177">
        <v>0</v>
      </c>
      <c r="AK177">
        <v>0</v>
      </c>
      <c r="AL177">
        <v>0.73</v>
      </c>
      <c r="AM177">
        <v>0.46</v>
      </c>
      <c r="AN177">
        <f t="shared" si="7"/>
        <v>6</v>
      </c>
      <c r="AO177" t="str">
        <f t="shared" si="8"/>
        <v>Friday</v>
      </c>
    </row>
    <row r="178" spans="1:41" x14ac:dyDescent="0.2">
      <c r="A178" t="s">
        <v>40</v>
      </c>
      <c r="B178" s="1">
        <v>46003</v>
      </c>
      <c r="C178" s="1">
        <f t="shared" si="6"/>
        <v>46022</v>
      </c>
      <c r="D178">
        <v>46</v>
      </c>
      <c r="E178">
        <v>116</v>
      </c>
      <c r="F178">
        <v>6</v>
      </c>
      <c r="G178">
        <v>0</v>
      </c>
      <c r="H178">
        <v>10</v>
      </c>
      <c r="I178">
        <v>1</v>
      </c>
      <c r="J178">
        <v>0</v>
      </c>
      <c r="K178">
        <v>75</v>
      </c>
      <c r="L178" t="s">
        <v>40</v>
      </c>
      <c r="M178" t="s">
        <v>38</v>
      </c>
      <c r="N178" s="1">
        <v>46003</v>
      </c>
      <c r="O178" s="2">
        <v>0.58247685185185183</v>
      </c>
      <c r="P178" s="2">
        <v>0.95834490740740741</v>
      </c>
      <c r="Q178">
        <v>9.0299999999999994</v>
      </c>
      <c r="R178">
        <v>9.02</v>
      </c>
      <c r="S178">
        <v>1.1499999999999999</v>
      </c>
      <c r="T178">
        <v>0.43</v>
      </c>
      <c r="U178">
        <v>0</v>
      </c>
      <c r="V178">
        <v>0.45</v>
      </c>
      <c r="W178">
        <v>5.45</v>
      </c>
      <c r="X178">
        <v>1.51</v>
      </c>
      <c r="Y178">
        <v>0</v>
      </c>
      <c r="Z178">
        <v>0</v>
      </c>
      <c r="AA178">
        <v>0</v>
      </c>
      <c r="AB178">
        <v>0.02</v>
      </c>
      <c r="AC178">
        <v>9.02</v>
      </c>
      <c r="AD178">
        <v>12.8</v>
      </c>
      <c r="AE178">
        <v>4.72</v>
      </c>
      <c r="AF178">
        <v>0</v>
      </c>
      <c r="AG178">
        <v>5.04</v>
      </c>
      <c r="AH178">
        <v>60.46</v>
      </c>
      <c r="AI178">
        <v>16.7</v>
      </c>
      <c r="AJ178">
        <v>0</v>
      </c>
      <c r="AK178">
        <v>0</v>
      </c>
      <c r="AL178">
        <v>0</v>
      </c>
      <c r="AM178">
        <v>0.27</v>
      </c>
      <c r="AN178">
        <f t="shared" si="7"/>
        <v>6</v>
      </c>
      <c r="AO178" t="str">
        <f t="shared" si="8"/>
        <v>Friday</v>
      </c>
    </row>
    <row r="179" spans="1:41" x14ac:dyDescent="0.2">
      <c r="A179" t="s">
        <v>41</v>
      </c>
      <c r="B179" s="1">
        <v>46003</v>
      </c>
      <c r="C179" s="1">
        <f t="shared" si="6"/>
        <v>46022</v>
      </c>
      <c r="D179">
        <v>57</v>
      </c>
      <c r="E179">
        <v>120</v>
      </c>
      <c r="F179">
        <v>15</v>
      </c>
      <c r="G179">
        <v>3</v>
      </c>
      <c r="H179">
        <v>12</v>
      </c>
      <c r="I179">
        <v>0</v>
      </c>
      <c r="J179">
        <v>1</v>
      </c>
      <c r="K179">
        <v>53</v>
      </c>
      <c r="L179" t="s">
        <v>41</v>
      </c>
      <c r="M179" t="s">
        <v>38</v>
      </c>
      <c r="N179" s="1">
        <v>46003</v>
      </c>
      <c r="O179" s="2">
        <v>0.5827430555555555</v>
      </c>
      <c r="P179" s="2">
        <v>0.95813657407407404</v>
      </c>
      <c r="Q179">
        <v>9</v>
      </c>
      <c r="R179">
        <v>9.01</v>
      </c>
      <c r="S179">
        <v>1.7</v>
      </c>
      <c r="T179">
        <v>0.4</v>
      </c>
      <c r="U179">
        <v>0</v>
      </c>
      <c r="V179">
        <v>0.22</v>
      </c>
      <c r="W179">
        <v>5.24</v>
      </c>
      <c r="X179">
        <v>1.45</v>
      </c>
      <c r="Y179">
        <v>0</v>
      </c>
      <c r="Z179">
        <v>0</v>
      </c>
      <c r="AA179">
        <v>0</v>
      </c>
      <c r="AB179">
        <v>0</v>
      </c>
      <c r="AC179">
        <v>9.01</v>
      </c>
      <c r="AD179">
        <v>18.84</v>
      </c>
      <c r="AE179">
        <v>4.42</v>
      </c>
      <c r="AF179">
        <v>0</v>
      </c>
      <c r="AG179">
        <v>2.44</v>
      </c>
      <c r="AH179">
        <v>58.11</v>
      </c>
      <c r="AI179">
        <v>16.14</v>
      </c>
      <c r="AJ179">
        <v>0</v>
      </c>
      <c r="AK179">
        <v>0</v>
      </c>
      <c r="AL179">
        <v>0</v>
      </c>
      <c r="AM179">
        <v>0.04</v>
      </c>
      <c r="AN179">
        <f t="shared" si="7"/>
        <v>6</v>
      </c>
      <c r="AO179" t="str">
        <f t="shared" si="8"/>
        <v>Friday</v>
      </c>
    </row>
    <row r="180" spans="1:41" x14ac:dyDescent="0.2">
      <c r="A180" t="s">
        <v>43</v>
      </c>
      <c r="B180" s="1">
        <v>46003</v>
      </c>
      <c r="C180" s="1">
        <f t="shared" si="6"/>
        <v>46022</v>
      </c>
      <c r="D180">
        <v>50</v>
      </c>
      <c r="E180">
        <v>123</v>
      </c>
      <c r="F180">
        <v>8</v>
      </c>
      <c r="G180">
        <v>5</v>
      </c>
      <c r="H180">
        <v>5</v>
      </c>
      <c r="I180">
        <v>0</v>
      </c>
      <c r="J180">
        <v>0</v>
      </c>
      <c r="K180">
        <v>65</v>
      </c>
      <c r="L180" t="s">
        <v>43</v>
      </c>
      <c r="M180" t="s">
        <v>38</v>
      </c>
      <c r="N180" s="1">
        <v>46003</v>
      </c>
      <c r="O180" s="2">
        <v>0.58329861111111114</v>
      </c>
      <c r="P180" s="2">
        <v>0.95878472222222222</v>
      </c>
      <c r="Q180">
        <v>9.02</v>
      </c>
      <c r="R180">
        <v>9.01</v>
      </c>
      <c r="S180">
        <v>1.61</v>
      </c>
      <c r="T180">
        <v>0.12</v>
      </c>
      <c r="U180">
        <v>0</v>
      </c>
      <c r="V180">
        <v>0.47</v>
      </c>
      <c r="W180">
        <v>5.0599999999999996</v>
      </c>
      <c r="X180">
        <v>1.74</v>
      </c>
      <c r="Y180">
        <v>0</v>
      </c>
      <c r="Z180">
        <v>0</v>
      </c>
      <c r="AA180">
        <v>0</v>
      </c>
      <c r="AB180">
        <v>0</v>
      </c>
      <c r="AC180">
        <v>9.01</v>
      </c>
      <c r="AD180">
        <v>17.87</v>
      </c>
      <c r="AE180">
        <v>1.29</v>
      </c>
      <c r="AF180">
        <v>0</v>
      </c>
      <c r="AG180">
        <v>5.24</v>
      </c>
      <c r="AH180">
        <v>56.2</v>
      </c>
      <c r="AI180">
        <v>19.36</v>
      </c>
      <c r="AJ180">
        <v>0</v>
      </c>
      <c r="AK180">
        <v>0</v>
      </c>
      <c r="AL180">
        <v>0</v>
      </c>
      <c r="AM180">
        <v>0.03</v>
      </c>
      <c r="AN180">
        <f t="shared" si="7"/>
        <v>6</v>
      </c>
      <c r="AO180" t="str">
        <f t="shared" si="8"/>
        <v>Friday</v>
      </c>
    </row>
    <row r="181" spans="1:41" x14ac:dyDescent="0.2">
      <c r="B181" s="1">
        <v>46003</v>
      </c>
      <c r="C181" s="1">
        <f t="shared" si="6"/>
        <v>46022</v>
      </c>
      <c r="D181">
        <v>1136</v>
      </c>
      <c r="E181">
        <v>0</v>
      </c>
      <c r="F181">
        <v>0</v>
      </c>
      <c r="G181">
        <v>0</v>
      </c>
      <c r="H181">
        <v>0</v>
      </c>
      <c r="I181">
        <v>0</v>
      </c>
      <c r="J181">
        <v>0</v>
      </c>
      <c r="K181">
        <v>0</v>
      </c>
      <c r="AN181">
        <f t="shared" si="7"/>
        <v>6</v>
      </c>
      <c r="AO181" t="str">
        <f t="shared" si="8"/>
        <v>Friday</v>
      </c>
    </row>
    <row r="182" spans="1:41" x14ac:dyDescent="0.2">
      <c r="A182" t="s">
        <v>37</v>
      </c>
      <c r="B182" s="1">
        <v>46002</v>
      </c>
      <c r="C182" s="1">
        <f t="shared" si="6"/>
        <v>46022</v>
      </c>
      <c r="D182">
        <v>58</v>
      </c>
      <c r="E182">
        <v>128</v>
      </c>
      <c r="F182">
        <v>5</v>
      </c>
      <c r="G182">
        <v>10</v>
      </c>
      <c r="H182">
        <v>14</v>
      </c>
      <c r="I182">
        <v>2</v>
      </c>
      <c r="J182">
        <v>2</v>
      </c>
      <c r="K182">
        <v>63</v>
      </c>
      <c r="L182" t="s">
        <v>37</v>
      </c>
      <c r="M182" t="s">
        <v>38</v>
      </c>
      <c r="N182" s="1">
        <v>46002</v>
      </c>
      <c r="O182" s="2">
        <v>0.58412037037037035</v>
      </c>
      <c r="P182" s="2">
        <v>0.9587268518518518</v>
      </c>
      <c r="Q182">
        <v>8.98</v>
      </c>
      <c r="R182">
        <v>8.0500000000000007</v>
      </c>
      <c r="S182">
        <v>2.38</v>
      </c>
      <c r="T182">
        <v>0.59</v>
      </c>
      <c r="U182">
        <v>0</v>
      </c>
      <c r="V182">
        <v>0.76</v>
      </c>
      <c r="W182">
        <v>3.53</v>
      </c>
      <c r="X182">
        <v>0.28999999999999998</v>
      </c>
      <c r="Y182">
        <v>0.5</v>
      </c>
      <c r="Z182">
        <v>0</v>
      </c>
      <c r="AA182">
        <v>0</v>
      </c>
      <c r="AB182">
        <v>0.01</v>
      </c>
      <c r="AC182">
        <v>8.0500000000000007</v>
      </c>
      <c r="AD182">
        <v>29.58</v>
      </c>
      <c r="AE182">
        <v>7.3</v>
      </c>
      <c r="AF182">
        <v>0</v>
      </c>
      <c r="AG182">
        <v>9.48</v>
      </c>
      <c r="AH182">
        <v>43.82</v>
      </c>
      <c r="AI182">
        <v>3.56</v>
      </c>
      <c r="AJ182">
        <v>6.16</v>
      </c>
      <c r="AK182">
        <v>0</v>
      </c>
      <c r="AL182">
        <v>0</v>
      </c>
      <c r="AM182">
        <v>0.11</v>
      </c>
      <c r="AN182">
        <f t="shared" si="7"/>
        <v>5</v>
      </c>
      <c r="AO182" t="str">
        <f t="shared" si="8"/>
        <v>Thursday</v>
      </c>
    </row>
    <row r="183" spans="1:41" x14ac:dyDescent="0.2">
      <c r="A183" t="s">
        <v>41</v>
      </c>
      <c r="B183" s="1">
        <v>46002</v>
      </c>
      <c r="C183" s="1">
        <f t="shared" si="6"/>
        <v>46022</v>
      </c>
      <c r="D183">
        <v>69</v>
      </c>
      <c r="E183">
        <v>158</v>
      </c>
      <c r="F183">
        <v>10</v>
      </c>
      <c r="G183">
        <v>17</v>
      </c>
      <c r="H183">
        <v>15</v>
      </c>
      <c r="I183">
        <v>0</v>
      </c>
      <c r="J183">
        <v>8</v>
      </c>
      <c r="K183">
        <v>81</v>
      </c>
      <c r="L183" t="s">
        <v>41</v>
      </c>
      <c r="M183" t="s">
        <v>38</v>
      </c>
      <c r="N183" s="1">
        <v>46002</v>
      </c>
      <c r="O183" s="2">
        <v>0.58324074074074073</v>
      </c>
      <c r="P183" s="2">
        <v>0.95765046296296297</v>
      </c>
      <c r="Q183">
        <v>9</v>
      </c>
      <c r="R183">
        <v>8.98</v>
      </c>
      <c r="S183">
        <v>2.33</v>
      </c>
      <c r="T183">
        <v>0.28000000000000003</v>
      </c>
      <c r="U183">
        <v>0</v>
      </c>
      <c r="V183">
        <v>0.44</v>
      </c>
      <c r="W183">
        <v>4.07</v>
      </c>
      <c r="X183">
        <v>1.44</v>
      </c>
      <c r="Y183">
        <v>0.43</v>
      </c>
      <c r="Z183">
        <v>0</v>
      </c>
      <c r="AA183">
        <v>0</v>
      </c>
      <c r="AB183">
        <v>0</v>
      </c>
      <c r="AC183">
        <v>8.98</v>
      </c>
      <c r="AD183">
        <v>25.91</v>
      </c>
      <c r="AE183">
        <v>3.09</v>
      </c>
      <c r="AF183">
        <v>0</v>
      </c>
      <c r="AG183">
        <v>4.8600000000000003</v>
      </c>
      <c r="AH183">
        <v>45.29</v>
      </c>
      <c r="AI183">
        <v>16.010000000000002</v>
      </c>
      <c r="AJ183">
        <v>4.8</v>
      </c>
      <c r="AK183">
        <v>0</v>
      </c>
      <c r="AL183">
        <v>0</v>
      </c>
      <c r="AM183">
        <v>0.05</v>
      </c>
      <c r="AN183">
        <f t="shared" si="7"/>
        <v>5</v>
      </c>
      <c r="AO183" t="str">
        <f t="shared" si="8"/>
        <v>Thursday</v>
      </c>
    </row>
    <row r="184" spans="1:41" x14ac:dyDescent="0.2">
      <c r="A184" t="s">
        <v>43</v>
      </c>
      <c r="B184" s="1">
        <v>46002</v>
      </c>
      <c r="C184" s="1">
        <f t="shared" si="6"/>
        <v>46022</v>
      </c>
      <c r="D184">
        <v>64</v>
      </c>
      <c r="E184">
        <v>178</v>
      </c>
      <c r="F184">
        <v>13</v>
      </c>
      <c r="G184">
        <v>9</v>
      </c>
      <c r="H184">
        <v>9</v>
      </c>
      <c r="I184">
        <v>0</v>
      </c>
      <c r="J184">
        <v>4</v>
      </c>
      <c r="K184">
        <v>87</v>
      </c>
      <c r="L184" t="s">
        <v>43</v>
      </c>
      <c r="M184" t="s">
        <v>38</v>
      </c>
      <c r="N184" s="1">
        <v>46002</v>
      </c>
      <c r="O184" s="2">
        <v>0.58760416666666671</v>
      </c>
      <c r="P184" s="2">
        <v>0.96121527777777782</v>
      </c>
      <c r="Q184">
        <v>8.9700000000000006</v>
      </c>
      <c r="R184">
        <v>8.9700000000000006</v>
      </c>
      <c r="S184">
        <v>2.91</v>
      </c>
      <c r="T184">
        <v>0.37</v>
      </c>
      <c r="U184">
        <v>0</v>
      </c>
      <c r="V184">
        <v>0.55000000000000004</v>
      </c>
      <c r="W184">
        <v>3.29</v>
      </c>
      <c r="X184">
        <v>1.31</v>
      </c>
      <c r="Y184">
        <v>0.53</v>
      </c>
      <c r="Z184">
        <v>0</v>
      </c>
      <c r="AA184">
        <v>0</v>
      </c>
      <c r="AB184">
        <v>0</v>
      </c>
      <c r="AC184">
        <v>8.9700000000000006</v>
      </c>
      <c r="AD184">
        <v>32.51</v>
      </c>
      <c r="AE184">
        <v>4.1399999999999997</v>
      </c>
      <c r="AF184">
        <v>0</v>
      </c>
      <c r="AG184">
        <v>6.09</v>
      </c>
      <c r="AH184">
        <v>36.74</v>
      </c>
      <c r="AI184">
        <v>14.56</v>
      </c>
      <c r="AJ184">
        <v>5.93</v>
      </c>
      <c r="AK184">
        <v>0</v>
      </c>
      <c r="AL184">
        <v>0</v>
      </c>
      <c r="AM184">
        <v>0.04</v>
      </c>
      <c r="AN184">
        <f t="shared" si="7"/>
        <v>5</v>
      </c>
      <c r="AO184" t="str">
        <f t="shared" si="8"/>
        <v>Thursday</v>
      </c>
    </row>
    <row r="185" spans="1:41" x14ac:dyDescent="0.2">
      <c r="B185" s="1">
        <v>46002</v>
      </c>
      <c r="C185" s="1">
        <f t="shared" si="6"/>
        <v>46022</v>
      </c>
      <c r="D185">
        <v>1104</v>
      </c>
      <c r="E185">
        <v>0</v>
      </c>
      <c r="F185">
        <v>0</v>
      </c>
      <c r="G185">
        <v>0</v>
      </c>
      <c r="H185">
        <v>0</v>
      </c>
      <c r="I185">
        <v>0</v>
      </c>
      <c r="J185">
        <v>0</v>
      </c>
      <c r="K185">
        <v>0</v>
      </c>
      <c r="AN185">
        <f t="shared" si="7"/>
        <v>5</v>
      </c>
      <c r="AO185" t="str">
        <f t="shared" si="8"/>
        <v>Thursday</v>
      </c>
    </row>
    <row r="186" spans="1:41" x14ac:dyDescent="0.2">
      <c r="A186" t="s">
        <v>37</v>
      </c>
      <c r="B186" s="1">
        <v>46001</v>
      </c>
      <c r="C186" s="1">
        <f t="shared" si="6"/>
        <v>46022</v>
      </c>
      <c r="D186">
        <v>49</v>
      </c>
      <c r="E186">
        <v>117</v>
      </c>
      <c r="F186">
        <v>9</v>
      </c>
      <c r="G186">
        <v>8</v>
      </c>
      <c r="H186">
        <v>18</v>
      </c>
      <c r="I186">
        <v>0</v>
      </c>
      <c r="J186">
        <v>1</v>
      </c>
      <c r="K186">
        <v>54</v>
      </c>
      <c r="L186" t="s">
        <v>37</v>
      </c>
      <c r="M186" t="s">
        <v>38</v>
      </c>
      <c r="N186" s="1">
        <v>46001</v>
      </c>
      <c r="O186" s="2">
        <v>0.58318287037037042</v>
      </c>
      <c r="P186" s="2">
        <v>0.95837962962962964</v>
      </c>
      <c r="Q186">
        <v>9.02</v>
      </c>
      <c r="R186">
        <v>8</v>
      </c>
      <c r="S186">
        <v>2.36</v>
      </c>
      <c r="T186">
        <v>0.35</v>
      </c>
      <c r="U186">
        <v>0</v>
      </c>
      <c r="V186">
        <v>0.69</v>
      </c>
      <c r="W186">
        <v>3.61</v>
      </c>
      <c r="X186">
        <v>0.24</v>
      </c>
      <c r="Y186">
        <v>0.73</v>
      </c>
      <c r="Z186">
        <v>0</v>
      </c>
      <c r="AA186">
        <v>0</v>
      </c>
      <c r="AB186">
        <v>0.03</v>
      </c>
      <c r="AC186">
        <v>8</v>
      </c>
      <c r="AD186">
        <v>29.52</v>
      </c>
      <c r="AE186">
        <v>4.34</v>
      </c>
      <c r="AF186">
        <v>0</v>
      </c>
      <c r="AG186">
        <v>8.58</v>
      </c>
      <c r="AH186">
        <v>45.13</v>
      </c>
      <c r="AI186">
        <v>2.96</v>
      </c>
      <c r="AJ186">
        <v>9.09</v>
      </c>
      <c r="AK186">
        <v>0</v>
      </c>
      <c r="AL186">
        <v>0</v>
      </c>
      <c r="AM186">
        <v>0.37</v>
      </c>
      <c r="AN186">
        <f t="shared" si="7"/>
        <v>4</v>
      </c>
      <c r="AO186" t="str">
        <f t="shared" si="8"/>
        <v>Wednesday</v>
      </c>
    </row>
    <row r="187" spans="1:41" x14ac:dyDescent="0.2">
      <c r="A187" t="s">
        <v>39</v>
      </c>
      <c r="B187" s="1">
        <v>46001</v>
      </c>
      <c r="C187" s="1">
        <f t="shared" si="6"/>
        <v>46022</v>
      </c>
      <c r="D187">
        <v>52</v>
      </c>
      <c r="E187">
        <v>130</v>
      </c>
      <c r="F187">
        <v>15</v>
      </c>
      <c r="G187">
        <v>5</v>
      </c>
      <c r="H187">
        <v>14</v>
      </c>
      <c r="I187">
        <v>4</v>
      </c>
      <c r="J187">
        <v>1</v>
      </c>
      <c r="K187">
        <v>66</v>
      </c>
      <c r="L187" t="s">
        <v>39</v>
      </c>
      <c r="M187" t="s">
        <v>38</v>
      </c>
      <c r="N187" s="1">
        <v>46001</v>
      </c>
      <c r="O187" s="2">
        <v>0.58348379629629632</v>
      </c>
      <c r="P187" s="2">
        <v>0.95969907407407407</v>
      </c>
      <c r="Q187">
        <v>9.02</v>
      </c>
      <c r="R187">
        <v>8.92</v>
      </c>
      <c r="S187">
        <v>2.5099999999999998</v>
      </c>
      <c r="T187">
        <v>0.13</v>
      </c>
      <c r="U187">
        <v>0</v>
      </c>
      <c r="V187">
        <v>0.09</v>
      </c>
      <c r="W187">
        <v>4.28</v>
      </c>
      <c r="X187">
        <v>1.49</v>
      </c>
      <c r="Y187">
        <v>0.41</v>
      </c>
      <c r="Z187">
        <v>0</v>
      </c>
      <c r="AA187">
        <v>0</v>
      </c>
      <c r="AB187">
        <v>0.01</v>
      </c>
      <c r="AC187">
        <v>8.92</v>
      </c>
      <c r="AD187">
        <v>28.13</v>
      </c>
      <c r="AE187">
        <v>1.44</v>
      </c>
      <c r="AF187">
        <v>0</v>
      </c>
      <c r="AG187">
        <v>1.06</v>
      </c>
      <c r="AH187">
        <v>48</v>
      </c>
      <c r="AI187">
        <v>16.690000000000001</v>
      </c>
      <c r="AJ187">
        <v>4.59</v>
      </c>
      <c r="AK187">
        <v>0</v>
      </c>
      <c r="AL187">
        <v>0</v>
      </c>
      <c r="AM187">
        <v>0.1</v>
      </c>
      <c r="AN187">
        <f t="shared" si="7"/>
        <v>4</v>
      </c>
      <c r="AO187" t="str">
        <f t="shared" si="8"/>
        <v>Wednesday</v>
      </c>
    </row>
    <row r="188" spans="1:41" x14ac:dyDescent="0.2">
      <c r="A188" t="s">
        <v>41</v>
      </c>
      <c r="B188" s="1">
        <v>46001</v>
      </c>
      <c r="C188" s="1">
        <f t="shared" si="6"/>
        <v>46022</v>
      </c>
      <c r="D188">
        <v>63</v>
      </c>
      <c r="E188">
        <v>157</v>
      </c>
      <c r="F188">
        <v>0</v>
      </c>
      <c r="G188">
        <v>18</v>
      </c>
      <c r="H188">
        <v>13</v>
      </c>
      <c r="I188">
        <v>1</v>
      </c>
      <c r="J188">
        <v>2</v>
      </c>
      <c r="K188">
        <v>89</v>
      </c>
      <c r="L188" t="s">
        <v>41</v>
      </c>
      <c r="M188" t="s">
        <v>38</v>
      </c>
      <c r="N188" s="1">
        <v>46001</v>
      </c>
      <c r="O188" s="2">
        <v>0.58346064814814813</v>
      </c>
      <c r="P188" s="2">
        <v>0.95712962962962966</v>
      </c>
      <c r="Q188">
        <v>8.9700000000000006</v>
      </c>
      <c r="R188">
        <v>8.9499999999999993</v>
      </c>
      <c r="S188">
        <v>2.0299999999999998</v>
      </c>
      <c r="T188">
        <v>0.22</v>
      </c>
      <c r="U188">
        <v>0</v>
      </c>
      <c r="V188">
        <v>0.41</v>
      </c>
      <c r="W188">
        <v>4.8</v>
      </c>
      <c r="X188">
        <v>1.49</v>
      </c>
      <c r="Y188">
        <v>0</v>
      </c>
      <c r="Z188">
        <v>0</v>
      </c>
      <c r="AA188">
        <v>0</v>
      </c>
      <c r="AB188">
        <v>0.01</v>
      </c>
      <c r="AC188">
        <v>8.9499999999999993</v>
      </c>
      <c r="AD188">
        <v>22.66</v>
      </c>
      <c r="AE188">
        <v>2.4300000000000002</v>
      </c>
      <c r="AF188">
        <v>0</v>
      </c>
      <c r="AG188">
        <v>4.54</v>
      </c>
      <c r="AH188">
        <v>53.59</v>
      </c>
      <c r="AI188">
        <v>16.7</v>
      </c>
      <c r="AJ188">
        <v>0</v>
      </c>
      <c r="AK188">
        <v>0</v>
      </c>
      <c r="AL188">
        <v>0</v>
      </c>
      <c r="AM188">
        <v>0.08</v>
      </c>
      <c r="AN188">
        <f t="shared" si="7"/>
        <v>4</v>
      </c>
      <c r="AO188" t="str">
        <f t="shared" si="8"/>
        <v>Wednesday</v>
      </c>
    </row>
    <row r="189" spans="1:41" x14ac:dyDescent="0.2">
      <c r="A189" t="s">
        <v>43</v>
      </c>
      <c r="B189" s="1">
        <v>46001</v>
      </c>
      <c r="C189" s="1">
        <f t="shared" si="6"/>
        <v>46022</v>
      </c>
      <c r="D189">
        <v>51</v>
      </c>
      <c r="E189">
        <v>141</v>
      </c>
      <c r="F189">
        <v>5</v>
      </c>
      <c r="G189">
        <v>5</v>
      </c>
      <c r="H189">
        <v>7</v>
      </c>
      <c r="I189">
        <v>2</v>
      </c>
      <c r="J189">
        <v>0</v>
      </c>
      <c r="K189">
        <v>67</v>
      </c>
      <c r="L189" t="s">
        <v>43</v>
      </c>
      <c r="M189" t="s">
        <v>38</v>
      </c>
      <c r="N189" s="1">
        <v>46001</v>
      </c>
      <c r="O189" s="2">
        <v>0.58363425925925927</v>
      </c>
      <c r="P189" s="2">
        <v>0.95946759259259262</v>
      </c>
      <c r="Q189">
        <v>9.02</v>
      </c>
      <c r="R189">
        <v>9.02</v>
      </c>
      <c r="S189">
        <v>2.09</v>
      </c>
      <c r="T189">
        <v>0.33</v>
      </c>
      <c r="U189">
        <v>0</v>
      </c>
      <c r="V189">
        <v>0.73</v>
      </c>
      <c r="W189">
        <v>3.65</v>
      </c>
      <c r="X189">
        <v>1.45</v>
      </c>
      <c r="Y189">
        <v>0.77</v>
      </c>
      <c r="Z189">
        <v>0</v>
      </c>
      <c r="AA189">
        <v>0</v>
      </c>
      <c r="AB189">
        <v>0</v>
      </c>
      <c r="AC189">
        <v>9.02</v>
      </c>
      <c r="AD189">
        <v>23.18</v>
      </c>
      <c r="AE189">
        <v>3.62</v>
      </c>
      <c r="AF189">
        <v>0</v>
      </c>
      <c r="AG189">
        <v>8.1199999999999992</v>
      </c>
      <c r="AH189">
        <v>40.450000000000003</v>
      </c>
      <c r="AI189">
        <v>16.09</v>
      </c>
      <c r="AJ189">
        <v>8.51</v>
      </c>
      <c r="AK189">
        <v>0</v>
      </c>
      <c r="AL189">
        <v>0</v>
      </c>
      <c r="AM189">
        <v>0.03</v>
      </c>
      <c r="AN189">
        <f t="shared" si="7"/>
        <v>4</v>
      </c>
      <c r="AO189" t="str">
        <f t="shared" si="8"/>
        <v>Wednesday</v>
      </c>
    </row>
    <row r="190" spans="1:41" x14ac:dyDescent="0.2">
      <c r="B190" s="1">
        <v>46001</v>
      </c>
      <c r="C190" s="1">
        <f t="shared" si="6"/>
        <v>46022</v>
      </c>
      <c r="D190">
        <v>1086</v>
      </c>
      <c r="E190">
        <v>0</v>
      </c>
      <c r="F190">
        <v>0</v>
      </c>
      <c r="G190">
        <v>0</v>
      </c>
      <c r="H190">
        <v>0</v>
      </c>
      <c r="I190">
        <v>0</v>
      </c>
      <c r="J190">
        <v>0</v>
      </c>
      <c r="K190">
        <v>0</v>
      </c>
      <c r="AN190">
        <f t="shared" si="7"/>
        <v>4</v>
      </c>
      <c r="AO190" t="str">
        <f t="shared" si="8"/>
        <v>Wednesday</v>
      </c>
    </row>
    <row r="191" spans="1:41" x14ac:dyDescent="0.2">
      <c r="A191" t="s">
        <v>37</v>
      </c>
      <c r="B191" s="1">
        <v>46000</v>
      </c>
      <c r="C191" s="1">
        <f t="shared" si="6"/>
        <v>46022</v>
      </c>
      <c r="D191">
        <v>52</v>
      </c>
      <c r="E191">
        <v>124</v>
      </c>
      <c r="F191">
        <v>7</v>
      </c>
      <c r="G191">
        <v>11</v>
      </c>
      <c r="H191">
        <v>12</v>
      </c>
      <c r="I191">
        <v>0</v>
      </c>
      <c r="J191">
        <v>1</v>
      </c>
      <c r="K191">
        <v>57</v>
      </c>
      <c r="L191" t="s">
        <v>37</v>
      </c>
      <c r="M191" t="s">
        <v>38</v>
      </c>
      <c r="N191" s="1">
        <v>46000</v>
      </c>
      <c r="O191" s="2">
        <v>0.58420138888888884</v>
      </c>
      <c r="P191" s="2">
        <v>0.95843750000000005</v>
      </c>
      <c r="Q191">
        <v>8.98</v>
      </c>
      <c r="R191">
        <v>8.07</v>
      </c>
      <c r="S191">
        <v>2.57</v>
      </c>
      <c r="T191">
        <v>0.46</v>
      </c>
      <c r="U191">
        <v>0</v>
      </c>
      <c r="V191">
        <v>0.82</v>
      </c>
      <c r="W191">
        <v>3.57</v>
      </c>
      <c r="X191">
        <v>0.62</v>
      </c>
      <c r="Y191">
        <v>0</v>
      </c>
      <c r="Z191">
        <v>0</v>
      </c>
      <c r="AA191">
        <v>0</v>
      </c>
      <c r="AB191">
        <v>0.03</v>
      </c>
      <c r="AC191">
        <v>8.07</v>
      </c>
      <c r="AD191">
        <v>31.81</v>
      </c>
      <c r="AE191">
        <v>5.7</v>
      </c>
      <c r="AF191">
        <v>0</v>
      </c>
      <c r="AG191">
        <v>10.14</v>
      </c>
      <c r="AH191">
        <v>44.3</v>
      </c>
      <c r="AI191">
        <v>7.72</v>
      </c>
      <c r="AJ191">
        <v>0</v>
      </c>
      <c r="AK191">
        <v>0</v>
      </c>
      <c r="AL191">
        <v>0</v>
      </c>
      <c r="AM191">
        <v>0.32</v>
      </c>
      <c r="AN191">
        <f t="shared" si="7"/>
        <v>3</v>
      </c>
      <c r="AO191" t="str">
        <f t="shared" si="8"/>
        <v>Tuesday</v>
      </c>
    </row>
    <row r="192" spans="1:41" x14ac:dyDescent="0.2">
      <c r="A192" t="s">
        <v>39</v>
      </c>
      <c r="B192" s="1">
        <v>46000</v>
      </c>
      <c r="C192" s="1">
        <f t="shared" si="6"/>
        <v>46022</v>
      </c>
      <c r="D192">
        <v>53</v>
      </c>
      <c r="E192">
        <v>139</v>
      </c>
      <c r="F192">
        <v>11</v>
      </c>
      <c r="G192">
        <v>4</v>
      </c>
      <c r="H192">
        <v>5</v>
      </c>
      <c r="I192">
        <v>3</v>
      </c>
      <c r="J192">
        <v>0</v>
      </c>
      <c r="K192">
        <v>72</v>
      </c>
      <c r="L192" t="s">
        <v>39</v>
      </c>
      <c r="M192" t="s">
        <v>38</v>
      </c>
      <c r="N192" s="1">
        <v>46000</v>
      </c>
      <c r="O192" s="2">
        <v>0.58355324074074078</v>
      </c>
      <c r="P192" s="2">
        <v>0.94798611111111108</v>
      </c>
      <c r="Q192">
        <v>8.75</v>
      </c>
      <c r="R192">
        <v>8.43</v>
      </c>
      <c r="S192">
        <v>2.5</v>
      </c>
      <c r="T192">
        <v>0.26</v>
      </c>
      <c r="U192">
        <v>0</v>
      </c>
      <c r="V192">
        <v>0.13</v>
      </c>
      <c r="W192">
        <v>3.83</v>
      </c>
      <c r="X192">
        <v>1.38</v>
      </c>
      <c r="Y192">
        <v>0.31</v>
      </c>
      <c r="Z192">
        <v>0</v>
      </c>
      <c r="AA192">
        <v>0</v>
      </c>
      <c r="AB192">
        <v>0.03</v>
      </c>
      <c r="AC192">
        <v>8.43</v>
      </c>
      <c r="AD192">
        <v>29.62</v>
      </c>
      <c r="AE192">
        <v>3.09</v>
      </c>
      <c r="AF192">
        <v>0</v>
      </c>
      <c r="AG192">
        <v>1.55</v>
      </c>
      <c r="AH192">
        <v>45.47</v>
      </c>
      <c r="AI192">
        <v>16.3</v>
      </c>
      <c r="AJ192">
        <v>3.66</v>
      </c>
      <c r="AK192">
        <v>0</v>
      </c>
      <c r="AL192">
        <v>0</v>
      </c>
      <c r="AM192">
        <v>0.31</v>
      </c>
      <c r="AN192">
        <f t="shared" si="7"/>
        <v>3</v>
      </c>
      <c r="AO192" t="str">
        <f t="shared" si="8"/>
        <v>Tuesday</v>
      </c>
    </row>
    <row r="193" spans="1:41" x14ac:dyDescent="0.2">
      <c r="A193" t="s">
        <v>40</v>
      </c>
      <c r="B193" s="1">
        <v>46000</v>
      </c>
      <c r="C193" s="1">
        <f t="shared" si="6"/>
        <v>46022</v>
      </c>
      <c r="D193">
        <v>46</v>
      </c>
      <c r="E193">
        <v>123</v>
      </c>
      <c r="F193">
        <v>19</v>
      </c>
      <c r="G193">
        <v>1</v>
      </c>
      <c r="H193">
        <v>14</v>
      </c>
      <c r="I193">
        <v>0</v>
      </c>
      <c r="J193">
        <v>1</v>
      </c>
      <c r="K193">
        <v>63</v>
      </c>
      <c r="L193" t="s">
        <v>40</v>
      </c>
      <c r="M193" t="s">
        <v>38</v>
      </c>
      <c r="N193" s="1">
        <v>46000</v>
      </c>
      <c r="O193" s="2">
        <v>0.58704861111111106</v>
      </c>
      <c r="P193" s="2">
        <v>0.94793981481481482</v>
      </c>
      <c r="Q193">
        <v>8.67</v>
      </c>
      <c r="R193">
        <v>7.98</v>
      </c>
      <c r="S193">
        <v>1.7</v>
      </c>
      <c r="T193">
        <v>0.7</v>
      </c>
      <c r="U193">
        <v>0</v>
      </c>
      <c r="V193">
        <v>0.7</v>
      </c>
      <c r="W193">
        <v>3.28</v>
      </c>
      <c r="X193">
        <v>1.51</v>
      </c>
      <c r="Y193">
        <v>0.09</v>
      </c>
      <c r="Z193">
        <v>0</v>
      </c>
      <c r="AA193">
        <v>0</v>
      </c>
      <c r="AB193">
        <v>0.01</v>
      </c>
      <c r="AC193">
        <v>7.98</v>
      </c>
      <c r="AD193">
        <v>21.27</v>
      </c>
      <c r="AE193">
        <v>8.76</v>
      </c>
      <c r="AF193">
        <v>0</v>
      </c>
      <c r="AG193">
        <v>8.7200000000000006</v>
      </c>
      <c r="AH193">
        <v>41.07</v>
      </c>
      <c r="AI193">
        <v>18.920000000000002</v>
      </c>
      <c r="AJ193">
        <v>1.18</v>
      </c>
      <c r="AK193">
        <v>0</v>
      </c>
      <c r="AL193">
        <v>0</v>
      </c>
      <c r="AM193">
        <v>7.0000000000000007E-2</v>
      </c>
      <c r="AN193">
        <f t="shared" si="7"/>
        <v>3</v>
      </c>
      <c r="AO193" t="str">
        <f t="shared" si="8"/>
        <v>Tuesday</v>
      </c>
    </row>
    <row r="194" spans="1:41" x14ac:dyDescent="0.2">
      <c r="A194" t="s">
        <v>41</v>
      </c>
      <c r="B194" s="1">
        <v>46000</v>
      </c>
      <c r="C194" s="1">
        <f t="shared" si="6"/>
        <v>46022</v>
      </c>
      <c r="D194">
        <v>61</v>
      </c>
      <c r="E194">
        <v>153</v>
      </c>
      <c r="F194">
        <v>10</v>
      </c>
      <c r="G194">
        <v>5</v>
      </c>
      <c r="H194">
        <v>19</v>
      </c>
      <c r="I194">
        <v>0</v>
      </c>
      <c r="J194">
        <v>5</v>
      </c>
      <c r="K194">
        <v>79</v>
      </c>
      <c r="L194" t="s">
        <v>41</v>
      </c>
      <c r="M194" t="s">
        <v>38</v>
      </c>
      <c r="N194" s="1">
        <v>46000</v>
      </c>
      <c r="O194" s="2">
        <v>0.58373842592592595</v>
      </c>
      <c r="P194" s="2">
        <v>0.95767361111111116</v>
      </c>
      <c r="Q194">
        <v>8.98</v>
      </c>
      <c r="R194">
        <v>7.56</v>
      </c>
      <c r="S194">
        <v>2.1</v>
      </c>
      <c r="T194">
        <v>0.37</v>
      </c>
      <c r="U194">
        <v>0</v>
      </c>
      <c r="V194">
        <v>0.45</v>
      </c>
      <c r="W194">
        <v>3.66</v>
      </c>
      <c r="X194">
        <v>0.97</v>
      </c>
      <c r="Y194">
        <v>0</v>
      </c>
      <c r="Z194">
        <v>0</v>
      </c>
      <c r="AA194">
        <v>0</v>
      </c>
      <c r="AB194">
        <v>0.01</v>
      </c>
      <c r="AC194">
        <v>7.56</v>
      </c>
      <c r="AD194">
        <v>27.82</v>
      </c>
      <c r="AE194">
        <v>4.91</v>
      </c>
      <c r="AF194">
        <v>0</v>
      </c>
      <c r="AG194">
        <v>5.95</v>
      </c>
      <c r="AH194">
        <v>48.36</v>
      </c>
      <c r="AI194">
        <v>12.84</v>
      </c>
      <c r="AJ194">
        <v>0</v>
      </c>
      <c r="AK194">
        <v>0</v>
      </c>
      <c r="AL194">
        <v>0</v>
      </c>
      <c r="AM194">
        <v>0.13</v>
      </c>
      <c r="AN194">
        <f t="shared" si="7"/>
        <v>3</v>
      </c>
      <c r="AO194" t="str">
        <f t="shared" si="8"/>
        <v>Tuesday</v>
      </c>
    </row>
    <row r="195" spans="1:41" x14ac:dyDescent="0.2">
      <c r="A195" t="s">
        <v>44</v>
      </c>
      <c r="B195" s="1">
        <v>46000</v>
      </c>
      <c r="C195" s="1">
        <f t="shared" ref="C195:C258" si="9">EOMONTH(B195,0)</f>
        <v>46022</v>
      </c>
      <c r="D195">
        <v>1</v>
      </c>
      <c r="E195">
        <v>1</v>
      </c>
      <c r="F195">
        <v>0</v>
      </c>
      <c r="G195">
        <v>0</v>
      </c>
      <c r="H195">
        <v>0</v>
      </c>
      <c r="I195">
        <v>0</v>
      </c>
      <c r="J195">
        <v>0</v>
      </c>
      <c r="K195">
        <v>0</v>
      </c>
      <c r="AN195">
        <f t="shared" ref="AN195:AN258" si="10">WEEKDAY(B195,1)</f>
        <v>3</v>
      </c>
      <c r="AO195" t="str">
        <f t="shared" ref="AO195:AO258" si="11">VLOOKUP(AN195,$AY$2:$AZ$8,2,FALSE)</f>
        <v>Tuesday</v>
      </c>
    </row>
    <row r="196" spans="1:41" x14ac:dyDescent="0.2">
      <c r="A196" t="s">
        <v>43</v>
      </c>
      <c r="B196" s="1">
        <v>46000</v>
      </c>
      <c r="C196" s="1">
        <f t="shared" si="9"/>
        <v>46022</v>
      </c>
      <c r="D196">
        <v>57</v>
      </c>
      <c r="E196">
        <v>174</v>
      </c>
      <c r="F196">
        <v>10</v>
      </c>
      <c r="G196">
        <v>10</v>
      </c>
      <c r="H196">
        <v>9</v>
      </c>
      <c r="I196">
        <v>3</v>
      </c>
      <c r="J196">
        <v>0</v>
      </c>
      <c r="K196">
        <v>79</v>
      </c>
      <c r="L196" t="s">
        <v>43</v>
      </c>
      <c r="M196" t="s">
        <v>38</v>
      </c>
      <c r="N196" s="1">
        <v>46000</v>
      </c>
      <c r="O196" s="2">
        <v>0.58550925925925923</v>
      </c>
      <c r="P196" s="2">
        <v>0.96217592592592593</v>
      </c>
      <c r="Q196">
        <v>9.0299999999999994</v>
      </c>
      <c r="R196">
        <v>9.0399999999999991</v>
      </c>
      <c r="S196">
        <v>3.02</v>
      </c>
      <c r="T196">
        <v>0.23</v>
      </c>
      <c r="U196">
        <v>0</v>
      </c>
      <c r="V196">
        <v>0.53</v>
      </c>
      <c r="W196">
        <v>2.77</v>
      </c>
      <c r="X196">
        <v>1.47</v>
      </c>
      <c r="Y196">
        <v>1.03</v>
      </c>
      <c r="Z196">
        <v>0</v>
      </c>
      <c r="AA196">
        <v>0</v>
      </c>
      <c r="AB196">
        <v>0</v>
      </c>
      <c r="AC196">
        <v>9.0399999999999991</v>
      </c>
      <c r="AD196">
        <v>33.39</v>
      </c>
      <c r="AE196">
        <v>2.52</v>
      </c>
      <c r="AF196">
        <v>0</v>
      </c>
      <c r="AG196">
        <v>5.82</v>
      </c>
      <c r="AH196">
        <v>30.61</v>
      </c>
      <c r="AI196">
        <v>16.260000000000002</v>
      </c>
      <c r="AJ196">
        <v>11.38</v>
      </c>
      <c r="AK196">
        <v>0</v>
      </c>
      <c r="AL196">
        <v>0</v>
      </c>
      <c r="AM196">
        <v>0.03</v>
      </c>
      <c r="AN196">
        <f t="shared" si="10"/>
        <v>3</v>
      </c>
      <c r="AO196" t="str">
        <f t="shared" si="11"/>
        <v>Tuesday</v>
      </c>
    </row>
    <row r="197" spans="1:41" x14ac:dyDescent="0.2">
      <c r="A197" t="s">
        <v>46</v>
      </c>
      <c r="B197" s="1">
        <v>46000</v>
      </c>
      <c r="C197" s="1">
        <f t="shared" si="9"/>
        <v>46022</v>
      </c>
      <c r="D197">
        <v>1</v>
      </c>
      <c r="E197">
        <v>3</v>
      </c>
      <c r="F197">
        <v>1</v>
      </c>
      <c r="G197">
        <v>0</v>
      </c>
      <c r="H197">
        <v>1</v>
      </c>
      <c r="I197">
        <v>0</v>
      </c>
      <c r="J197">
        <v>0</v>
      </c>
      <c r="K197">
        <v>0</v>
      </c>
      <c r="AN197">
        <f t="shared" si="10"/>
        <v>3</v>
      </c>
      <c r="AO197" t="str">
        <f t="shared" si="11"/>
        <v>Tuesday</v>
      </c>
    </row>
    <row r="198" spans="1:41" x14ac:dyDescent="0.2">
      <c r="B198" s="1">
        <v>46000</v>
      </c>
      <c r="C198" s="1">
        <f t="shared" si="9"/>
        <v>46022</v>
      </c>
      <c r="D198">
        <v>1196</v>
      </c>
      <c r="E198">
        <v>0</v>
      </c>
      <c r="F198">
        <v>0</v>
      </c>
      <c r="G198">
        <v>0</v>
      </c>
      <c r="H198">
        <v>0</v>
      </c>
      <c r="I198">
        <v>0</v>
      </c>
      <c r="J198">
        <v>0</v>
      </c>
      <c r="K198">
        <v>0</v>
      </c>
      <c r="AN198">
        <f t="shared" si="10"/>
        <v>3</v>
      </c>
      <c r="AO198" t="str">
        <f t="shared" si="11"/>
        <v>Tuesday</v>
      </c>
    </row>
    <row r="199" spans="1:41" x14ac:dyDescent="0.2">
      <c r="A199" t="s">
        <v>37</v>
      </c>
      <c r="B199" s="1">
        <v>45999</v>
      </c>
      <c r="C199" s="1">
        <f t="shared" si="9"/>
        <v>46022</v>
      </c>
      <c r="D199">
        <v>47</v>
      </c>
      <c r="E199">
        <v>98</v>
      </c>
      <c r="F199">
        <v>10</v>
      </c>
      <c r="G199">
        <v>8</v>
      </c>
      <c r="H199">
        <v>9</v>
      </c>
      <c r="I199">
        <v>2</v>
      </c>
      <c r="J199">
        <v>1</v>
      </c>
      <c r="K199">
        <v>39</v>
      </c>
      <c r="L199" t="s">
        <v>37</v>
      </c>
      <c r="M199" t="s">
        <v>38</v>
      </c>
      <c r="N199" s="1">
        <v>45999</v>
      </c>
      <c r="O199" s="2">
        <v>0.58364583333333331</v>
      </c>
      <c r="P199" s="2">
        <v>0.9586689814814815</v>
      </c>
      <c r="Q199">
        <v>9</v>
      </c>
      <c r="R199">
        <v>8.6999999999999993</v>
      </c>
      <c r="S199">
        <v>3.13</v>
      </c>
      <c r="T199">
        <v>0.51</v>
      </c>
      <c r="U199">
        <v>0</v>
      </c>
      <c r="V199">
        <v>0.56000000000000005</v>
      </c>
      <c r="W199">
        <v>3.46</v>
      </c>
      <c r="X199">
        <v>0.94</v>
      </c>
      <c r="Y199">
        <v>0</v>
      </c>
      <c r="Z199">
        <v>0</v>
      </c>
      <c r="AA199">
        <v>0.11</v>
      </c>
      <c r="AB199">
        <v>0.01</v>
      </c>
      <c r="AC199">
        <v>8.6999999999999993</v>
      </c>
      <c r="AD199">
        <v>35.97</v>
      </c>
      <c r="AE199">
        <v>5.82</v>
      </c>
      <c r="AF199">
        <v>0</v>
      </c>
      <c r="AG199">
        <v>6.42</v>
      </c>
      <c r="AH199">
        <v>39.71</v>
      </c>
      <c r="AI199">
        <v>10.75</v>
      </c>
      <c r="AJ199">
        <v>0</v>
      </c>
      <c r="AK199">
        <v>0</v>
      </c>
      <c r="AL199">
        <v>1.22</v>
      </c>
      <c r="AM199">
        <v>0.1</v>
      </c>
      <c r="AN199">
        <f t="shared" si="10"/>
        <v>2</v>
      </c>
      <c r="AO199" t="str">
        <f t="shared" si="11"/>
        <v>Monday</v>
      </c>
    </row>
    <row r="200" spans="1:41" x14ac:dyDescent="0.2">
      <c r="A200" t="s">
        <v>39</v>
      </c>
      <c r="B200" s="1">
        <v>45999</v>
      </c>
      <c r="C200" s="1">
        <f t="shared" si="9"/>
        <v>46022</v>
      </c>
      <c r="D200">
        <v>35</v>
      </c>
      <c r="E200">
        <v>92</v>
      </c>
      <c r="F200">
        <v>3</v>
      </c>
      <c r="G200">
        <v>11</v>
      </c>
      <c r="H200">
        <v>12</v>
      </c>
      <c r="I200">
        <v>0</v>
      </c>
      <c r="J200">
        <v>1</v>
      </c>
      <c r="K200">
        <v>35</v>
      </c>
      <c r="L200" t="s">
        <v>39</v>
      </c>
      <c r="M200" t="s">
        <v>38</v>
      </c>
      <c r="N200" s="1">
        <v>45999</v>
      </c>
      <c r="O200" s="2">
        <v>0.58355324074074078</v>
      </c>
      <c r="P200" s="2">
        <v>0.79173611111111108</v>
      </c>
      <c r="Q200">
        <v>5</v>
      </c>
      <c r="R200">
        <v>5</v>
      </c>
      <c r="S200">
        <v>2.27</v>
      </c>
      <c r="T200">
        <v>0.04</v>
      </c>
      <c r="U200">
        <v>0</v>
      </c>
      <c r="V200">
        <v>0.1</v>
      </c>
      <c r="W200">
        <v>2.34</v>
      </c>
      <c r="X200">
        <v>0.24</v>
      </c>
      <c r="Y200">
        <v>0</v>
      </c>
      <c r="Z200">
        <v>0</v>
      </c>
      <c r="AA200">
        <v>0</v>
      </c>
      <c r="AB200">
        <v>0.01</v>
      </c>
      <c r="AC200">
        <v>5</v>
      </c>
      <c r="AD200">
        <v>45.43</v>
      </c>
      <c r="AE200">
        <v>0.77</v>
      </c>
      <c r="AF200">
        <v>0</v>
      </c>
      <c r="AG200">
        <v>2.04</v>
      </c>
      <c r="AH200">
        <v>46.81</v>
      </c>
      <c r="AI200">
        <v>4.8</v>
      </c>
      <c r="AJ200">
        <v>0</v>
      </c>
      <c r="AK200">
        <v>0</v>
      </c>
      <c r="AL200">
        <v>0</v>
      </c>
      <c r="AM200">
        <v>0.16</v>
      </c>
      <c r="AN200">
        <f t="shared" si="10"/>
        <v>2</v>
      </c>
      <c r="AO200" t="str">
        <f t="shared" si="11"/>
        <v>Monday</v>
      </c>
    </row>
    <row r="201" spans="1:41" x14ac:dyDescent="0.2">
      <c r="A201" t="s">
        <v>40</v>
      </c>
      <c r="B201" s="1">
        <v>45999</v>
      </c>
      <c r="C201" s="1">
        <f t="shared" si="9"/>
        <v>46022</v>
      </c>
      <c r="D201">
        <v>36</v>
      </c>
      <c r="E201">
        <v>60</v>
      </c>
      <c r="F201">
        <v>6</v>
      </c>
      <c r="G201">
        <v>3</v>
      </c>
      <c r="H201">
        <v>8</v>
      </c>
      <c r="I201">
        <v>0</v>
      </c>
      <c r="J201">
        <v>0</v>
      </c>
      <c r="K201">
        <v>31</v>
      </c>
      <c r="L201" t="s">
        <v>40</v>
      </c>
      <c r="M201" t="s">
        <v>38</v>
      </c>
      <c r="N201" s="1">
        <v>45999</v>
      </c>
      <c r="O201" s="2">
        <v>0.70869212962962957</v>
      </c>
      <c r="P201" s="2">
        <v>0.95947916666666666</v>
      </c>
      <c r="Q201">
        <v>6.02</v>
      </c>
      <c r="R201">
        <v>6.02</v>
      </c>
      <c r="S201">
        <v>1.32</v>
      </c>
      <c r="T201">
        <v>0.46</v>
      </c>
      <c r="U201">
        <v>0</v>
      </c>
      <c r="V201">
        <v>0.25</v>
      </c>
      <c r="W201">
        <v>2.0099999999999998</v>
      </c>
      <c r="X201">
        <v>1.53</v>
      </c>
      <c r="Y201">
        <v>0.44</v>
      </c>
      <c r="Z201">
        <v>0</v>
      </c>
      <c r="AA201">
        <v>0</v>
      </c>
      <c r="AB201">
        <v>0</v>
      </c>
      <c r="AC201">
        <v>6.02</v>
      </c>
      <c r="AD201">
        <v>21.93</v>
      </c>
      <c r="AE201">
        <v>7.59</v>
      </c>
      <c r="AF201">
        <v>0</v>
      </c>
      <c r="AG201">
        <v>4.24</v>
      </c>
      <c r="AH201">
        <v>33.42</v>
      </c>
      <c r="AI201">
        <v>25.46</v>
      </c>
      <c r="AJ201">
        <v>7.31</v>
      </c>
      <c r="AK201">
        <v>0</v>
      </c>
      <c r="AL201">
        <v>0</v>
      </c>
      <c r="AM201">
        <v>0.05</v>
      </c>
      <c r="AN201">
        <f t="shared" si="10"/>
        <v>2</v>
      </c>
      <c r="AO201" t="str">
        <f t="shared" si="11"/>
        <v>Monday</v>
      </c>
    </row>
    <row r="202" spans="1:41" x14ac:dyDescent="0.2">
      <c r="A202" t="s">
        <v>43</v>
      </c>
      <c r="B202" s="1">
        <v>45999</v>
      </c>
      <c r="C202" s="1">
        <f t="shared" si="9"/>
        <v>46022</v>
      </c>
      <c r="D202">
        <v>59</v>
      </c>
      <c r="E202">
        <v>164</v>
      </c>
      <c r="F202">
        <v>12</v>
      </c>
      <c r="G202">
        <v>7</v>
      </c>
      <c r="H202">
        <v>19</v>
      </c>
      <c r="I202">
        <v>1</v>
      </c>
      <c r="J202">
        <v>0</v>
      </c>
      <c r="K202">
        <v>76</v>
      </c>
      <c r="L202" t="s">
        <v>43</v>
      </c>
      <c r="M202" t="s">
        <v>38</v>
      </c>
      <c r="N202" s="1">
        <v>45999</v>
      </c>
      <c r="O202" s="2">
        <v>0.58325231481481477</v>
      </c>
      <c r="P202" s="2">
        <v>0.96144675925925926</v>
      </c>
      <c r="Q202">
        <v>9.08</v>
      </c>
      <c r="R202">
        <v>9.08</v>
      </c>
      <c r="S202">
        <v>2.82</v>
      </c>
      <c r="T202">
        <v>0.38</v>
      </c>
      <c r="U202">
        <v>0</v>
      </c>
      <c r="V202">
        <v>0.43</v>
      </c>
      <c r="W202">
        <v>4.04</v>
      </c>
      <c r="X202">
        <v>1.41</v>
      </c>
      <c r="Y202">
        <v>0</v>
      </c>
      <c r="Z202">
        <v>0</v>
      </c>
      <c r="AA202">
        <v>0</v>
      </c>
      <c r="AB202">
        <v>0</v>
      </c>
      <c r="AC202">
        <v>9.08</v>
      </c>
      <c r="AD202">
        <v>31.03</v>
      </c>
      <c r="AE202">
        <v>4.17</v>
      </c>
      <c r="AF202">
        <v>0</v>
      </c>
      <c r="AG202">
        <v>4.79</v>
      </c>
      <c r="AH202">
        <v>44.48</v>
      </c>
      <c r="AI202">
        <v>15.5</v>
      </c>
      <c r="AJ202">
        <v>0</v>
      </c>
      <c r="AK202">
        <v>0</v>
      </c>
      <c r="AL202">
        <v>0</v>
      </c>
      <c r="AM202">
        <v>0.03</v>
      </c>
      <c r="AN202">
        <f t="shared" si="10"/>
        <v>2</v>
      </c>
      <c r="AO202" t="str">
        <f t="shared" si="11"/>
        <v>Monday</v>
      </c>
    </row>
    <row r="203" spans="1:41" x14ac:dyDescent="0.2">
      <c r="B203" s="1">
        <v>45999</v>
      </c>
      <c r="C203" s="1">
        <f t="shared" si="9"/>
        <v>46022</v>
      </c>
      <c r="D203">
        <v>1017</v>
      </c>
      <c r="E203">
        <v>0</v>
      </c>
      <c r="F203">
        <v>0</v>
      </c>
      <c r="G203">
        <v>0</v>
      </c>
      <c r="H203">
        <v>0</v>
      </c>
      <c r="I203">
        <v>0</v>
      </c>
      <c r="J203">
        <v>0</v>
      </c>
      <c r="K203">
        <v>0</v>
      </c>
      <c r="AN203">
        <f t="shared" si="10"/>
        <v>2</v>
      </c>
      <c r="AO203" t="str">
        <f t="shared" si="11"/>
        <v>Monday</v>
      </c>
    </row>
    <row r="204" spans="1:41" x14ac:dyDescent="0.2">
      <c r="A204" t="s">
        <v>39</v>
      </c>
      <c r="B204" s="1">
        <v>45996</v>
      </c>
      <c r="C204" s="1">
        <f t="shared" si="9"/>
        <v>46022</v>
      </c>
      <c r="D204">
        <v>55</v>
      </c>
      <c r="E204">
        <v>139</v>
      </c>
      <c r="F204">
        <v>8</v>
      </c>
      <c r="G204">
        <v>11</v>
      </c>
      <c r="H204">
        <v>4</v>
      </c>
      <c r="I204">
        <v>0</v>
      </c>
      <c r="J204">
        <v>1</v>
      </c>
      <c r="K204">
        <v>77</v>
      </c>
      <c r="L204" t="s">
        <v>39</v>
      </c>
      <c r="M204" t="s">
        <v>38</v>
      </c>
      <c r="N204" s="1">
        <v>45996</v>
      </c>
      <c r="O204" s="2">
        <v>0.58281249999999996</v>
      </c>
      <c r="P204" s="2">
        <v>0.95835648148148145</v>
      </c>
      <c r="Q204">
        <v>9.02</v>
      </c>
      <c r="R204">
        <v>9.01</v>
      </c>
      <c r="S204">
        <v>2.02</v>
      </c>
      <c r="T204">
        <v>0</v>
      </c>
      <c r="U204">
        <v>0</v>
      </c>
      <c r="V204">
        <v>0.11</v>
      </c>
      <c r="W204">
        <v>5.38</v>
      </c>
      <c r="X204">
        <v>1.49</v>
      </c>
      <c r="Y204">
        <v>0</v>
      </c>
      <c r="Z204">
        <v>0</v>
      </c>
      <c r="AA204">
        <v>0</v>
      </c>
      <c r="AB204">
        <v>0.01</v>
      </c>
      <c r="AC204">
        <v>9.01</v>
      </c>
      <c r="AD204">
        <v>22.38</v>
      </c>
      <c r="AE204">
        <v>0</v>
      </c>
      <c r="AF204">
        <v>0</v>
      </c>
      <c r="AG204">
        <v>1.25</v>
      </c>
      <c r="AH204">
        <v>59.7</v>
      </c>
      <c r="AI204">
        <v>16.5</v>
      </c>
      <c r="AJ204">
        <v>0</v>
      </c>
      <c r="AK204">
        <v>0</v>
      </c>
      <c r="AL204">
        <v>0</v>
      </c>
      <c r="AM204">
        <v>0.16</v>
      </c>
      <c r="AN204">
        <f t="shared" si="10"/>
        <v>6</v>
      </c>
      <c r="AO204" t="str">
        <f t="shared" si="11"/>
        <v>Friday</v>
      </c>
    </row>
    <row r="205" spans="1:41" x14ac:dyDescent="0.2">
      <c r="A205" t="s">
        <v>40</v>
      </c>
      <c r="B205" s="1">
        <v>45996</v>
      </c>
      <c r="C205" s="1">
        <f t="shared" si="9"/>
        <v>46022</v>
      </c>
      <c r="D205">
        <v>41</v>
      </c>
      <c r="E205">
        <v>107</v>
      </c>
      <c r="F205">
        <v>7</v>
      </c>
      <c r="G205">
        <v>6</v>
      </c>
      <c r="H205">
        <v>15</v>
      </c>
      <c r="I205">
        <v>0</v>
      </c>
      <c r="J205">
        <v>2</v>
      </c>
      <c r="K205">
        <v>55</v>
      </c>
      <c r="L205" t="s">
        <v>40</v>
      </c>
      <c r="M205" t="s">
        <v>38</v>
      </c>
      <c r="N205" s="1">
        <v>45996</v>
      </c>
      <c r="O205" s="2">
        <v>0.58359953703703704</v>
      </c>
      <c r="P205" s="2">
        <v>0.89630787037037041</v>
      </c>
      <c r="Q205">
        <v>7.5</v>
      </c>
      <c r="R205">
        <v>7.5</v>
      </c>
      <c r="S205">
        <v>1.5</v>
      </c>
      <c r="T205">
        <v>0.5</v>
      </c>
      <c r="U205">
        <v>0</v>
      </c>
      <c r="V205">
        <v>0.63</v>
      </c>
      <c r="W205">
        <v>3.8</v>
      </c>
      <c r="X205">
        <v>1.01</v>
      </c>
      <c r="Y205">
        <v>7.0000000000000007E-2</v>
      </c>
      <c r="Z205">
        <v>0</v>
      </c>
      <c r="AA205">
        <v>0</v>
      </c>
      <c r="AB205">
        <v>0</v>
      </c>
      <c r="AC205">
        <v>7.5</v>
      </c>
      <c r="AD205">
        <v>20.02</v>
      </c>
      <c r="AE205">
        <v>6.6</v>
      </c>
      <c r="AF205">
        <v>0</v>
      </c>
      <c r="AG205">
        <v>8.3699999999999992</v>
      </c>
      <c r="AH205">
        <v>50.59</v>
      </c>
      <c r="AI205">
        <v>13.43</v>
      </c>
      <c r="AJ205">
        <v>0.93</v>
      </c>
      <c r="AK205">
        <v>0</v>
      </c>
      <c r="AL205">
        <v>0</v>
      </c>
      <c r="AM205">
        <v>0.06</v>
      </c>
      <c r="AN205">
        <f t="shared" si="10"/>
        <v>6</v>
      </c>
      <c r="AO205" t="str">
        <f t="shared" si="11"/>
        <v>Friday</v>
      </c>
    </row>
    <row r="206" spans="1:41" x14ac:dyDescent="0.2">
      <c r="A206" t="s">
        <v>41</v>
      </c>
      <c r="B206" s="1">
        <v>45996</v>
      </c>
      <c r="C206" s="1">
        <f t="shared" si="9"/>
        <v>46022</v>
      </c>
      <c r="D206">
        <v>35</v>
      </c>
      <c r="E206">
        <v>64</v>
      </c>
      <c r="F206">
        <v>9</v>
      </c>
      <c r="G206">
        <v>5</v>
      </c>
      <c r="H206">
        <v>6</v>
      </c>
      <c r="I206">
        <v>2</v>
      </c>
      <c r="J206">
        <v>2</v>
      </c>
      <c r="K206">
        <v>29</v>
      </c>
      <c r="L206" t="s">
        <v>41</v>
      </c>
      <c r="M206" t="s">
        <v>38</v>
      </c>
      <c r="N206" s="1">
        <v>45996</v>
      </c>
      <c r="O206" s="2">
        <v>0.58434027777777775</v>
      </c>
      <c r="P206" s="2">
        <v>0.95797453703703705</v>
      </c>
      <c r="Q206">
        <v>8.9700000000000006</v>
      </c>
      <c r="R206">
        <v>8.9700000000000006</v>
      </c>
      <c r="S206">
        <v>1.31</v>
      </c>
      <c r="T206">
        <v>0.4</v>
      </c>
      <c r="U206">
        <v>0</v>
      </c>
      <c r="V206">
        <v>0.39</v>
      </c>
      <c r="W206">
        <v>4.63</v>
      </c>
      <c r="X206">
        <v>1.48</v>
      </c>
      <c r="Y206">
        <v>0.75</v>
      </c>
      <c r="Z206">
        <v>0</v>
      </c>
      <c r="AA206">
        <v>0</v>
      </c>
      <c r="AB206">
        <v>0</v>
      </c>
      <c r="AC206">
        <v>8.9700000000000006</v>
      </c>
      <c r="AD206">
        <v>14.61</v>
      </c>
      <c r="AE206">
        <v>4.43</v>
      </c>
      <c r="AF206">
        <v>0</v>
      </c>
      <c r="AG206">
        <v>4.4000000000000004</v>
      </c>
      <c r="AH206">
        <v>51.68</v>
      </c>
      <c r="AI206">
        <v>16.5</v>
      </c>
      <c r="AJ206">
        <v>8.35</v>
      </c>
      <c r="AK206">
        <v>0</v>
      </c>
      <c r="AL206">
        <v>0</v>
      </c>
      <c r="AM206">
        <v>0.03</v>
      </c>
      <c r="AN206">
        <f t="shared" si="10"/>
        <v>6</v>
      </c>
      <c r="AO206" t="str">
        <f t="shared" si="11"/>
        <v>Friday</v>
      </c>
    </row>
    <row r="207" spans="1:41" x14ac:dyDescent="0.2">
      <c r="A207" t="s">
        <v>43</v>
      </c>
      <c r="B207" s="1">
        <v>45996</v>
      </c>
      <c r="C207" s="1">
        <f t="shared" si="9"/>
        <v>46022</v>
      </c>
      <c r="D207">
        <v>56</v>
      </c>
      <c r="E207">
        <v>130</v>
      </c>
      <c r="F207">
        <v>9</v>
      </c>
      <c r="G207">
        <v>7</v>
      </c>
      <c r="H207">
        <v>9</v>
      </c>
      <c r="I207">
        <v>1</v>
      </c>
      <c r="J207">
        <v>0</v>
      </c>
      <c r="K207">
        <v>65</v>
      </c>
      <c r="L207" t="s">
        <v>43</v>
      </c>
      <c r="M207" t="s">
        <v>38</v>
      </c>
      <c r="N207" s="1">
        <v>45996</v>
      </c>
      <c r="O207" s="2">
        <v>0.58339120370370368</v>
      </c>
      <c r="P207" s="2">
        <v>0.95909722222222227</v>
      </c>
      <c r="Q207">
        <v>9.02</v>
      </c>
      <c r="R207">
        <v>9.02</v>
      </c>
      <c r="S207">
        <v>2.14</v>
      </c>
      <c r="T207">
        <v>0.25</v>
      </c>
      <c r="U207">
        <v>0</v>
      </c>
      <c r="V207">
        <v>0.61</v>
      </c>
      <c r="W207">
        <v>4.1399999999999997</v>
      </c>
      <c r="X207">
        <v>1.88</v>
      </c>
      <c r="Y207">
        <v>0</v>
      </c>
      <c r="Z207">
        <v>0</v>
      </c>
      <c r="AA207">
        <v>0</v>
      </c>
      <c r="AB207">
        <v>0</v>
      </c>
      <c r="AC207">
        <v>9.02</v>
      </c>
      <c r="AD207">
        <v>23.77</v>
      </c>
      <c r="AE207">
        <v>2.75</v>
      </c>
      <c r="AF207">
        <v>0</v>
      </c>
      <c r="AG207">
        <v>6.73</v>
      </c>
      <c r="AH207">
        <v>45.91</v>
      </c>
      <c r="AI207">
        <v>20.81</v>
      </c>
      <c r="AJ207">
        <v>0</v>
      </c>
      <c r="AK207">
        <v>0</v>
      </c>
      <c r="AL207">
        <v>0</v>
      </c>
      <c r="AM207">
        <v>0.03</v>
      </c>
      <c r="AN207">
        <f t="shared" si="10"/>
        <v>6</v>
      </c>
      <c r="AO207" t="str">
        <f t="shared" si="11"/>
        <v>Friday</v>
      </c>
    </row>
    <row r="208" spans="1:41" x14ac:dyDescent="0.2">
      <c r="B208" s="1">
        <v>45996</v>
      </c>
      <c r="C208" s="1">
        <f t="shared" si="9"/>
        <v>46022</v>
      </c>
      <c r="D208">
        <v>1113</v>
      </c>
      <c r="E208">
        <v>0</v>
      </c>
      <c r="F208">
        <v>0</v>
      </c>
      <c r="G208">
        <v>0</v>
      </c>
      <c r="H208">
        <v>0</v>
      </c>
      <c r="I208">
        <v>0</v>
      </c>
      <c r="J208">
        <v>0</v>
      </c>
      <c r="K208">
        <v>0</v>
      </c>
      <c r="AN208">
        <f t="shared" si="10"/>
        <v>6</v>
      </c>
      <c r="AO208" t="str">
        <f t="shared" si="11"/>
        <v>Friday</v>
      </c>
    </row>
    <row r="209" spans="1:41" x14ac:dyDescent="0.2">
      <c r="A209" t="s">
        <v>37</v>
      </c>
      <c r="B209" s="1">
        <v>45995</v>
      </c>
      <c r="C209" s="1">
        <f t="shared" si="9"/>
        <v>46022</v>
      </c>
      <c r="D209">
        <v>32</v>
      </c>
      <c r="E209">
        <v>76</v>
      </c>
      <c r="F209">
        <v>1</v>
      </c>
      <c r="G209">
        <v>6</v>
      </c>
      <c r="H209">
        <v>7</v>
      </c>
      <c r="I209">
        <v>0</v>
      </c>
      <c r="J209">
        <v>5</v>
      </c>
      <c r="K209">
        <v>35</v>
      </c>
      <c r="L209" t="s">
        <v>37</v>
      </c>
      <c r="M209" t="s">
        <v>38</v>
      </c>
      <c r="N209" s="1">
        <v>45995</v>
      </c>
      <c r="O209" s="2">
        <v>0.58359953703703704</v>
      </c>
      <c r="P209" s="2">
        <v>0.95893518518518517</v>
      </c>
      <c r="Q209">
        <v>9</v>
      </c>
      <c r="R209">
        <v>8.14</v>
      </c>
      <c r="S209">
        <v>2.04</v>
      </c>
      <c r="T209">
        <v>0.4</v>
      </c>
      <c r="U209">
        <v>0</v>
      </c>
      <c r="V209">
        <v>0.33</v>
      </c>
      <c r="W209">
        <v>3.53</v>
      </c>
      <c r="X209">
        <v>0.39</v>
      </c>
      <c r="Y209">
        <v>1.4</v>
      </c>
      <c r="Z209">
        <v>0</v>
      </c>
      <c r="AA209">
        <v>0</v>
      </c>
      <c r="AB209">
        <v>0.05</v>
      </c>
      <c r="AC209">
        <v>8.14</v>
      </c>
      <c r="AD209">
        <v>25.06</v>
      </c>
      <c r="AE209">
        <v>4.8600000000000003</v>
      </c>
      <c r="AF209">
        <v>0</v>
      </c>
      <c r="AG209">
        <v>4.07</v>
      </c>
      <c r="AH209">
        <v>43.3</v>
      </c>
      <c r="AI209">
        <v>4.84</v>
      </c>
      <c r="AJ209">
        <v>17.23</v>
      </c>
      <c r="AK209">
        <v>0</v>
      </c>
      <c r="AL209">
        <v>0</v>
      </c>
      <c r="AM209">
        <v>0.64</v>
      </c>
      <c r="AN209">
        <f t="shared" si="10"/>
        <v>5</v>
      </c>
      <c r="AO209" t="str">
        <f t="shared" si="11"/>
        <v>Thursday</v>
      </c>
    </row>
    <row r="210" spans="1:41" x14ac:dyDescent="0.2">
      <c r="A210" t="s">
        <v>39</v>
      </c>
      <c r="B210" s="1">
        <v>45995</v>
      </c>
      <c r="C210" s="1">
        <f t="shared" si="9"/>
        <v>46022</v>
      </c>
      <c r="D210">
        <v>42</v>
      </c>
      <c r="E210">
        <v>91</v>
      </c>
      <c r="F210">
        <v>10</v>
      </c>
      <c r="G210">
        <v>10</v>
      </c>
      <c r="H210">
        <v>12</v>
      </c>
      <c r="I210">
        <v>0</v>
      </c>
      <c r="J210">
        <v>1</v>
      </c>
      <c r="K210">
        <v>38</v>
      </c>
      <c r="L210" t="s">
        <v>39</v>
      </c>
      <c r="M210" t="s">
        <v>38</v>
      </c>
      <c r="N210" s="1">
        <v>45995</v>
      </c>
      <c r="O210" s="2">
        <v>0.58346064814814813</v>
      </c>
      <c r="P210" s="2">
        <v>0.9587268518518518</v>
      </c>
      <c r="Q210">
        <v>9</v>
      </c>
      <c r="R210">
        <v>9.01</v>
      </c>
      <c r="S210">
        <v>1.65</v>
      </c>
      <c r="T210">
        <v>0.06</v>
      </c>
      <c r="U210">
        <v>0</v>
      </c>
      <c r="V210">
        <v>0.1</v>
      </c>
      <c r="W210">
        <v>3.51</v>
      </c>
      <c r="X210">
        <v>1.47</v>
      </c>
      <c r="Y210">
        <v>2.21</v>
      </c>
      <c r="Z210">
        <v>0</v>
      </c>
      <c r="AA210">
        <v>0</v>
      </c>
      <c r="AB210">
        <v>0.01</v>
      </c>
      <c r="AC210">
        <v>9.01</v>
      </c>
      <c r="AD210">
        <v>18.329999999999998</v>
      </c>
      <c r="AE210">
        <v>0.66</v>
      </c>
      <c r="AF210">
        <v>0</v>
      </c>
      <c r="AG210">
        <v>1.1000000000000001</v>
      </c>
      <c r="AH210">
        <v>38.96</v>
      </c>
      <c r="AI210">
        <v>16.309999999999999</v>
      </c>
      <c r="AJ210">
        <v>24.59</v>
      </c>
      <c r="AK210">
        <v>0</v>
      </c>
      <c r="AL210">
        <v>0</v>
      </c>
      <c r="AM210">
        <v>7.0000000000000007E-2</v>
      </c>
      <c r="AN210">
        <f t="shared" si="10"/>
        <v>5</v>
      </c>
      <c r="AO210" t="str">
        <f t="shared" si="11"/>
        <v>Thursday</v>
      </c>
    </row>
    <row r="211" spans="1:41" x14ac:dyDescent="0.2">
      <c r="A211" t="s">
        <v>40</v>
      </c>
      <c r="B211" s="1">
        <v>45995</v>
      </c>
      <c r="C211" s="1">
        <f t="shared" si="9"/>
        <v>46022</v>
      </c>
      <c r="D211">
        <v>26</v>
      </c>
      <c r="E211">
        <v>59</v>
      </c>
      <c r="F211">
        <v>3</v>
      </c>
      <c r="G211">
        <v>0</v>
      </c>
      <c r="H211">
        <v>7</v>
      </c>
      <c r="I211">
        <v>0</v>
      </c>
      <c r="J211">
        <v>2</v>
      </c>
      <c r="K211">
        <v>33</v>
      </c>
      <c r="L211" t="s">
        <v>40</v>
      </c>
      <c r="M211" t="s">
        <v>38</v>
      </c>
      <c r="N211" s="1">
        <v>45995</v>
      </c>
      <c r="O211" s="2">
        <v>0.58349537037037036</v>
      </c>
      <c r="P211" s="2">
        <v>0.95874999999999999</v>
      </c>
      <c r="Q211">
        <v>9</v>
      </c>
      <c r="R211">
        <v>9.01</v>
      </c>
      <c r="S211">
        <v>1.18</v>
      </c>
      <c r="T211">
        <v>0.83</v>
      </c>
      <c r="U211">
        <v>0</v>
      </c>
      <c r="V211">
        <v>0.28000000000000003</v>
      </c>
      <c r="W211">
        <v>2.98</v>
      </c>
      <c r="X211">
        <v>1.53</v>
      </c>
      <c r="Y211">
        <v>2.2000000000000002</v>
      </c>
      <c r="Z211">
        <v>0</v>
      </c>
      <c r="AA211">
        <v>0</v>
      </c>
      <c r="AB211">
        <v>0</v>
      </c>
      <c r="AC211">
        <v>9.01</v>
      </c>
      <c r="AD211">
        <v>13.15</v>
      </c>
      <c r="AE211">
        <v>9.18</v>
      </c>
      <c r="AF211">
        <v>0</v>
      </c>
      <c r="AG211">
        <v>3.12</v>
      </c>
      <c r="AH211">
        <v>33.119999999999997</v>
      </c>
      <c r="AI211">
        <v>16.95</v>
      </c>
      <c r="AJ211">
        <v>24.45</v>
      </c>
      <c r="AK211">
        <v>0</v>
      </c>
      <c r="AL211">
        <v>0</v>
      </c>
      <c r="AM211">
        <v>0.04</v>
      </c>
      <c r="AN211">
        <f t="shared" si="10"/>
        <v>5</v>
      </c>
      <c r="AO211" t="str">
        <f t="shared" si="11"/>
        <v>Thursday</v>
      </c>
    </row>
    <row r="212" spans="1:41" x14ac:dyDescent="0.2">
      <c r="A212" t="s">
        <v>41</v>
      </c>
      <c r="B212" s="1">
        <v>45995</v>
      </c>
      <c r="C212" s="1">
        <f t="shared" si="9"/>
        <v>46022</v>
      </c>
      <c r="D212">
        <v>42</v>
      </c>
      <c r="E212">
        <v>86</v>
      </c>
      <c r="F212">
        <v>6</v>
      </c>
      <c r="G212">
        <v>3</v>
      </c>
      <c r="H212">
        <v>5</v>
      </c>
      <c r="I212">
        <v>0</v>
      </c>
      <c r="J212">
        <v>3</v>
      </c>
      <c r="K212">
        <v>38</v>
      </c>
      <c r="L212" t="s">
        <v>41</v>
      </c>
      <c r="M212" t="s">
        <v>38</v>
      </c>
      <c r="N212" s="1">
        <v>45995</v>
      </c>
      <c r="O212" s="2">
        <v>0.58351851851851855</v>
      </c>
      <c r="P212" s="2">
        <v>0.95805555555555555</v>
      </c>
      <c r="Q212">
        <v>8.98</v>
      </c>
      <c r="R212">
        <v>8.99</v>
      </c>
      <c r="S212">
        <v>1.2</v>
      </c>
      <c r="T212">
        <v>0.17</v>
      </c>
      <c r="U212">
        <v>0</v>
      </c>
      <c r="V212">
        <v>0.3</v>
      </c>
      <c r="W212">
        <v>4.43</v>
      </c>
      <c r="X212">
        <v>1.47</v>
      </c>
      <c r="Y212">
        <v>1.41</v>
      </c>
      <c r="Z212">
        <v>0</v>
      </c>
      <c r="AA212">
        <v>0</v>
      </c>
      <c r="AB212">
        <v>0</v>
      </c>
      <c r="AC212">
        <v>8.99</v>
      </c>
      <c r="AD212">
        <v>13.4</v>
      </c>
      <c r="AE212">
        <v>1.95</v>
      </c>
      <c r="AF212">
        <v>0</v>
      </c>
      <c r="AG212">
        <v>3.29</v>
      </c>
      <c r="AH212">
        <v>49.31</v>
      </c>
      <c r="AI212">
        <v>16.34</v>
      </c>
      <c r="AJ212">
        <v>15.69</v>
      </c>
      <c r="AK212">
        <v>0</v>
      </c>
      <c r="AL212">
        <v>0</v>
      </c>
      <c r="AM212">
        <v>0.04</v>
      </c>
      <c r="AN212">
        <f t="shared" si="10"/>
        <v>5</v>
      </c>
      <c r="AO212" t="str">
        <f t="shared" si="11"/>
        <v>Thursday</v>
      </c>
    </row>
    <row r="213" spans="1:41" x14ac:dyDescent="0.2">
      <c r="A213" t="s">
        <v>43</v>
      </c>
      <c r="B213" s="1">
        <v>45995</v>
      </c>
      <c r="C213" s="1">
        <f t="shared" si="9"/>
        <v>46022</v>
      </c>
      <c r="D213">
        <v>45</v>
      </c>
      <c r="E213">
        <v>149</v>
      </c>
      <c r="F213">
        <v>16</v>
      </c>
      <c r="G213">
        <v>8</v>
      </c>
      <c r="H213">
        <v>1</v>
      </c>
      <c r="I213">
        <v>0</v>
      </c>
      <c r="J213">
        <v>0</v>
      </c>
      <c r="K213">
        <v>62</v>
      </c>
      <c r="L213" t="s">
        <v>43</v>
      </c>
      <c r="M213" t="s">
        <v>38</v>
      </c>
      <c r="N213" s="1">
        <v>45995</v>
      </c>
      <c r="O213" s="2">
        <v>0.58425925925925926</v>
      </c>
      <c r="P213" s="2">
        <v>0.9588888888888889</v>
      </c>
      <c r="Q213">
        <v>8.98</v>
      </c>
      <c r="R213">
        <v>8.99</v>
      </c>
      <c r="S213">
        <v>2.0499999999999998</v>
      </c>
      <c r="T213">
        <v>0.19</v>
      </c>
      <c r="U213">
        <v>0</v>
      </c>
      <c r="V213">
        <v>0.34</v>
      </c>
      <c r="W213">
        <v>3.52</v>
      </c>
      <c r="X213">
        <v>1.48</v>
      </c>
      <c r="Y213">
        <v>1.41</v>
      </c>
      <c r="Z213">
        <v>0</v>
      </c>
      <c r="AA213">
        <v>0</v>
      </c>
      <c r="AB213">
        <v>0</v>
      </c>
      <c r="AC213">
        <v>8.99</v>
      </c>
      <c r="AD213">
        <v>22.8</v>
      </c>
      <c r="AE213">
        <v>2.08</v>
      </c>
      <c r="AF213">
        <v>0</v>
      </c>
      <c r="AG213">
        <v>3.8</v>
      </c>
      <c r="AH213">
        <v>39.130000000000003</v>
      </c>
      <c r="AI213">
        <v>16.5</v>
      </c>
      <c r="AJ213">
        <v>15.66</v>
      </c>
      <c r="AK213">
        <v>0</v>
      </c>
      <c r="AL213">
        <v>0</v>
      </c>
      <c r="AM213">
        <v>0.03</v>
      </c>
      <c r="AN213">
        <f t="shared" si="10"/>
        <v>5</v>
      </c>
      <c r="AO213" t="str">
        <f t="shared" si="11"/>
        <v>Thursday</v>
      </c>
    </row>
    <row r="214" spans="1:41" x14ac:dyDescent="0.2">
      <c r="B214" s="1">
        <v>45995</v>
      </c>
      <c r="C214" s="1">
        <f t="shared" si="9"/>
        <v>46022</v>
      </c>
      <c r="D214">
        <v>1069</v>
      </c>
      <c r="E214">
        <v>0</v>
      </c>
      <c r="F214">
        <v>0</v>
      </c>
      <c r="G214">
        <v>0</v>
      </c>
      <c r="H214">
        <v>0</v>
      </c>
      <c r="I214">
        <v>0</v>
      </c>
      <c r="J214">
        <v>0</v>
      </c>
      <c r="K214">
        <v>0</v>
      </c>
      <c r="AN214">
        <f t="shared" si="10"/>
        <v>5</v>
      </c>
      <c r="AO214" t="str">
        <f t="shared" si="11"/>
        <v>Thursday</v>
      </c>
    </row>
    <row r="215" spans="1:41" x14ac:dyDescent="0.2">
      <c r="A215" t="s">
        <v>37</v>
      </c>
      <c r="B215" s="1">
        <v>45994</v>
      </c>
      <c r="C215" s="1">
        <f t="shared" si="9"/>
        <v>46022</v>
      </c>
      <c r="D215">
        <v>44</v>
      </c>
      <c r="E215">
        <v>125</v>
      </c>
      <c r="F215">
        <v>9</v>
      </c>
      <c r="G215">
        <v>10</v>
      </c>
      <c r="H215">
        <v>7</v>
      </c>
      <c r="I215">
        <v>0</v>
      </c>
      <c r="J215">
        <v>6</v>
      </c>
      <c r="K215">
        <v>53</v>
      </c>
      <c r="L215" t="s">
        <v>37</v>
      </c>
      <c r="M215" t="s">
        <v>38</v>
      </c>
      <c r="N215" s="1">
        <v>45994</v>
      </c>
      <c r="O215" s="2">
        <v>0.58379629629629626</v>
      </c>
      <c r="P215" s="2">
        <v>0.95859953703703704</v>
      </c>
      <c r="Q215">
        <v>9</v>
      </c>
      <c r="R215">
        <v>8.1199999999999992</v>
      </c>
      <c r="S215">
        <v>2.44</v>
      </c>
      <c r="T215">
        <v>0.63</v>
      </c>
      <c r="U215">
        <v>0</v>
      </c>
      <c r="V215">
        <v>0.53</v>
      </c>
      <c r="W215">
        <v>3.07</v>
      </c>
      <c r="X215">
        <v>0.36</v>
      </c>
      <c r="Y215">
        <v>1.07</v>
      </c>
      <c r="Z215">
        <v>0</v>
      </c>
      <c r="AA215">
        <v>0</v>
      </c>
      <c r="AB215">
        <v>0.02</v>
      </c>
      <c r="AC215">
        <v>8.1199999999999992</v>
      </c>
      <c r="AD215">
        <v>30.01</v>
      </c>
      <c r="AE215">
        <v>7.77</v>
      </c>
      <c r="AF215">
        <v>0</v>
      </c>
      <c r="AG215">
        <v>6.52</v>
      </c>
      <c r="AH215">
        <v>37.79</v>
      </c>
      <c r="AI215">
        <v>4.45</v>
      </c>
      <c r="AJ215">
        <v>13.18</v>
      </c>
      <c r="AK215">
        <v>0</v>
      </c>
      <c r="AL215">
        <v>0</v>
      </c>
      <c r="AM215">
        <v>0.28000000000000003</v>
      </c>
      <c r="AN215">
        <f t="shared" si="10"/>
        <v>4</v>
      </c>
      <c r="AO215" t="str">
        <f t="shared" si="11"/>
        <v>Wednesday</v>
      </c>
    </row>
    <row r="216" spans="1:41" x14ac:dyDescent="0.2">
      <c r="A216" t="s">
        <v>39</v>
      </c>
      <c r="B216" s="1">
        <v>45994</v>
      </c>
      <c r="C216" s="1">
        <f t="shared" si="9"/>
        <v>46022</v>
      </c>
      <c r="D216">
        <v>55</v>
      </c>
      <c r="E216">
        <v>123</v>
      </c>
      <c r="F216">
        <v>25</v>
      </c>
      <c r="G216">
        <v>15</v>
      </c>
      <c r="H216">
        <v>10</v>
      </c>
      <c r="I216">
        <v>3</v>
      </c>
      <c r="J216">
        <v>1</v>
      </c>
      <c r="K216">
        <v>46</v>
      </c>
      <c r="L216" t="s">
        <v>39</v>
      </c>
      <c r="M216" t="s">
        <v>38</v>
      </c>
      <c r="N216" s="1">
        <v>45994</v>
      </c>
      <c r="O216" s="2">
        <v>0.58363425925925927</v>
      </c>
      <c r="P216" s="2">
        <v>0.9597106481481481</v>
      </c>
      <c r="Q216">
        <v>9.02</v>
      </c>
      <c r="R216">
        <v>9.02</v>
      </c>
      <c r="S216">
        <v>2.83</v>
      </c>
      <c r="T216">
        <v>0.21</v>
      </c>
      <c r="U216">
        <v>0</v>
      </c>
      <c r="V216">
        <v>0.09</v>
      </c>
      <c r="W216">
        <v>3.36</v>
      </c>
      <c r="X216">
        <v>1.45</v>
      </c>
      <c r="Y216">
        <v>1.08</v>
      </c>
      <c r="Z216">
        <v>0</v>
      </c>
      <c r="AA216">
        <v>0</v>
      </c>
      <c r="AB216">
        <v>0</v>
      </c>
      <c r="AC216">
        <v>9.02</v>
      </c>
      <c r="AD216">
        <v>31.37</v>
      </c>
      <c r="AE216">
        <v>2.38</v>
      </c>
      <c r="AF216">
        <v>0</v>
      </c>
      <c r="AG216">
        <v>1.01</v>
      </c>
      <c r="AH216">
        <v>37.24</v>
      </c>
      <c r="AI216">
        <v>16.010000000000002</v>
      </c>
      <c r="AJ216">
        <v>11.95</v>
      </c>
      <c r="AK216">
        <v>0</v>
      </c>
      <c r="AL216">
        <v>0</v>
      </c>
      <c r="AM216">
        <v>0.04</v>
      </c>
      <c r="AN216">
        <f t="shared" si="10"/>
        <v>4</v>
      </c>
      <c r="AO216" t="str">
        <f t="shared" si="11"/>
        <v>Wednesday</v>
      </c>
    </row>
    <row r="217" spans="1:41" x14ac:dyDescent="0.2">
      <c r="A217" t="s">
        <v>40</v>
      </c>
      <c r="B217" s="1">
        <v>45994</v>
      </c>
      <c r="C217" s="1">
        <f t="shared" si="9"/>
        <v>46022</v>
      </c>
      <c r="D217">
        <v>47</v>
      </c>
      <c r="E217">
        <v>110</v>
      </c>
      <c r="F217">
        <v>16</v>
      </c>
      <c r="G217">
        <v>5</v>
      </c>
      <c r="H217">
        <v>12</v>
      </c>
      <c r="I217">
        <v>0</v>
      </c>
      <c r="J217">
        <v>0</v>
      </c>
      <c r="K217">
        <v>50</v>
      </c>
      <c r="L217" t="s">
        <v>40</v>
      </c>
      <c r="M217" t="s">
        <v>38</v>
      </c>
      <c r="N217" s="1">
        <v>45994</v>
      </c>
      <c r="O217" s="2">
        <v>0.58378472222222222</v>
      </c>
      <c r="P217" s="2">
        <v>0.95834490740740741</v>
      </c>
      <c r="Q217">
        <v>9</v>
      </c>
      <c r="R217">
        <v>8.99</v>
      </c>
      <c r="S217">
        <v>1.96</v>
      </c>
      <c r="T217">
        <v>1.84</v>
      </c>
      <c r="U217">
        <v>0</v>
      </c>
      <c r="V217">
        <v>0.59</v>
      </c>
      <c r="W217">
        <v>3.09</v>
      </c>
      <c r="X217">
        <v>1.51</v>
      </c>
      <c r="Y217">
        <v>0</v>
      </c>
      <c r="Z217">
        <v>0</v>
      </c>
      <c r="AA217">
        <v>0</v>
      </c>
      <c r="AB217">
        <v>0</v>
      </c>
      <c r="AC217">
        <v>8.99</v>
      </c>
      <c r="AD217">
        <v>21.82</v>
      </c>
      <c r="AE217">
        <v>20.51</v>
      </c>
      <c r="AF217">
        <v>0</v>
      </c>
      <c r="AG217">
        <v>6.53</v>
      </c>
      <c r="AH217">
        <v>34.33</v>
      </c>
      <c r="AI217">
        <v>16.78</v>
      </c>
      <c r="AJ217">
        <v>0</v>
      </c>
      <c r="AK217">
        <v>0</v>
      </c>
      <c r="AL217">
        <v>0</v>
      </c>
      <c r="AM217">
        <v>0.03</v>
      </c>
      <c r="AN217">
        <f t="shared" si="10"/>
        <v>4</v>
      </c>
      <c r="AO217" t="str">
        <f t="shared" si="11"/>
        <v>Wednesday</v>
      </c>
    </row>
    <row r="218" spans="1:41" x14ac:dyDescent="0.2">
      <c r="A218" t="s">
        <v>41</v>
      </c>
      <c r="B218" s="1">
        <v>45994</v>
      </c>
      <c r="C218" s="1">
        <f t="shared" si="9"/>
        <v>46022</v>
      </c>
      <c r="D218">
        <v>54</v>
      </c>
      <c r="E218">
        <v>115</v>
      </c>
      <c r="F218">
        <v>17</v>
      </c>
      <c r="G218">
        <v>16</v>
      </c>
      <c r="H218">
        <v>11</v>
      </c>
      <c r="I218">
        <v>0</v>
      </c>
      <c r="J218">
        <v>5</v>
      </c>
      <c r="K218">
        <v>41</v>
      </c>
      <c r="L218" t="s">
        <v>41</v>
      </c>
      <c r="M218" t="s">
        <v>38</v>
      </c>
      <c r="N218" s="1">
        <v>45994</v>
      </c>
      <c r="O218" s="2">
        <v>0.58348379629629632</v>
      </c>
      <c r="P218" s="2">
        <v>0.95768518518518519</v>
      </c>
      <c r="Q218">
        <v>8.98</v>
      </c>
      <c r="R218">
        <v>8.98</v>
      </c>
      <c r="S218">
        <v>2.52</v>
      </c>
      <c r="T218">
        <v>0.33</v>
      </c>
      <c r="U218">
        <v>0</v>
      </c>
      <c r="V218">
        <v>0.65</v>
      </c>
      <c r="W218">
        <v>2.9</v>
      </c>
      <c r="X218">
        <v>1.47</v>
      </c>
      <c r="Y218">
        <v>1.1200000000000001</v>
      </c>
      <c r="Z218">
        <v>0</v>
      </c>
      <c r="AA218">
        <v>0</v>
      </c>
      <c r="AB218">
        <v>0.01</v>
      </c>
      <c r="AC218">
        <v>8.98</v>
      </c>
      <c r="AD218">
        <v>28.07</v>
      </c>
      <c r="AE218">
        <v>3.64</v>
      </c>
      <c r="AF218">
        <v>0</v>
      </c>
      <c r="AG218">
        <v>7.22</v>
      </c>
      <c r="AH218">
        <v>32.25</v>
      </c>
      <c r="AI218">
        <v>16.34</v>
      </c>
      <c r="AJ218">
        <v>12.41</v>
      </c>
      <c r="AK218">
        <v>0</v>
      </c>
      <c r="AL218">
        <v>0</v>
      </c>
      <c r="AM218">
        <v>7.0000000000000007E-2</v>
      </c>
      <c r="AN218">
        <f t="shared" si="10"/>
        <v>4</v>
      </c>
      <c r="AO218" t="str">
        <f t="shared" si="11"/>
        <v>Wednesday</v>
      </c>
    </row>
    <row r="219" spans="1:41" x14ac:dyDescent="0.2">
      <c r="A219" t="s">
        <v>43</v>
      </c>
      <c r="B219" s="1">
        <v>45994</v>
      </c>
      <c r="C219" s="1">
        <f t="shared" si="9"/>
        <v>46022</v>
      </c>
      <c r="D219">
        <v>75</v>
      </c>
      <c r="E219">
        <v>250</v>
      </c>
      <c r="F219">
        <v>19</v>
      </c>
      <c r="G219">
        <v>10</v>
      </c>
      <c r="H219">
        <v>26</v>
      </c>
      <c r="I219">
        <v>0</v>
      </c>
      <c r="J219">
        <v>0</v>
      </c>
      <c r="K219">
        <v>128</v>
      </c>
      <c r="L219" t="s">
        <v>43</v>
      </c>
      <c r="M219" t="s">
        <v>38</v>
      </c>
      <c r="N219" s="1">
        <v>45994</v>
      </c>
      <c r="O219" s="2">
        <v>0.58348379629629632</v>
      </c>
      <c r="P219" s="2">
        <v>0.95857638888888885</v>
      </c>
      <c r="Q219">
        <v>9</v>
      </c>
      <c r="R219">
        <v>9</v>
      </c>
      <c r="S219">
        <v>2.12</v>
      </c>
      <c r="T219">
        <v>0.24</v>
      </c>
      <c r="U219">
        <v>0</v>
      </c>
      <c r="V219">
        <v>0.52</v>
      </c>
      <c r="W219">
        <v>3.58</v>
      </c>
      <c r="X219">
        <v>1.44</v>
      </c>
      <c r="Y219">
        <v>1.1000000000000001</v>
      </c>
      <c r="Z219">
        <v>0</v>
      </c>
      <c r="AA219">
        <v>0</v>
      </c>
      <c r="AB219">
        <v>0</v>
      </c>
      <c r="AC219">
        <v>9</v>
      </c>
      <c r="AD219">
        <v>23.55</v>
      </c>
      <c r="AE219">
        <v>2.64</v>
      </c>
      <c r="AF219">
        <v>0</v>
      </c>
      <c r="AG219">
        <v>5.75</v>
      </c>
      <c r="AH219">
        <v>39.78</v>
      </c>
      <c r="AI219">
        <v>16</v>
      </c>
      <c r="AJ219">
        <v>12.26</v>
      </c>
      <c r="AK219">
        <v>0</v>
      </c>
      <c r="AL219">
        <v>0</v>
      </c>
      <c r="AM219">
        <v>0.03</v>
      </c>
      <c r="AN219">
        <f t="shared" si="10"/>
        <v>4</v>
      </c>
      <c r="AO219" t="str">
        <f t="shared" si="11"/>
        <v>Wednesday</v>
      </c>
    </row>
    <row r="220" spans="1:41" x14ac:dyDescent="0.2">
      <c r="B220" s="1">
        <v>45994</v>
      </c>
      <c r="C220" s="1">
        <f t="shared" si="9"/>
        <v>46022</v>
      </c>
      <c r="D220">
        <v>1065</v>
      </c>
      <c r="E220">
        <v>0</v>
      </c>
      <c r="F220">
        <v>0</v>
      </c>
      <c r="G220">
        <v>0</v>
      </c>
      <c r="H220">
        <v>0</v>
      </c>
      <c r="I220">
        <v>0</v>
      </c>
      <c r="J220">
        <v>0</v>
      </c>
      <c r="K220">
        <v>0</v>
      </c>
      <c r="AN220">
        <f t="shared" si="10"/>
        <v>4</v>
      </c>
      <c r="AO220" t="str">
        <f t="shared" si="11"/>
        <v>Wednesday</v>
      </c>
    </row>
    <row r="221" spans="1:41" x14ac:dyDescent="0.2">
      <c r="A221" t="s">
        <v>37</v>
      </c>
      <c r="B221" s="1">
        <v>45993</v>
      </c>
      <c r="C221" s="1">
        <f t="shared" si="9"/>
        <v>46022</v>
      </c>
      <c r="D221">
        <v>49</v>
      </c>
      <c r="E221">
        <v>118</v>
      </c>
      <c r="F221">
        <v>2</v>
      </c>
      <c r="G221">
        <v>12</v>
      </c>
      <c r="H221">
        <v>12</v>
      </c>
      <c r="I221">
        <v>1</v>
      </c>
      <c r="J221">
        <v>2</v>
      </c>
      <c r="K221">
        <v>49</v>
      </c>
      <c r="L221" t="s">
        <v>37</v>
      </c>
      <c r="M221" t="s">
        <v>38</v>
      </c>
      <c r="N221" s="1">
        <v>45993</v>
      </c>
      <c r="O221" s="2">
        <v>0.58401620370370366</v>
      </c>
      <c r="P221" s="2">
        <v>0.95853009259259259</v>
      </c>
      <c r="Q221">
        <v>9</v>
      </c>
      <c r="R221">
        <v>8.1300000000000008</v>
      </c>
      <c r="S221">
        <v>2.96</v>
      </c>
      <c r="T221">
        <v>0.84</v>
      </c>
      <c r="U221">
        <v>0</v>
      </c>
      <c r="V221">
        <v>0.45</v>
      </c>
      <c r="W221">
        <v>3.48</v>
      </c>
      <c r="X221">
        <v>0.36</v>
      </c>
      <c r="Y221">
        <v>0</v>
      </c>
      <c r="Z221">
        <v>0</v>
      </c>
      <c r="AA221">
        <v>0</v>
      </c>
      <c r="AB221">
        <v>0.05</v>
      </c>
      <c r="AC221">
        <v>8.1300000000000008</v>
      </c>
      <c r="AD221">
        <v>36.44</v>
      </c>
      <c r="AE221">
        <v>10.29</v>
      </c>
      <c r="AF221">
        <v>0</v>
      </c>
      <c r="AG221">
        <v>5.48</v>
      </c>
      <c r="AH221">
        <v>42.79</v>
      </c>
      <c r="AI221">
        <v>4.45</v>
      </c>
      <c r="AJ221">
        <v>0</v>
      </c>
      <c r="AK221">
        <v>0</v>
      </c>
      <c r="AL221">
        <v>0</v>
      </c>
      <c r="AM221">
        <v>0.56000000000000005</v>
      </c>
      <c r="AN221">
        <f t="shared" si="10"/>
        <v>3</v>
      </c>
      <c r="AO221" t="str">
        <f t="shared" si="11"/>
        <v>Tuesday</v>
      </c>
    </row>
    <row r="222" spans="1:41" x14ac:dyDescent="0.2">
      <c r="A222" t="s">
        <v>39</v>
      </c>
      <c r="B222" s="1">
        <v>45993</v>
      </c>
      <c r="C222" s="1">
        <f t="shared" si="9"/>
        <v>46022</v>
      </c>
      <c r="D222">
        <v>51</v>
      </c>
      <c r="E222">
        <v>100</v>
      </c>
      <c r="F222">
        <v>7</v>
      </c>
      <c r="G222">
        <v>6</v>
      </c>
      <c r="H222">
        <v>14</v>
      </c>
      <c r="I222">
        <v>2</v>
      </c>
      <c r="J222">
        <v>2</v>
      </c>
      <c r="K222">
        <v>36</v>
      </c>
      <c r="L222" t="s">
        <v>39</v>
      </c>
      <c r="M222" t="s">
        <v>38</v>
      </c>
      <c r="N222" s="1">
        <v>45993</v>
      </c>
      <c r="O222" s="2">
        <v>0.58278935185185188</v>
      </c>
      <c r="P222" s="2">
        <v>0.95892361111111113</v>
      </c>
      <c r="Q222">
        <v>9.02</v>
      </c>
      <c r="R222">
        <v>9.0299999999999994</v>
      </c>
      <c r="S222">
        <v>2.7</v>
      </c>
      <c r="T222">
        <v>0.11</v>
      </c>
      <c r="U222">
        <v>0</v>
      </c>
      <c r="V222">
        <v>0.08</v>
      </c>
      <c r="W222">
        <v>4.5199999999999996</v>
      </c>
      <c r="X222">
        <v>1.42</v>
      </c>
      <c r="Y222">
        <v>0.17</v>
      </c>
      <c r="Z222">
        <v>0</v>
      </c>
      <c r="AA222">
        <v>0</v>
      </c>
      <c r="AB222">
        <v>0.02</v>
      </c>
      <c r="AC222">
        <v>9.0299999999999994</v>
      </c>
      <c r="AD222">
        <v>29.94</v>
      </c>
      <c r="AE222">
        <v>1.21</v>
      </c>
      <c r="AF222">
        <v>0</v>
      </c>
      <c r="AG222">
        <v>0.9</v>
      </c>
      <c r="AH222">
        <v>50.11</v>
      </c>
      <c r="AI222">
        <v>15.76</v>
      </c>
      <c r="AJ222">
        <v>1.89</v>
      </c>
      <c r="AK222">
        <v>0</v>
      </c>
      <c r="AL222">
        <v>0</v>
      </c>
      <c r="AM222">
        <v>0.19</v>
      </c>
      <c r="AN222">
        <f t="shared" si="10"/>
        <v>3</v>
      </c>
      <c r="AO222" t="str">
        <f t="shared" si="11"/>
        <v>Tuesday</v>
      </c>
    </row>
    <row r="223" spans="1:41" x14ac:dyDescent="0.2">
      <c r="A223" t="s">
        <v>40</v>
      </c>
      <c r="B223" s="1">
        <v>45993</v>
      </c>
      <c r="C223" s="1">
        <f t="shared" si="9"/>
        <v>46022</v>
      </c>
      <c r="D223">
        <v>54</v>
      </c>
      <c r="E223">
        <v>141</v>
      </c>
      <c r="F223">
        <v>18</v>
      </c>
      <c r="G223">
        <v>1</v>
      </c>
      <c r="H223">
        <v>25</v>
      </c>
      <c r="I223">
        <v>1</v>
      </c>
      <c r="J223">
        <v>0</v>
      </c>
      <c r="K223">
        <v>57</v>
      </c>
      <c r="L223" t="s">
        <v>40</v>
      </c>
      <c r="M223" t="s">
        <v>38</v>
      </c>
      <c r="N223" s="1">
        <v>45993</v>
      </c>
      <c r="O223" s="2">
        <v>0.58325231481481477</v>
      </c>
      <c r="P223" s="2">
        <v>0.95835648148148145</v>
      </c>
      <c r="Q223">
        <v>9.02</v>
      </c>
      <c r="R223">
        <v>9</v>
      </c>
      <c r="S223">
        <v>2.4500000000000002</v>
      </c>
      <c r="T223">
        <v>0.94</v>
      </c>
      <c r="U223">
        <v>0</v>
      </c>
      <c r="V223">
        <v>0.76</v>
      </c>
      <c r="W223">
        <v>3.33</v>
      </c>
      <c r="X223">
        <v>1.52</v>
      </c>
      <c r="Y223">
        <v>0</v>
      </c>
      <c r="Z223">
        <v>0</v>
      </c>
      <c r="AA223">
        <v>0</v>
      </c>
      <c r="AB223">
        <v>0</v>
      </c>
      <c r="AC223">
        <v>9</v>
      </c>
      <c r="AD223">
        <v>27.23</v>
      </c>
      <c r="AE223">
        <v>10.4</v>
      </c>
      <c r="AF223">
        <v>0</v>
      </c>
      <c r="AG223">
        <v>8.4600000000000009</v>
      </c>
      <c r="AH223">
        <v>37.020000000000003</v>
      </c>
      <c r="AI223">
        <v>16.87</v>
      </c>
      <c r="AJ223">
        <v>0</v>
      </c>
      <c r="AK223">
        <v>0</v>
      </c>
      <c r="AL223">
        <v>0</v>
      </c>
      <c r="AM223">
        <v>0.03</v>
      </c>
      <c r="AN223">
        <f t="shared" si="10"/>
        <v>3</v>
      </c>
      <c r="AO223" t="str">
        <f t="shared" si="11"/>
        <v>Tuesday</v>
      </c>
    </row>
    <row r="224" spans="1:41" x14ac:dyDescent="0.2">
      <c r="A224" t="s">
        <v>41</v>
      </c>
      <c r="B224" s="1">
        <v>45993</v>
      </c>
      <c r="C224" s="1">
        <f t="shared" si="9"/>
        <v>46022</v>
      </c>
      <c r="D224">
        <v>61</v>
      </c>
      <c r="E224">
        <v>150</v>
      </c>
      <c r="F224">
        <v>5</v>
      </c>
      <c r="G224">
        <v>10</v>
      </c>
      <c r="H224">
        <v>17</v>
      </c>
      <c r="I224">
        <v>3</v>
      </c>
      <c r="J224">
        <v>1</v>
      </c>
      <c r="K224">
        <v>72</v>
      </c>
      <c r="L224" t="s">
        <v>41</v>
      </c>
      <c r="M224" t="s">
        <v>38</v>
      </c>
      <c r="N224" s="1">
        <v>45993</v>
      </c>
      <c r="O224" s="2">
        <v>0.58344907407407409</v>
      </c>
      <c r="P224" s="2">
        <v>0.95767361111111116</v>
      </c>
      <c r="Q224">
        <v>8.98</v>
      </c>
      <c r="R224">
        <v>8.98</v>
      </c>
      <c r="S224">
        <v>2.7</v>
      </c>
      <c r="T224">
        <v>0.61</v>
      </c>
      <c r="U224">
        <v>0</v>
      </c>
      <c r="V224">
        <v>0.59</v>
      </c>
      <c r="W224">
        <v>3.59</v>
      </c>
      <c r="X224">
        <v>1.48</v>
      </c>
      <c r="Y224">
        <v>0</v>
      </c>
      <c r="Z224">
        <v>0</v>
      </c>
      <c r="AA224">
        <v>0</v>
      </c>
      <c r="AB224">
        <v>0</v>
      </c>
      <c r="AC224">
        <v>8.98</v>
      </c>
      <c r="AD224">
        <v>30.11</v>
      </c>
      <c r="AE224">
        <v>6.81</v>
      </c>
      <c r="AF224">
        <v>0</v>
      </c>
      <c r="AG224">
        <v>6.61</v>
      </c>
      <c r="AH224">
        <v>39.950000000000003</v>
      </c>
      <c r="AI224">
        <v>16.48</v>
      </c>
      <c r="AJ224">
        <v>0</v>
      </c>
      <c r="AK224">
        <v>0</v>
      </c>
      <c r="AL224">
        <v>0</v>
      </c>
      <c r="AM224">
        <v>0.04</v>
      </c>
      <c r="AN224">
        <f t="shared" si="10"/>
        <v>3</v>
      </c>
      <c r="AO224" t="str">
        <f t="shared" si="11"/>
        <v>Tuesday</v>
      </c>
    </row>
    <row r="225" spans="1:41" x14ac:dyDescent="0.2">
      <c r="A225" t="s">
        <v>43</v>
      </c>
      <c r="B225" s="1">
        <v>45993</v>
      </c>
      <c r="C225" s="1">
        <f t="shared" si="9"/>
        <v>46022</v>
      </c>
      <c r="D225">
        <v>64</v>
      </c>
      <c r="E225">
        <v>178</v>
      </c>
      <c r="F225">
        <v>16</v>
      </c>
      <c r="G225">
        <v>3</v>
      </c>
      <c r="H225">
        <v>17</v>
      </c>
      <c r="I225">
        <v>0</v>
      </c>
      <c r="J225">
        <v>1</v>
      </c>
      <c r="K225">
        <v>79</v>
      </c>
      <c r="L225" t="s">
        <v>43</v>
      </c>
      <c r="M225" t="s">
        <v>38</v>
      </c>
      <c r="N225" s="1">
        <v>45993</v>
      </c>
      <c r="O225" s="2">
        <v>0.58317129629629627</v>
      </c>
      <c r="P225" s="2">
        <v>0.95939814814814817</v>
      </c>
      <c r="Q225">
        <v>9.0299999999999994</v>
      </c>
      <c r="R225">
        <v>9.0299999999999994</v>
      </c>
      <c r="S225">
        <v>2.88</v>
      </c>
      <c r="T225">
        <v>0.12</v>
      </c>
      <c r="U225">
        <v>0</v>
      </c>
      <c r="V225">
        <v>1.03</v>
      </c>
      <c r="W225">
        <v>3.55</v>
      </c>
      <c r="X225">
        <v>1.46</v>
      </c>
      <c r="Y225">
        <v>0</v>
      </c>
      <c r="Z225">
        <v>0</v>
      </c>
      <c r="AA225">
        <v>0</v>
      </c>
      <c r="AB225">
        <v>0</v>
      </c>
      <c r="AC225">
        <v>9.0299999999999994</v>
      </c>
      <c r="AD225">
        <v>31.85</v>
      </c>
      <c r="AE225">
        <v>1.3</v>
      </c>
      <c r="AF225">
        <v>0</v>
      </c>
      <c r="AG225">
        <v>11.38</v>
      </c>
      <c r="AH225">
        <v>39.270000000000003</v>
      </c>
      <c r="AI225">
        <v>16.18</v>
      </c>
      <c r="AJ225">
        <v>0</v>
      </c>
      <c r="AK225">
        <v>0</v>
      </c>
      <c r="AL225">
        <v>0</v>
      </c>
      <c r="AM225">
        <v>0.03</v>
      </c>
      <c r="AN225">
        <f t="shared" si="10"/>
        <v>3</v>
      </c>
      <c r="AO225" t="str">
        <f t="shared" si="11"/>
        <v>Tuesday</v>
      </c>
    </row>
    <row r="226" spans="1:41" x14ac:dyDescent="0.2">
      <c r="B226" s="1">
        <v>45993</v>
      </c>
      <c r="C226" s="1">
        <f t="shared" si="9"/>
        <v>46022</v>
      </c>
      <c r="D226">
        <v>1101</v>
      </c>
      <c r="E226">
        <v>0</v>
      </c>
      <c r="F226">
        <v>0</v>
      </c>
      <c r="G226">
        <v>0</v>
      </c>
      <c r="H226">
        <v>0</v>
      </c>
      <c r="I226">
        <v>0</v>
      </c>
      <c r="J226">
        <v>0</v>
      </c>
      <c r="K226">
        <v>0</v>
      </c>
      <c r="AN226">
        <f t="shared" si="10"/>
        <v>3</v>
      </c>
      <c r="AO226" t="str">
        <f t="shared" si="11"/>
        <v>Tuesday</v>
      </c>
    </row>
    <row r="227" spans="1:41" x14ac:dyDescent="0.2">
      <c r="A227" t="s">
        <v>37</v>
      </c>
      <c r="B227" s="1">
        <v>45992</v>
      </c>
      <c r="C227" s="1">
        <f t="shared" si="9"/>
        <v>46022</v>
      </c>
      <c r="D227">
        <v>50</v>
      </c>
      <c r="E227">
        <v>137</v>
      </c>
      <c r="F227">
        <v>10</v>
      </c>
      <c r="G227">
        <v>1</v>
      </c>
      <c r="H227">
        <v>13</v>
      </c>
      <c r="I227">
        <v>0</v>
      </c>
      <c r="J227">
        <v>1</v>
      </c>
      <c r="K227">
        <v>57</v>
      </c>
      <c r="L227" t="s">
        <v>37</v>
      </c>
      <c r="M227" t="s">
        <v>38</v>
      </c>
      <c r="N227" s="1">
        <v>45992</v>
      </c>
      <c r="O227" s="2">
        <v>0.58351851851851855</v>
      </c>
      <c r="P227" s="2">
        <v>0.95837962962962964</v>
      </c>
      <c r="Q227">
        <v>9</v>
      </c>
      <c r="R227">
        <v>8.1</v>
      </c>
      <c r="S227">
        <v>3.48</v>
      </c>
      <c r="T227">
        <v>0.2</v>
      </c>
      <c r="U227">
        <v>0</v>
      </c>
      <c r="V227">
        <v>0.5</v>
      </c>
      <c r="W227">
        <v>3.33</v>
      </c>
      <c r="X227">
        <v>0.56999999999999995</v>
      </c>
      <c r="Y227">
        <v>0</v>
      </c>
      <c r="Z227">
        <v>0</v>
      </c>
      <c r="AA227">
        <v>0</v>
      </c>
      <c r="AB227">
        <v>0.01</v>
      </c>
      <c r="AC227">
        <v>8.1</v>
      </c>
      <c r="AD227">
        <v>42.96</v>
      </c>
      <c r="AE227">
        <v>2.52</v>
      </c>
      <c r="AF227">
        <v>0</v>
      </c>
      <c r="AG227">
        <v>6.2</v>
      </c>
      <c r="AH227">
        <v>41.13</v>
      </c>
      <c r="AI227">
        <v>7.04</v>
      </c>
      <c r="AJ227">
        <v>0</v>
      </c>
      <c r="AK227">
        <v>0</v>
      </c>
      <c r="AL227">
        <v>0</v>
      </c>
      <c r="AM227">
        <v>0.15</v>
      </c>
      <c r="AN227">
        <f t="shared" si="10"/>
        <v>2</v>
      </c>
      <c r="AO227" t="str">
        <f t="shared" si="11"/>
        <v>Monday</v>
      </c>
    </row>
    <row r="228" spans="1:41" x14ac:dyDescent="0.2">
      <c r="A228" t="s">
        <v>40</v>
      </c>
      <c r="B228" s="1">
        <v>45992</v>
      </c>
      <c r="C228" s="1">
        <f t="shared" si="9"/>
        <v>46022</v>
      </c>
      <c r="D228">
        <v>53</v>
      </c>
      <c r="E228">
        <v>133</v>
      </c>
      <c r="F228">
        <v>6</v>
      </c>
      <c r="G228">
        <v>0</v>
      </c>
      <c r="H228">
        <v>21</v>
      </c>
      <c r="I228">
        <v>0</v>
      </c>
      <c r="J228">
        <v>3</v>
      </c>
      <c r="K228">
        <v>60</v>
      </c>
      <c r="L228" t="s">
        <v>40</v>
      </c>
      <c r="M228" t="s">
        <v>38</v>
      </c>
      <c r="N228" s="1">
        <v>45992</v>
      </c>
      <c r="O228" s="2">
        <v>0.58452546296296293</v>
      </c>
      <c r="P228" s="2">
        <v>0.95837962962962964</v>
      </c>
      <c r="Q228">
        <v>8.98</v>
      </c>
      <c r="R228">
        <v>8.9700000000000006</v>
      </c>
      <c r="S228">
        <v>1.69</v>
      </c>
      <c r="T228">
        <v>1.01</v>
      </c>
      <c r="U228">
        <v>0</v>
      </c>
      <c r="V228">
        <v>0.56999999999999995</v>
      </c>
      <c r="W228">
        <v>3.4</v>
      </c>
      <c r="X228">
        <v>1.5</v>
      </c>
      <c r="Y228">
        <v>0.81</v>
      </c>
      <c r="Z228">
        <v>0</v>
      </c>
      <c r="AA228">
        <v>0</v>
      </c>
      <c r="AB228">
        <v>0</v>
      </c>
      <c r="AC228">
        <v>8.9700000000000006</v>
      </c>
      <c r="AD228">
        <v>18.82</v>
      </c>
      <c r="AE228">
        <v>11.29</v>
      </c>
      <c r="AF228">
        <v>0</v>
      </c>
      <c r="AG228">
        <v>6.3</v>
      </c>
      <c r="AH228">
        <v>37.869999999999997</v>
      </c>
      <c r="AI228">
        <v>16.7</v>
      </c>
      <c r="AJ228">
        <v>9</v>
      </c>
      <c r="AK228">
        <v>0</v>
      </c>
      <c r="AL228">
        <v>0</v>
      </c>
      <c r="AM228">
        <v>0.03</v>
      </c>
      <c r="AN228">
        <f t="shared" si="10"/>
        <v>2</v>
      </c>
      <c r="AO228" t="str">
        <f t="shared" si="11"/>
        <v>Monday</v>
      </c>
    </row>
    <row r="229" spans="1:41" x14ac:dyDescent="0.2">
      <c r="A229" t="s">
        <v>41</v>
      </c>
      <c r="B229" s="1">
        <v>45992</v>
      </c>
      <c r="C229" s="1">
        <f t="shared" si="9"/>
        <v>46022</v>
      </c>
      <c r="D229">
        <v>54</v>
      </c>
      <c r="E229">
        <v>124</v>
      </c>
      <c r="F229">
        <v>9</v>
      </c>
      <c r="G229">
        <v>11</v>
      </c>
      <c r="H229">
        <v>24</v>
      </c>
      <c r="I229">
        <v>0</v>
      </c>
      <c r="J229">
        <v>4</v>
      </c>
      <c r="K229">
        <v>47</v>
      </c>
      <c r="L229" t="s">
        <v>41</v>
      </c>
      <c r="M229" t="s">
        <v>38</v>
      </c>
      <c r="N229" s="1">
        <v>45992</v>
      </c>
      <c r="O229" s="2">
        <v>0.58349537037037036</v>
      </c>
      <c r="P229" s="2">
        <v>0.89489583333333333</v>
      </c>
      <c r="Q229">
        <v>7.47</v>
      </c>
      <c r="R229">
        <v>7.47</v>
      </c>
      <c r="S229">
        <v>2.21</v>
      </c>
      <c r="T229">
        <v>0.28999999999999998</v>
      </c>
      <c r="U229">
        <v>0</v>
      </c>
      <c r="V229">
        <v>0.4</v>
      </c>
      <c r="W229">
        <v>3.13</v>
      </c>
      <c r="X229">
        <v>1.43</v>
      </c>
      <c r="Y229">
        <v>0</v>
      </c>
      <c r="Z229">
        <v>0</v>
      </c>
      <c r="AA229">
        <v>0</v>
      </c>
      <c r="AB229">
        <v>0.01</v>
      </c>
      <c r="AC229">
        <v>7.47</v>
      </c>
      <c r="AD229">
        <v>29.58</v>
      </c>
      <c r="AE229">
        <v>3.82</v>
      </c>
      <c r="AF229">
        <v>0</v>
      </c>
      <c r="AG229">
        <v>5.33</v>
      </c>
      <c r="AH229">
        <v>41.92</v>
      </c>
      <c r="AI229">
        <v>19.170000000000002</v>
      </c>
      <c r="AJ229">
        <v>0</v>
      </c>
      <c r="AK229">
        <v>0</v>
      </c>
      <c r="AL229">
        <v>0</v>
      </c>
      <c r="AM229">
        <v>0.19</v>
      </c>
      <c r="AN229">
        <f t="shared" si="10"/>
        <v>2</v>
      </c>
      <c r="AO229" t="str">
        <f t="shared" si="11"/>
        <v>Monday</v>
      </c>
    </row>
    <row r="230" spans="1:41" x14ac:dyDescent="0.2">
      <c r="A230" t="s">
        <v>43</v>
      </c>
      <c r="B230" s="1">
        <v>45992</v>
      </c>
      <c r="C230" s="1">
        <f t="shared" si="9"/>
        <v>46022</v>
      </c>
      <c r="D230">
        <v>74</v>
      </c>
      <c r="E230">
        <v>251</v>
      </c>
      <c r="F230">
        <v>16</v>
      </c>
      <c r="G230">
        <v>6</v>
      </c>
      <c r="H230">
        <v>7</v>
      </c>
      <c r="I230">
        <v>1</v>
      </c>
      <c r="J230">
        <v>3</v>
      </c>
      <c r="K230">
        <v>141</v>
      </c>
      <c r="L230" t="s">
        <v>43</v>
      </c>
      <c r="M230" t="s">
        <v>38</v>
      </c>
      <c r="N230" s="1">
        <v>45992</v>
      </c>
      <c r="O230" s="2">
        <v>0.5833680555555556</v>
      </c>
      <c r="P230" s="2">
        <v>0.95917824074074076</v>
      </c>
      <c r="Q230">
        <v>9.02</v>
      </c>
      <c r="R230">
        <v>9.02</v>
      </c>
      <c r="S230">
        <v>2.91</v>
      </c>
      <c r="T230">
        <v>0.39</v>
      </c>
      <c r="U230">
        <v>0</v>
      </c>
      <c r="V230">
        <v>0.63</v>
      </c>
      <c r="W230">
        <v>3.69</v>
      </c>
      <c r="X230">
        <v>1.39</v>
      </c>
      <c r="Y230">
        <v>0</v>
      </c>
      <c r="Z230">
        <v>0</v>
      </c>
      <c r="AA230">
        <v>0</v>
      </c>
      <c r="AB230">
        <v>0</v>
      </c>
      <c r="AC230">
        <v>9.02</v>
      </c>
      <c r="AD230">
        <v>32.270000000000003</v>
      </c>
      <c r="AE230">
        <v>4.3099999999999996</v>
      </c>
      <c r="AF230">
        <v>0</v>
      </c>
      <c r="AG230">
        <v>6.98</v>
      </c>
      <c r="AH230">
        <v>40.94</v>
      </c>
      <c r="AI230">
        <v>15.46</v>
      </c>
      <c r="AJ230">
        <v>0</v>
      </c>
      <c r="AK230">
        <v>0</v>
      </c>
      <c r="AL230">
        <v>0</v>
      </c>
      <c r="AM230">
        <v>0.03</v>
      </c>
      <c r="AN230">
        <f t="shared" si="10"/>
        <v>2</v>
      </c>
      <c r="AO230" t="str">
        <f t="shared" si="11"/>
        <v>Monday</v>
      </c>
    </row>
    <row r="231" spans="1:41" x14ac:dyDescent="0.2">
      <c r="B231" s="1">
        <v>45992</v>
      </c>
      <c r="C231" s="1">
        <f t="shared" si="9"/>
        <v>46022</v>
      </c>
      <c r="D231">
        <v>1068</v>
      </c>
      <c r="E231">
        <v>0</v>
      </c>
      <c r="F231">
        <v>0</v>
      </c>
      <c r="G231">
        <v>0</v>
      </c>
      <c r="H231">
        <v>0</v>
      </c>
      <c r="I231">
        <v>0</v>
      </c>
      <c r="J231">
        <v>0</v>
      </c>
      <c r="K231">
        <v>0</v>
      </c>
      <c r="AN231">
        <f t="shared" si="10"/>
        <v>2</v>
      </c>
      <c r="AO231" t="str">
        <f t="shared" si="11"/>
        <v>Monday</v>
      </c>
    </row>
    <row r="232" spans="1:41" x14ac:dyDescent="0.2">
      <c r="A232" t="s">
        <v>37</v>
      </c>
      <c r="B232" s="1">
        <v>45987</v>
      </c>
      <c r="C232" s="1">
        <f t="shared" si="9"/>
        <v>45991</v>
      </c>
      <c r="D232">
        <v>42</v>
      </c>
      <c r="E232">
        <v>106</v>
      </c>
      <c r="F232">
        <v>11</v>
      </c>
      <c r="G232">
        <v>6</v>
      </c>
      <c r="H232">
        <v>4</v>
      </c>
      <c r="I232">
        <v>2</v>
      </c>
      <c r="J232">
        <v>2</v>
      </c>
      <c r="K232">
        <v>46</v>
      </c>
      <c r="L232" t="s">
        <v>37</v>
      </c>
      <c r="M232" t="s">
        <v>38</v>
      </c>
      <c r="N232" s="1">
        <v>45987</v>
      </c>
      <c r="O232" s="2">
        <v>0.5836689814814815</v>
      </c>
      <c r="P232" s="2">
        <v>0.96133101851851854</v>
      </c>
      <c r="Q232">
        <v>9.07</v>
      </c>
      <c r="R232">
        <v>8.1</v>
      </c>
      <c r="S232">
        <v>2.09</v>
      </c>
      <c r="T232">
        <v>7.0000000000000007E-2</v>
      </c>
      <c r="U232">
        <v>0</v>
      </c>
      <c r="V232">
        <v>0.21</v>
      </c>
      <c r="W232">
        <v>5.09</v>
      </c>
      <c r="X232">
        <v>0.55000000000000004</v>
      </c>
      <c r="Y232">
        <v>0</v>
      </c>
      <c r="Z232">
        <v>0</v>
      </c>
      <c r="AA232">
        <v>0.06</v>
      </c>
      <c r="AB232">
        <v>0.02</v>
      </c>
      <c r="AC232">
        <v>8.1</v>
      </c>
      <c r="AD232">
        <v>25.84</v>
      </c>
      <c r="AE232">
        <v>0.84</v>
      </c>
      <c r="AF232">
        <v>0</v>
      </c>
      <c r="AG232">
        <v>2.62</v>
      </c>
      <c r="AH232">
        <v>62.88</v>
      </c>
      <c r="AI232">
        <v>6.79</v>
      </c>
      <c r="AJ232">
        <v>0</v>
      </c>
      <c r="AK232">
        <v>0</v>
      </c>
      <c r="AL232">
        <v>0.8</v>
      </c>
      <c r="AM232">
        <v>0.23</v>
      </c>
      <c r="AN232">
        <f t="shared" si="10"/>
        <v>4</v>
      </c>
      <c r="AO232" t="str">
        <f t="shared" si="11"/>
        <v>Wednesday</v>
      </c>
    </row>
    <row r="233" spans="1:41" x14ac:dyDescent="0.2">
      <c r="A233" t="s">
        <v>40</v>
      </c>
      <c r="B233" s="1">
        <v>45987</v>
      </c>
      <c r="C233" s="1">
        <f t="shared" si="9"/>
        <v>45991</v>
      </c>
      <c r="D233">
        <v>36</v>
      </c>
      <c r="E233">
        <v>92</v>
      </c>
      <c r="F233">
        <v>5</v>
      </c>
      <c r="G233">
        <v>4</v>
      </c>
      <c r="H233">
        <v>15</v>
      </c>
      <c r="I233">
        <v>0</v>
      </c>
      <c r="J233">
        <v>0</v>
      </c>
      <c r="K233">
        <v>48</v>
      </c>
      <c r="L233" t="s">
        <v>40</v>
      </c>
      <c r="M233" t="s">
        <v>38</v>
      </c>
      <c r="N233" s="1">
        <v>45987</v>
      </c>
      <c r="O233" s="2">
        <v>0.583587962962963</v>
      </c>
      <c r="P233" s="2">
        <v>0.95835648148148145</v>
      </c>
      <c r="Q233">
        <v>9</v>
      </c>
      <c r="R233">
        <v>8.98</v>
      </c>
      <c r="S233">
        <v>1.61</v>
      </c>
      <c r="T233">
        <v>0.42</v>
      </c>
      <c r="U233">
        <v>0</v>
      </c>
      <c r="V233">
        <v>0.64</v>
      </c>
      <c r="W233">
        <v>4.8099999999999996</v>
      </c>
      <c r="X233">
        <v>1.5</v>
      </c>
      <c r="Y233">
        <v>0</v>
      </c>
      <c r="Z233">
        <v>0</v>
      </c>
      <c r="AA233">
        <v>0</v>
      </c>
      <c r="AB233">
        <v>0.01</v>
      </c>
      <c r="AC233">
        <v>8.98</v>
      </c>
      <c r="AD233">
        <v>17.93</v>
      </c>
      <c r="AE233">
        <v>4.68</v>
      </c>
      <c r="AF233">
        <v>0</v>
      </c>
      <c r="AG233">
        <v>7.11</v>
      </c>
      <c r="AH233">
        <v>53.55</v>
      </c>
      <c r="AI233">
        <v>16.68</v>
      </c>
      <c r="AJ233">
        <v>0</v>
      </c>
      <c r="AK233">
        <v>0</v>
      </c>
      <c r="AL233">
        <v>0</v>
      </c>
      <c r="AM233">
        <v>0.06</v>
      </c>
      <c r="AN233">
        <f t="shared" si="10"/>
        <v>4</v>
      </c>
      <c r="AO233" t="str">
        <f t="shared" si="11"/>
        <v>Wednesday</v>
      </c>
    </row>
    <row r="234" spans="1:41" x14ac:dyDescent="0.2">
      <c r="A234" t="s">
        <v>41</v>
      </c>
      <c r="B234" s="1">
        <v>45987</v>
      </c>
      <c r="C234" s="1">
        <f t="shared" si="9"/>
        <v>45991</v>
      </c>
      <c r="D234">
        <v>47</v>
      </c>
      <c r="E234">
        <v>119</v>
      </c>
      <c r="F234">
        <v>11</v>
      </c>
      <c r="G234">
        <v>13</v>
      </c>
      <c r="H234">
        <v>21</v>
      </c>
      <c r="I234">
        <v>4</v>
      </c>
      <c r="J234">
        <v>2</v>
      </c>
      <c r="K234">
        <v>43</v>
      </c>
      <c r="L234" t="s">
        <v>41</v>
      </c>
      <c r="M234" t="s">
        <v>38</v>
      </c>
      <c r="N234" s="1">
        <v>45987</v>
      </c>
      <c r="O234" s="2">
        <v>0.58344907407407409</v>
      </c>
      <c r="P234" s="2">
        <v>0.95721064814814816</v>
      </c>
      <c r="Q234">
        <v>8.9700000000000006</v>
      </c>
      <c r="R234">
        <v>8.9700000000000006</v>
      </c>
      <c r="S234">
        <v>2</v>
      </c>
      <c r="T234">
        <v>0.43</v>
      </c>
      <c r="U234">
        <v>0</v>
      </c>
      <c r="V234">
        <v>0.28999999999999998</v>
      </c>
      <c r="W234">
        <v>4.7699999999999996</v>
      </c>
      <c r="X234">
        <v>1.48</v>
      </c>
      <c r="Y234">
        <v>0</v>
      </c>
      <c r="Z234">
        <v>0</v>
      </c>
      <c r="AA234">
        <v>0</v>
      </c>
      <c r="AB234">
        <v>0</v>
      </c>
      <c r="AC234">
        <v>8.9700000000000006</v>
      </c>
      <c r="AD234">
        <v>22.27</v>
      </c>
      <c r="AE234">
        <v>4.7699999999999996</v>
      </c>
      <c r="AF234">
        <v>0</v>
      </c>
      <c r="AG234">
        <v>3.23</v>
      </c>
      <c r="AH234">
        <v>53.18</v>
      </c>
      <c r="AI234">
        <v>16.510000000000002</v>
      </c>
      <c r="AJ234">
        <v>0</v>
      </c>
      <c r="AK234">
        <v>0</v>
      </c>
      <c r="AL234">
        <v>0</v>
      </c>
      <c r="AM234">
        <v>0.04</v>
      </c>
      <c r="AN234">
        <f t="shared" si="10"/>
        <v>4</v>
      </c>
      <c r="AO234" t="str">
        <f t="shared" si="11"/>
        <v>Wednesday</v>
      </c>
    </row>
    <row r="235" spans="1:41" x14ac:dyDescent="0.2">
      <c r="A235" t="s">
        <v>43</v>
      </c>
      <c r="B235" s="1">
        <v>45987</v>
      </c>
      <c r="C235" s="1">
        <f t="shared" si="9"/>
        <v>45991</v>
      </c>
      <c r="D235">
        <v>47</v>
      </c>
      <c r="E235">
        <v>163</v>
      </c>
      <c r="F235">
        <v>4</v>
      </c>
      <c r="G235">
        <v>6</v>
      </c>
      <c r="H235">
        <v>13</v>
      </c>
      <c r="I235">
        <v>0</v>
      </c>
      <c r="J235">
        <v>0</v>
      </c>
      <c r="K235">
        <v>61</v>
      </c>
      <c r="L235" t="s">
        <v>43</v>
      </c>
      <c r="M235" t="s">
        <v>38</v>
      </c>
      <c r="N235" s="1">
        <v>45987</v>
      </c>
      <c r="O235" s="2">
        <v>0.58314814814814819</v>
      </c>
      <c r="P235" s="2">
        <v>0.96339120370370368</v>
      </c>
      <c r="Q235">
        <v>9.1300000000000008</v>
      </c>
      <c r="R235">
        <v>9.1300000000000008</v>
      </c>
      <c r="S235">
        <v>1.61</v>
      </c>
      <c r="T235">
        <v>0.26</v>
      </c>
      <c r="U235">
        <v>0</v>
      </c>
      <c r="V235">
        <v>0.56999999999999995</v>
      </c>
      <c r="W235">
        <v>5.18</v>
      </c>
      <c r="X235">
        <v>1.45</v>
      </c>
      <c r="Y235">
        <v>0</v>
      </c>
      <c r="Z235">
        <v>0</v>
      </c>
      <c r="AA235">
        <v>0.06</v>
      </c>
      <c r="AB235">
        <v>0</v>
      </c>
      <c r="AC235">
        <v>9.1300000000000008</v>
      </c>
      <c r="AD235">
        <v>17.649999999999999</v>
      </c>
      <c r="AE235">
        <v>2.89</v>
      </c>
      <c r="AF235">
        <v>0</v>
      </c>
      <c r="AG235">
        <v>6.23</v>
      </c>
      <c r="AH235">
        <v>56.76</v>
      </c>
      <c r="AI235">
        <v>15.84</v>
      </c>
      <c r="AJ235">
        <v>0</v>
      </c>
      <c r="AK235">
        <v>0</v>
      </c>
      <c r="AL235">
        <v>0.62</v>
      </c>
      <c r="AM235">
        <v>0.03</v>
      </c>
      <c r="AN235">
        <f t="shared" si="10"/>
        <v>4</v>
      </c>
      <c r="AO235" t="str">
        <f t="shared" si="11"/>
        <v>Wednesday</v>
      </c>
    </row>
    <row r="236" spans="1:41" x14ac:dyDescent="0.2">
      <c r="B236" s="1">
        <v>45987</v>
      </c>
      <c r="C236" s="1">
        <f t="shared" si="9"/>
        <v>45991</v>
      </c>
      <c r="D236">
        <v>1019</v>
      </c>
      <c r="E236">
        <v>0</v>
      </c>
      <c r="F236">
        <v>0</v>
      </c>
      <c r="G236">
        <v>0</v>
      </c>
      <c r="H236">
        <v>0</v>
      </c>
      <c r="I236">
        <v>0</v>
      </c>
      <c r="J236">
        <v>0</v>
      </c>
      <c r="K236">
        <v>0</v>
      </c>
      <c r="AN236">
        <f t="shared" si="10"/>
        <v>4</v>
      </c>
      <c r="AO236" t="str">
        <f t="shared" si="11"/>
        <v>Wednesday</v>
      </c>
    </row>
    <row r="237" spans="1:41" x14ac:dyDescent="0.2">
      <c r="A237" t="s">
        <v>37</v>
      </c>
      <c r="B237" s="1">
        <v>45986</v>
      </c>
      <c r="C237" s="1">
        <f t="shared" si="9"/>
        <v>45991</v>
      </c>
      <c r="D237">
        <v>58</v>
      </c>
      <c r="E237">
        <v>91</v>
      </c>
      <c r="F237">
        <v>6</v>
      </c>
      <c r="G237">
        <v>20</v>
      </c>
      <c r="H237">
        <v>14</v>
      </c>
      <c r="I237">
        <v>0</v>
      </c>
      <c r="J237">
        <v>1</v>
      </c>
      <c r="K237">
        <v>12</v>
      </c>
      <c r="L237" t="s">
        <v>37</v>
      </c>
      <c r="M237" t="s">
        <v>38</v>
      </c>
      <c r="N237" s="1">
        <v>45986</v>
      </c>
      <c r="O237" s="2">
        <v>0.58383101851851849</v>
      </c>
      <c r="P237" s="2">
        <v>0.95884259259259264</v>
      </c>
      <c r="Q237">
        <v>9</v>
      </c>
      <c r="R237">
        <v>7.82</v>
      </c>
      <c r="S237">
        <v>3.83</v>
      </c>
      <c r="T237">
        <v>0.17</v>
      </c>
      <c r="U237">
        <v>0</v>
      </c>
      <c r="V237">
        <v>0.6</v>
      </c>
      <c r="W237">
        <v>2.94</v>
      </c>
      <c r="X237">
        <v>0.2</v>
      </c>
      <c r="Y237">
        <v>0</v>
      </c>
      <c r="Z237">
        <v>0</v>
      </c>
      <c r="AA237">
        <v>0</v>
      </c>
      <c r="AB237">
        <v>0.08</v>
      </c>
      <c r="AC237">
        <v>7.82</v>
      </c>
      <c r="AD237">
        <v>48.95</v>
      </c>
      <c r="AE237">
        <v>2.17</v>
      </c>
      <c r="AF237">
        <v>0</v>
      </c>
      <c r="AG237">
        <v>7.66</v>
      </c>
      <c r="AH237">
        <v>37.65</v>
      </c>
      <c r="AI237">
        <v>2.5</v>
      </c>
      <c r="AJ237">
        <v>0</v>
      </c>
      <c r="AK237">
        <v>0</v>
      </c>
      <c r="AL237">
        <v>0</v>
      </c>
      <c r="AM237">
        <v>1.07</v>
      </c>
      <c r="AN237">
        <f t="shared" si="10"/>
        <v>3</v>
      </c>
      <c r="AO237" t="str">
        <f t="shared" si="11"/>
        <v>Tuesday</v>
      </c>
    </row>
    <row r="238" spans="1:41" x14ac:dyDescent="0.2">
      <c r="A238" t="s">
        <v>40</v>
      </c>
      <c r="B238" s="1">
        <v>45986</v>
      </c>
      <c r="C238" s="1">
        <f t="shared" si="9"/>
        <v>45991</v>
      </c>
      <c r="D238">
        <v>40</v>
      </c>
      <c r="E238">
        <v>46</v>
      </c>
      <c r="F238">
        <v>2</v>
      </c>
      <c r="G238">
        <v>0</v>
      </c>
      <c r="H238">
        <v>18</v>
      </c>
      <c r="I238">
        <v>0</v>
      </c>
      <c r="J238">
        <v>3</v>
      </c>
      <c r="K238">
        <v>2</v>
      </c>
      <c r="L238" t="s">
        <v>40</v>
      </c>
      <c r="M238" t="s">
        <v>38</v>
      </c>
      <c r="N238" s="1">
        <v>45986</v>
      </c>
      <c r="O238" s="2">
        <v>0.58390046296296294</v>
      </c>
      <c r="P238" s="2">
        <v>0.95834490740740741</v>
      </c>
      <c r="Q238">
        <v>9</v>
      </c>
      <c r="R238">
        <v>8.99</v>
      </c>
      <c r="S238">
        <v>1.5</v>
      </c>
      <c r="T238">
        <v>1.35</v>
      </c>
      <c r="U238">
        <v>0</v>
      </c>
      <c r="V238">
        <v>0.73</v>
      </c>
      <c r="W238">
        <v>3.89</v>
      </c>
      <c r="X238">
        <v>1.51</v>
      </c>
      <c r="Y238">
        <v>0</v>
      </c>
      <c r="Z238">
        <v>0</v>
      </c>
      <c r="AA238">
        <v>0</v>
      </c>
      <c r="AB238">
        <v>0.01</v>
      </c>
      <c r="AC238">
        <v>8.99</v>
      </c>
      <c r="AD238">
        <v>16.71</v>
      </c>
      <c r="AE238">
        <v>15.05</v>
      </c>
      <c r="AF238">
        <v>0</v>
      </c>
      <c r="AG238">
        <v>8.1300000000000008</v>
      </c>
      <c r="AH238">
        <v>43.26</v>
      </c>
      <c r="AI238">
        <v>16.78</v>
      </c>
      <c r="AJ238">
        <v>0</v>
      </c>
      <c r="AK238">
        <v>0</v>
      </c>
      <c r="AL238">
        <v>0</v>
      </c>
      <c r="AM238">
        <v>7.0000000000000007E-2</v>
      </c>
      <c r="AN238">
        <f t="shared" si="10"/>
        <v>3</v>
      </c>
      <c r="AO238" t="str">
        <f t="shared" si="11"/>
        <v>Tuesday</v>
      </c>
    </row>
    <row r="239" spans="1:41" x14ac:dyDescent="0.2">
      <c r="A239" t="s">
        <v>41</v>
      </c>
      <c r="B239" s="1">
        <v>45986</v>
      </c>
      <c r="C239" s="1">
        <f t="shared" si="9"/>
        <v>45991</v>
      </c>
      <c r="D239">
        <v>54</v>
      </c>
      <c r="E239">
        <v>71</v>
      </c>
      <c r="F239">
        <v>6</v>
      </c>
      <c r="G239">
        <v>11</v>
      </c>
      <c r="H239">
        <v>7</v>
      </c>
      <c r="I239">
        <v>0</v>
      </c>
      <c r="J239">
        <v>1</v>
      </c>
      <c r="K239">
        <v>14</v>
      </c>
      <c r="L239" t="s">
        <v>41</v>
      </c>
      <c r="M239" t="s">
        <v>38</v>
      </c>
      <c r="N239" s="1">
        <v>45986</v>
      </c>
      <c r="O239" s="2">
        <v>0.58386574074074071</v>
      </c>
      <c r="P239" s="2">
        <v>0.9577430555555555</v>
      </c>
      <c r="Q239">
        <v>8.98</v>
      </c>
      <c r="R239">
        <v>8.9700000000000006</v>
      </c>
      <c r="S239">
        <v>2.5</v>
      </c>
      <c r="T239">
        <v>0.49</v>
      </c>
      <c r="U239">
        <v>0</v>
      </c>
      <c r="V239">
        <v>0.42</v>
      </c>
      <c r="W239">
        <v>4.09</v>
      </c>
      <c r="X239">
        <v>1.47</v>
      </c>
      <c r="Y239">
        <v>0</v>
      </c>
      <c r="Z239">
        <v>0</v>
      </c>
      <c r="AA239">
        <v>0</v>
      </c>
      <c r="AB239">
        <v>0</v>
      </c>
      <c r="AC239">
        <v>8.9700000000000006</v>
      </c>
      <c r="AD239">
        <v>27.84</v>
      </c>
      <c r="AE239">
        <v>5.48</v>
      </c>
      <c r="AF239">
        <v>0</v>
      </c>
      <c r="AG239">
        <v>4.6500000000000004</v>
      </c>
      <c r="AH239">
        <v>45.61</v>
      </c>
      <c r="AI239">
        <v>16.38</v>
      </c>
      <c r="AJ239">
        <v>0</v>
      </c>
      <c r="AK239">
        <v>0</v>
      </c>
      <c r="AL239">
        <v>0</v>
      </c>
      <c r="AM239">
        <v>0.04</v>
      </c>
      <c r="AN239">
        <f t="shared" si="10"/>
        <v>3</v>
      </c>
      <c r="AO239" t="str">
        <f t="shared" si="11"/>
        <v>Tuesday</v>
      </c>
    </row>
    <row r="240" spans="1:41" x14ac:dyDescent="0.2">
      <c r="A240" t="s">
        <v>43</v>
      </c>
      <c r="B240" s="1">
        <v>45986</v>
      </c>
      <c r="C240" s="1">
        <f t="shared" si="9"/>
        <v>45991</v>
      </c>
      <c r="D240">
        <v>50</v>
      </c>
      <c r="E240">
        <v>78</v>
      </c>
      <c r="F240">
        <v>9</v>
      </c>
      <c r="G240">
        <v>3</v>
      </c>
      <c r="H240">
        <v>11</v>
      </c>
      <c r="I240">
        <v>1</v>
      </c>
      <c r="J240">
        <v>1</v>
      </c>
      <c r="K240">
        <v>7</v>
      </c>
      <c r="L240" t="s">
        <v>43</v>
      </c>
      <c r="M240" t="s">
        <v>38</v>
      </c>
      <c r="N240" s="1">
        <v>45986</v>
      </c>
      <c r="O240" s="2">
        <v>0.58452546296296293</v>
      </c>
      <c r="P240" s="2">
        <v>0.95956018518518515</v>
      </c>
      <c r="Q240">
        <v>9</v>
      </c>
      <c r="R240">
        <v>9</v>
      </c>
      <c r="S240">
        <v>2.68</v>
      </c>
      <c r="T240">
        <v>0.36</v>
      </c>
      <c r="U240">
        <v>0</v>
      </c>
      <c r="V240">
        <v>0.8</v>
      </c>
      <c r="W240">
        <v>3.74</v>
      </c>
      <c r="X240">
        <v>1.43</v>
      </c>
      <c r="Y240">
        <v>0</v>
      </c>
      <c r="Z240">
        <v>0</v>
      </c>
      <c r="AA240">
        <v>0</v>
      </c>
      <c r="AB240">
        <v>0</v>
      </c>
      <c r="AC240">
        <v>9</v>
      </c>
      <c r="AD240">
        <v>29.76</v>
      </c>
      <c r="AE240">
        <v>3.95</v>
      </c>
      <c r="AF240">
        <v>0</v>
      </c>
      <c r="AG240">
        <v>8.86</v>
      </c>
      <c r="AH240">
        <v>41.53</v>
      </c>
      <c r="AI240">
        <v>15.86</v>
      </c>
      <c r="AJ240">
        <v>0</v>
      </c>
      <c r="AK240">
        <v>0</v>
      </c>
      <c r="AL240">
        <v>0</v>
      </c>
      <c r="AM240">
        <v>0.03</v>
      </c>
      <c r="AN240">
        <f t="shared" si="10"/>
        <v>3</v>
      </c>
      <c r="AO240" t="str">
        <f t="shared" si="11"/>
        <v>Tuesday</v>
      </c>
    </row>
    <row r="241" spans="1:41" x14ac:dyDescent="0.2">
      <c r="B241" s="1">
        <v>45986</v>
      </c>
      <c r="C241" s="1">
        <f t="shared" si="9"/>
        <v>45991</v>
      </c>
      <c r="D241">
        <v>1175</v>
      </c>
      <c r="E241">
        <v>0</v>
      </c>
      <c r="F241">
        <v>0</v>
      </c>
      <c r="G241">
        <v>0</v>
      </c>
      <c r="H241">
        <v>0</v>
      </c>
      <c r="I241">
        <v>0</v>
      </c>
      <c r="J241">
        <v>0</v>
      </c>
      <c r="K241">
        <v>0</v>
      </c>
      <c r="AN241">
        <f t="shared" si="10"/>
        <v>3</v>
      </c>
      <c r="AO241" t="str">
        <f t="shared" si="11"/>
        <v>Tuesday</v>
      </c>
    </row>
    <row r="242" spans="1:41" x14ac:dyDescent="0.2">
      <c r="A242" t="s">
        <v>37</v>
      </c>
      <c r="B242" s="1">
        <v>45985</v>
      </c>
      <c r="C242" s="1">
        <f t="shared" si="9"/>
        <v>45991</v>
      </c>
      <c r="D242">
        <v>37</v>
      </c>
      <c r="E242">
        <v>76</v>
      </c>
      <c r="F242">
        <v>5</v>
      </c>
      <c r="G242">
        <v>6</v>
      </c>
      <c r="H242">
        <v>4</v>
      </c>
      <c r="I242">
        <v>0</v>
      </c>
      <c r="J242">
        <v>6</v>
      </c>
      <c r="K242">
        <v>30</v>
      </c>
      <c r="L242" t="s">
        <v>37</v>
      </c>
      <c r="M242" t="s">
        <v>38</v>
      </c>
      <c r="N242" s="1">
        <v>45985</v>
      </c>
      <c r="O242" s="2">
        <v>0.58202546296296298</v>
      </c>
      <c r="P242" s="2">
        <v>0.95835648148148145</v>
      </c>
      <c r="Q242">
        <v>9.0299999999999994</v>
      </c>
      <c r="R242">
        <v>8.19</v>
      </c>
      <c r="S242">
        <v>2.72</v>
      </c>
      <c r="T242">
        <v>0.25</v>
      </c>
      <c r="U242">
        <v>0</v>
      </c>
      <c r="V242">
        <v>0.35</v>
      </c>
      <c r="W242">
        <v>3.61</v>
      </c>
      <c r="X242">
        <v>0.56000000000000005</v>
      </c>
      <c r="Y242">
        <v>0.59</v>
      </c>
      <c r="Z242">
        <v>0</v>
      </c>
      <c r="AA242">
        <v>0</v>
      </c>
      <c r="AB242">
        <v>0.12</v>
      </c>
      <c r="AC242">
        <v>8.19</v>
      </c>
      <c r="AD242">
        <v>33.25</v>
      </c>
      <c r="AE242">
        <v>3.04</v>
      </c>
      <c r="AF242">
        <v>0</v>
      </c>
      <c r="AG242">
        <v>4.25</v>
      </c>
      <c r="AH242">
        <v>44</v>
      </c>
      <c r="AI242">
        <v>6.86</v>
      </c>
      <c r="AJ242">
        <v>7.17</v>
      </c>
      <c r="AK242">
        <v>0</v>
      </c>
      <c r="AL242">
        <v>0</v>
      </c>
      <c r="AM242">
        <v>1.43</v>
      </c>
      <c r="AN242">
        <f t="shared" si="10"/>
        <v>2</v>
      </c>
      <c r="AO242" t="str">
        <f t="shared" si="11"/>
        <v>Monday</v>
      </c>
    </row>
    <row r="243" spans="1:41" x14ac:dyDescent="0.2">
      <c r="A243" t="s">
        <v>40</v>
      </c>
      <c r="B243" s="1">
        <v>45985</v>
      </c>
      <c r="C243" s="1">
        <f t="shared" si="9"/>
        <v>45991</v>
      </c>
      <c r="D243">
        <v>32</v>
      </c>
      <c r="E243">
        <v>82</v>
      </c>
      <c r="F243">
        <v>6</v>
      </c>
      <c r="G243">
        <v>7</v>
      </c>
      <c r="H243">
        <v>13</v>
      </c>
      <c r="I243">
        <v>0</v>
      </c>
      <c r="J243">
        <v>3</v>
      </c>
      <c r="K243">
        <v>31</v>
      </c>
      <c r="L243" t="s">
        <v>40</v>
      </c>
      <c r="M243" t="s">
        <v>38</v>
      </c>
      <c r="N243" s="1">
        <v>45985</v>
      </c>
      <c r="O243" s="2">
        <v>0.58377314814814818</v>
      </c>
      <c r="P243" s="2">
        <v>0.95835648148148145</v>
      </c>
      <c r="Q243">
        <v>9</v>
      </c>
      <c r="R243">
        <v>8.99</v>
      </c>
      <c r="S243">
        <v>2.06</v>
      </c>
      <c r="T243">
        <v>0.5</v>
      </c>
      <c r="U243">
        <v>0</v>
      </c>
      <c r="V243">
        <v>0.44</v>
      </c>
      <c r="W243">
        <v>3.95</v>
      </c>
      <c r="X243">
        <v>1.52</v>
      </c>
      <c r="Y243">
        <v>0.52</v>
      </c>
      <c r="Z243">
        <v>0</v>
      </c>
      <c r="AA243">
        <v>0</v>
      </c>
      <c r="AB243">
        <v>0</v>
      </c>
      <c r="AC243">
        <v>8.99</v>
      </c>
      <c r="AD243">
        <v>22.94</v>
      </c>
      <c r="AE243">
        <v>5.52</v>
      </c>
      <c r="AF243">
        <v>0</v>
      </c>
      <c r="AG243">
        <v>4.8600000000000003</v>
      </c>
      <c r="AH243">
        <v>43.99</v>
      </c>
      <c r="AI243">
        <v>16.850000000000001</v>
      </c>
      <c r="AJ243">
        <v>5.8</v>
      </c>
      <c r="AK243">
        <v>0</v>
      </c>
      <c r="AL243">
        <v>0</v>
      </c>
      <c r="AM243">
        <v>0.04</v>
      </c>
      <c r="AN243">
        <f t="shared" si="10"/>
        <v>2</v>
      </c>
      <c r="AO243" t="str">
        <f t="shared" si="11"/>
        <v>Monday</v>
      </c>
    </row>
    <row r="244" spans="1:41" x14ac:dyDescent="0.2">
      <c r="A244" t="s">
        <v>41</v>
      </c>
      <c r="B244" s="1">
        <v>45985</v>
      </c>
      <c r="C244" s="1">
        <f t="shared" si="9"/>
        <v>45991</v>
      </c>
      <c r="D244">
        <v>55</v>
      </c>
      <c r="E244">
        <v>159</v>
      </c>
      <c r="F244">
        <v>16</v>
      </c>
      <c r="G244">
        <v>21</v>
      </c>
      <c r="H244">
        <v>8</v>
      </c>
      <c r="I244">
        <v>0</v>
      </c>
      <c r="J244">
        <v>18</v>
      </c>
      <c r="K244">
        <v>67</v>
      </c>
      <c r="L244" t="s">
        <v>41</v>
      </c>
      <c r="M244" t="s">
        <v>38</v>
      </c>
      <c r="N244" s="1">
        <v>45985</v>
      </c>
      <c r="O244" s="2">
        <v>0.58390046296296294</v>
      </c>
      <c r="P244" s="2">
        <v>0.95751157407407406</v>
      </c>
      <c r="Q244">
        <v>8.9700000000000006</v>
      </c>
      <c r="R244">
        <v>8.9700000000000006</v>
      </c>
      <c r="S244">
        <v>1.81</v>
      </c>
      <c r="T244">
        <v>0.42</v>
      </c>
      <c r="U244">
        <v>0</v>
      </c>
      <c r="V244">
        <v>0.36</v>
      </c>
      <c r="W244">
        <v>4.9000000000000004</v>
      </c>
      <c r="X244">
        <v>1.47</v>
      </c>
      <c r="Y244">
        <v>0</v>
      </c>
      <c r="Z244">
        <v>0</v>
      </c>
      <c r="AA244">
        <v>0</v>
      </c>
      <c r="AB244">
        <v>0</v>
      </c>
      <c r="AC244">
        <v>8.9700000000000006</v>
      </c>
      <c r="AD244">
        <v>20.13</v>
      </c>
      <c r="AE244">
        <v>4.6399999999999997</v>
      </c>
      <c r="AF244">
        <v>0</v>
      </c>
      <c r="AG244">
        <v>4.05</v>
      </c>
      <c r="AH244">
        <v>54.7</v>
      </c>
      <c r="AI244">
        <v>16.440000000000001</v>
      </c>
      <c r="AJ244">
        <v>0</v>
      </c>
      <c r="AK244">
        <v>0</v>
      </c>
      <c r="AL244">
        <v>0</v>
      </c>
      <c r="AM244">
        <v>0.04</v>
      </c>
      <c r="AN244">
        <f t="shared" si="10"/>
        <v>2</v>
      </c>
      <c r="AO244" t="str">
        <f t="shared" si="11"/>
        <v>Monday</v>
      </c>
    </row>
    <row r="245" spans="1:41" x14ac:dyDescent="0.2">
      <c r="A245" t="s">
        <v>42</v>
      </c>
      <c r="B245" s="1">
        <v>45985</v>
      </c>
      <c r="C245" s="1">
        <f t="shared" si="9"/>
        <v>45991</v>
      </c>
      <c r="D245">
        <v>1</v>
      </c>
      <c r="E245">
        <v>1</v>
      </c>
      <c r="F245">
        <v>0</v>
      </c>
      <c r="G245">
        <v>0</v>
      </c>
      <c r="H245">
        <v>0</v>
      </c>
      <c r="I245">
        <v>0</v>
      </c>
      <c r="J245">
        <v>0</v>
      </c>
      <c r="K245">
        <v>0</v>
      </c>
      <c r="L245" t="s">
        <v>42</v>
      </c>
      <c r="M245" t="s">
        <v>38</v>
      </c>
      <c r="N245" s="1">
        <v>45985</v>
      </c>
      <c r="O245" s="2">
        <v>0.80854166666666671</v>
      </c>
      <c r="R245">
        <v>4.59</v>
      </c>
      <c r="S245">
        <v>4.59</v>
      </c>
      <c r="T245">
        <v>0</v>
      </c>
      <c r="U245">
        <v>0</v>
      </c>
      <c r="V245">
        <v>0</v>
      </c>
      <c r="W245">
        <v>0</v>
      </c>
      <c r="X245">
        <v>0</v>
      </c>
      <c r="Y245">
        <v>0</v>
      </c>
      <c r="Z245">
        <v>0</v>
      </c>
      <c r="AA245">
        <v>0</v>
      </c>
      <c r="AB245">
        <v>0.01</v>
      </c>
      <c r="AC245">
        <v>4.59</v>
      </c>
      <c r="AD245">
        <v>99.79</v>
      </c>
      <c r="AE245">
        <v>0</v>
      </c>
      <c r="AF245">
        <v>0</v>
      </c>
      <c r="AG245">
        <v>0.09</v>
      </c>
      <c r="AH245">
        <v>0</v>
      </c>
      <c r="AI245">
        <v>0</v>
      </c>
      <c r="AJ245">
        <v>0</v>
      </c>
      <c r="AK245">
        <v>0</v>
      </c>
      <c r="AL245">
        <v>0</v>
      </c>
      <c r="AM245">
        <v>0.11</v>
      </c>
      <c r="AN245">
        <f t="shared" si="10"/>
        <v>2</v>
      </c>
      <c r="AO245" t="str">
        <f t="shared" si="11"/>
        <v>Monday</v>
      </c>
    </row>
    <row r="246" spans="1:41" x14ac:dyDescent="0.2">
      <c r="A246" t="s">
        <v>43</v>
      </c>
      <c r="B246" s="1">
        <v>45985</v>
      </c>
      <c r="C246" s="1">
        <f t="shared" si="9"/>
        <v>45991</v>
      </c>
      <c r="D246">
        <v>49</v>
      </c>
      <c r="E246">
        <v>134</v>
      </c>
      <c r="F246">
        <v>2</v>
      </c>
      <c r="G246">
        <v>7</v>
      </c>
      <c r="H246">
        <v>6</v>
      </c>
      <c r="I246">
        <v>1</v>
      </c>
      <c r="J246">
        <v>2</v>
      </c>
      <c r="K246">
        <v>64</v>
      </c>
      <c r="L246" t="s">
        <v>43</v>
      </c>
      <c r="M246" t="s">
        <v>38</v>
      </c>
      <c r="N246" s="1">
        <v>45985</v>
      </c>
      <c r="O246" s="2">
        <v>0.58420138888888884</v>
      </c>
      <c r="P246" s="2">
        <v>0.97603009259259255</v>
      </c>
      <c r="Q246">
        <v>9.4</v>
      </c>
      <c r="R246">
        <v>9.4</v>
      </c>
      <c r="S246">
        <v>2.88</v>
      </c>
      <c r="T246">
        <v>0.25</v>
      </c>
      <c r="U246">
        <v>0</v>
      </c>
      <c r="V246">
        <v>0.84</v>
      </c>
      <c r="W246">
        <v>3.77</v>
      </c>
      <c r="X246">
        <v>1.61</v>
      </c>
      <c r="Y246">
        <v>0</v>
      </c>
      <c r="Z246">
        <v>0</v>
      </c>
      <c r="AA246">
        <v>0.06</v>
      </c>
      <c r="AB246">
        <v>0</v>
      </c>
      <c r="AC246">
        <v>9.4</v>
      </c>
      <c r="AD246">
        <v>30.63</v>
      </c>
      <c r="AE246">
        <v>2.66</v>
      </c>
      <c r="AF246">
        <v>0</v>
      </c>
      <c r="AG246">
        <v>8.99</v>
      </c>
      <c r="AH246">
        <v>40.04</v>
      </c>
      <c r="AI246">
        <v>17.07</v>
      </c>
      <c r="AJ246">
        <v>0</v>
      </c>
      <c r="AK246">
        <v>0</v>
      </c>
      <c r="AL246">
        <v>0.59</v>
      </c>
      <c r="AM246">
        <v>0.03</v>
      </c>
      <c r="AN246">
        <f t="shared" si="10"/>
        <v>2</v>
      </c>
      <c r="AO246" t="str">
        <f t="shared" si="11"/>
        <v>Monday</v>
      </c>
    </row>
    <row r="247" spans="1:41" x14ac:dyDescent="0.2">
      <c r="B247" s="1">
        <v>45985</v>
      </c>
      <c r="C247" s="1">
        <f t="shared" si="9"/>
        <v>45991</v>
      </c>
      <c r="D247">
        <v>1021</v>
      </c>
      <c r="E247">
        <v>0</v>
      </c>
      <c r="F247">
        <v>0</v>
      </c>
      <c r="G247">
        <v>0</v>
      </c>
      <c r="H247">
        <v>0</v>
      </c>
      <c r="I247">
        <v>0</v>
      </c>
      <c r="J247">
        <v>0</v>
      </c>
      <c r="K247">
        <v>0</v>
      </c>
      <c r="AN247">
        <f t="shared" si="10"/>
        <v>2</v>
      </c>
      <c r="AO247" t="str">
        <f t="shared" si="11"/>
        <v>Monday</v>
      </c>
    </row>
    <row r="248" spans="1:41" x14ac:dyDescent="0.2">
      <c r="A248" t="s">
        <v>37</v>
      </c>
      <c r="B248" s="1">
        <v>45982</v>
      </c>
      <c r="C248" s="1">
        <f t="shared" si="9"/>
        <v>45991</v>
      </c>
      <c r="D248">
        <v>38</v>
      </c>
      <c r="E248">
        <v>71</v>
      </c>
      <c r="F248">
        <v>4</v>
      </c>
      <c r="G248">
        <v>8</v>
      </c>
      <c r="H248">
        <v>6</v>
      </c>
      <c r="I248">
        <v>0</v>
      </c>
      <c r="J248">
        <v>3</v>
      </c>
      <c r="K248">
        <v>26</v>
      </c>
      <c r="L248" t="s">
        <v>37</v>
      </c>
      <c r="M248" t="s">
        <v>38</v>
      </c>
      <c r="N248" s="1">
        <v>45982</v>
      </c>
      <c r="O248" s="2">
        <v>0.58704861111111106</v>
      </c>
      <c r="P248" s="2">
        <v>0.95835648148148145</v>
      </c>
      <c r="Q248">
        <v>8.92</v>
      </c>
      <c r="R248">
        <v>8.08</v>
      </c>
      <c r="S248">
        <v>2.0699999999999998</v>
      </c>
      <c r="T248">
        <v>0.18</v>
      </c>
      <c r="U248">
        <v>0</v>
      </c>
      <c r="V248">
        <v>0.5</v>
      </c>
      <c r="W248">
        <v>4.7300000000000004</v>
      </c>
      <c r="X248">
        <v>0.59</v>
      </c>
      <c r="Y248">
        <v>0</v>
      </c>
      <c r="Z248">
        <v>0</v>
      </c>
      <c r="AA248">
        <v>0</v>
      </c>
      <c r="AB248">
        <v>0.03</v>
      </c>
      <c r="AC248">
        <v>8.08</v>
      </c>
      <c r="AD248">
        <v>25.59</v>
      </c>
      <c r="AE248">
        <v>2.1800000000000002</v>
      </c>
      <c r="AF248">
        <v>0</v>
      </c>
      <c r="AG248">
        <v>6.14</v>
      </c>
      <c r="AH248">
        <v>58.48</v>
      </c>
      <c r="AI248">
        <v>7.28</v>
      </c>
      <c r="AJ248">
        <v>0</v>
      </c>
      <c r="AK248">
        <v>0</v>
      </c>
      <c r="AL248">
        <v>0</v>
      </c>
      <c r="AM248">
        <v>0.33</v>
      </c>
      <c r="AN248">
        <f t="shared" si="10"/>
        <v>6</v>
      </c>
      <c r="AO248" t="str">
        <f t="shared" si="11"/>
        <v>Friday</v>
      </c>
    </row>
    <row r="249" spans="1:41" x14ac:dyDescent="0.2">
      <c r="A249" t="s">
        <v>39</v>
      </c>
      <c r="B249" s="1">
        <v>45982</v>
      </c>
      <c r="C249" s="1">
        <f t="shared" si="9"/>
        <v>45991</v>
      </c>
      <c r="D249">
        <v>50</v>
      </c>
      <c r="E249">
        <v>115</v>
      </c>
      <c r="F249">
        <v>11</v>
      </c>
      <c r="G249">
        <v>2</v>
      </c>
      <c r="H249">
        <v>10</v>
      </c>
      <c r="I249">
        <v>0</v>
      </c>
      <c r="J249">
        <v>0</v>
      </c>
      <c r="K249">
        <v>50</v>
      </c>
      <c r="L249" t="s">
        <v>39</v>
      </c>
      <c r="M249" t="s">
        <v>38</v>
      </c>
      <c r="N249" s="1">
        <v>45982</v>
      </c>
      <c r="O249" s="2">
        <v>0.58341435185185186</v>
      </c>
      <c r="P249" s="2">
        <v>0.95844907407407409</v>
      </c>
      <c r="Q249">
        <v>9</v>
      </c>
      <c r="R249">
        <v>9</v>
      </c>
      <c r="S249">
        <v>2.16</v>
      </c>
      <c r="T249">
        <v>0</v>
      </c>
      <c r="U249">
        <v>0</v>
      </c>
      <c r="V249">
        <v>0.04</v>
      </c>
      <c r="W249">
        <v>5.4</v>
      </c>
      <c r="X249">
        <v>1.38</v>
      </c>
      <c r="Y249">
        <v>0</v>
      </c>
      <c r="Z249">
        <v>0</v>
      </c>
      <c r="AA249">
        <v>0</v>
      </c>
      <c r="AB249">
        <v>0.01</v>
      </c>
      <c r="AC249">
        <v>9</v>
      </c>
      <c r="AD249">
        <v>24.04</v>
      </c>
      <c r="AE249">
        <v>0</v>
      </c>
      <c r="AF249">
        <v>0</v>
      </c>
      <c r="AG249">
        <v>0.45</v>
      </c>
      <c r="AH249">
        <v>60.05</v>
      </c>
      <c r="AI249">
        <v>15.38</v>
      </c>
      <c r="AJ249">
        <v>0</v>
      </c>
      <c r="AK249">
        <v>0</v>
      </c>
      <c r="AL249">
        <v>0</v>
      </c>
      <c r="AM249">
        <v>0.08</v>
      </c>
      <c r="AN249">
        <f t="shared" si="10"/>
        <v>6</v>
      </c>
      <c r="AO249" t="str">
        <f t="shared" si="11"/>
        <v>Friday</v>
      </c>
    </row>
    <row r="250" spans="1:41" x14ac:dyDescent="0.2">
      <c r="A250" t="s">
        <v>40</v>
      </c>
      <c r="B250" s="1">
        <v>45982</v>
      </c>
      <c r="C250" s="1">
        <f t="shared" si="9"/>
        <v>45991</v>
      </c>
      <c r="D250">
        <v>35</v>
      </c>
      <c r="E250">
        <v>78</v>
      </c>
      <c r="F250">
        <v>15</v>
      </c>
      <c r="G250">
        <v>2</v>
      </c>
      <c r="H250">
        <v>8</v>
      </c>
      <c r="I250">
        <v>0</v>
      </c>
      <c r="J250">
        <v>1</v>
      </c>
      <c r="K250">
        <v>34</v>
      </c>
      <c r="L250" t="s">
        <v>40</v>
      </c>
      <c r="M250" t="s">
        <v>38</v>
      </c>
      <c r="N250" s="1">
        <v>45982</v>
      </c>
      <c r="O250" s="2">
        <v>0.5838888888888889</v>
      </c>
      <c r="P250" s="2">
        <v>0.95835648148148145</v>
      </c>
      <c r="Q250">
        <v>9</v>
      </c>
      <c r="R250">
        <v>8.99</v>
      </c>
      <c r="S250">
        <v>2.4</v>
      </c>
      <c r="T250">
        <v>1.06</v>
      </c>
      <c r="U250">
        <v>0</v>
      </c>
      <c r="V250">
        <v>0.28999999999999998</v>
      </c>
      <c r="W250">
        <v>3.73</v>
      </c>
      <c r="X250">
        <v>1.51</v>
      </c>
      <c r="Y250">
        <v>0</v>
      </c>
      <c r="Z250">
        <v>0</v>
      </c>
      <c r="AA250">
        <v>0</v>
      </c>
      <c r="AB250">
        <v>0</v>
      </c>
      <c r="AC250">
        <v>8.99</v>
      </c>
      <c r="AD250">
        <v>26.66</v>
      </c>
      <c r="AE250">
        <v>11.79</v>
      </c>
      <c r="AF250">
        <v>0</v>
      </c>
      <c r="AG250">
        <v>3.22</v>
      </c>
      <c r="AH250">
        <v>41.46</v>
      </c>
      <c r="AI250">
        <v>16.829999999999998</v>
      </c>
      <c r="AJ250">
        <v>0</v>
      </c>
      <c r="AK250">
        <v>0</v>
      </c>
      <c r="AL250">
        <v>0</v>
      </c>
      <c r="AM250">
        <v>0.03</v>
      </c>
      <c r="AN250">
        <f t="shared" si="10"/>
        <v>6</v>
      </c>
      <c r="AO250" t="str">
        <f t="shared" si="11"/>
        <v>Friday</v>
      </c>
    </row>
    <row r="251" spans="1:41" x14ac:dyDescent="0.2">
      <c r="A251" t="s">
        <v>41</v>
      </c>
      <c r="B251" s="1">
        <v>45982</v>
      </c>
      <c r="C251" s="1">
        <f t="shared" si="9"/>
        <v>45991</v>
      </c>
      <c r="D251">
        <v>50</v>
      </c>
      <c r="E251">
        <v>120</v>
      </c>
      <c r="F251">
        <v>10</v>
      </c>
      <c r="G251">
        <v>11</v>
      </c>
      <c r="H251">
        <v>8</v>
      </c>
      <c r="I251">
        <v>0</v>
      </c>
      <c r="J251">
        <v>4</v>
      </c>
      <c r="K251">
        <v>51</v>
      </c>
      <c r="L251" t="s">
        <v>41</v>
      </c>
      <c r="M251" t="s">
        <v>38</v>
      </c>
      <c r="N251" s="1">
        <v>45982</v>
      </c>
      <c r="O251" s="2">
        <v>0.58353009259259259</v>
      </c>
      <c r="P251" s="2">
        <v>0.9583680555555556</v>
      </c>
      <c r="Q251">
        <v>9</v>
      </c>
      <c r="R251">
        <v>8.99</v>
      </c>
      <c r="S251">
        <v>2.0699999999999998</v>
      </c>
      <c r="T251">
        <v>0.47</v>
      </c>
      <c r="U251">
        <v>0</v>
      </c>
      <c r="V251">
        <v>0.14000000000000001</v>
      </c>
      <c r="W251">
        <v>4.83</v>
      </c>
      <c r="X251">
        <v>1.47</v>
      </c>
      <c r="Y251">
        <v>0</v>
      </c>
      <c r="Z251">
        <v>0</v>
      </c>
      <c r="AA251">
        <v>0</v>
      </c>
      <c r="AB251">
        <v>0.01</v>
      </c>
      <c r="AC251">
        <v>8.99</v>
      </c>
      <c r="AD251">
        <v>23.07</v>
      </c>
      <c r="AE251">
        <v>5.21</v>
      </c>
      <c r="AF251">
        <v>0</v>
      </c>
      <c r="AG251">
        <v>1.59</v>
      </c>
      <c r="AH251">
        <v>53.75</v>
      </c>
      <c r="AI251">
        <v>16.32</v>
      </c>
      <c r="AJ251">
        <v>0</v>
      </c>
      <c r="AK251">
        <v>0</v>
      </c>
      <c r="AL251">
        <v>0</v>
      </c>
      <c r="AM251">
        <v>0.06</v>
      </c>
      <c r="AN251">
        <f t="shared" si="10"/>
        <v>6</v>
      </c>
      <c r="AO251" t="str">
        <f t="shared" si="11"/>
        <v>Friday</v>
      </c>
    </row>
    <row r="252" spans="1:41" x14ac:dyDescent="0.2">
      <c r="B252" s="1">
        <v>45982</v>
      </c>
      <c r="C252" s="1">
        <f t="shared" si="9"/>
        <v>45991</v>
      </c>
      <c r="D252">
        <v>1118</v>
      </c>
      <c r="E252">
        <v>0</v>
      </c>
      <c r="F252">
        <v>0</v>
      </c>
      <c r="G252">
        <v>0</v>
      </c>
      <c r="H252">
        <v>0</v>
      </c>
      <c r="I252">
        <v>0</v>
      </c>
      <c r="J252">
        <v>0</v>
      </c>
      <c r="K252">
        <v>0</v>
      </c>
      <c r="AN252">
        <f t="shared" si="10"/>
        <v>6</v>
      </c>
      <c r="AO252" t="str">
        <f t="shared" si="11"/>
        <v>Friday</v>
      </c>
    </row>
    <row r="253" spans="1:41" x14ac:dyDescent="0.2">
      <c r="A253" t="s">
        <v>37</v>
      </c>
      <c r="B253" s="1">
        <v>45981</v>
      </c>
      <c r="C253" s="1">
        <f t="shared" si="9"/>
        <v>45991</v>
      </c>
      <c r="D253">
        <v>30</v>
      </c>
      <c r="E253">
        <v>61</v>
      </c>
      <c r="F253">
        <v>0</v>
      </c>
      <c r="G253">
        <v>6</v>
      </c>
      <c r="H253">
        <v>0</v>
      </c>
      <c r="I253">
        <v>2</v>
      </c>
      <c r="J253">
        <v>1</v>
      </c>
      <c r="K253">
        <v>25</v>
      </c>
      <c r="L253" t="s">
        <v>37</v>
      </c>
      <c r="M253" t="s">
        <v>38</v>
      </c>
      <c r="N253" s="1">
        <v>45981</v>
      </c>
      <c r="O253" s="2">
        <v>0.58399305555555558</v>
      </c>
      <c r="P253" s="2">
        <v>0.95844907407407409</v>
      </c>
      <c r="Q253">
        <v>9</v>
      </c>
      <c r="R253">
        <v>8.42</v>
      </c>
      <c r="S253">
        <v>1.1299999999999999</v>
      </c>
      <c r="T253">
        <v>0.24</v>
      </c>
      <c r="U253">
        <v>0</v>
      </c>
      <c r="V253">
        <v>0.16</v>
      </c>
      <c r="W253">
        <v>3.9</v>
      </c>
      <c r="X253">
        <v>0.98</v>
      </c>
      <c r="Y253">
        <v>2</v>
      </c>
      <c r="Z253">
        <v>0</v>
      </c>
      <c r="AA253">
        <v>0</v>
      </c>
      <c r="AB253">
        <v>0.03</v>
      </c>
      <c r="AC253">
        <v>8.42</v>
      </c>
      <c r="AD253">
        <v>13.39</v>
      </c>
      <c r="AE253">
        <v>2.83</v>
      </c>
      <c r="AF253">
        <v>0</v>
      </c>
      <c r="AG253">
        <v>1.85</v>
      </c>
      <c r="AH253">
        <v>46.33</v>
      </c>
      <c r="AI253">
        <v>11.59</v>
      </c>
      <c r="AJ253">
        <v>23.72</v>
      </c>
      <c r="AK253">
        <v>0</v>
      </c>
      <c r="AL253">
        <v>0</v>
      </c>
      <c r="AM253">
        <v>0.3</v>
      </c>
      <c r="AN253">
        <f t="shared" si="10"/>
        <v>5</v>
      </c>
      <c r="AO253" t="str">
        <f t="shared" si="11"/>
        <v>Thursday</v>
      </c>
    </row>
    <row r="254" spans="1:41" x14ac:dyDescent="0.2">
      <c r="A254" t="s">
        <v>39</v>
      </c>
      <c r="B254" s="1">
        <v>45981</v>
      </c>
      <c r="C254" s="1">
        <f t="shared" si="9"/>
        <v>45991</v>
      </c>
      <c r="D254">
        <v>36</v>
      </c>
      <c r="E254">
        <v>83</v>
      </c>
      <c r="F254">
        <v>10</v>
      </c>
      <c r="G254">
        <v>11</v>
      </c>
      <c r="H254">
        <v>3</v>
      </c>
      <c r="I254">
        <v>0</v>
      </c>
      <c r="J254">
        <v>1</v>
      </c>
      <c r="K254">
        <v>37</v>
      </c>
      <c r="L254" t="s">
        <v>39</v>
      </c>
      <c r="M254" t="s">
        <v>38</v>
      </c>
      <c r="N254" s="1">
        <v>45981</v>
      </c>
      <c r="O254" s="2">
        <v>0.58351851851851855</v>
      </c>
      <c r="P254" s="2">
        <v>0.95835648148148145</v>
      </c>
      <c r="Q254">
        <v>9</v>
      </c>
      <c r="R254">
        <v>9</v>
      </c>
      <c r="S254">
        <v>0.99</v>
      </c>
      <c r="T254">
        <v>0</v>
      </c>
      <c r="U254">
        <v>0</v>
      </c>
      <c r="V254">
        <v>0.04</v>
      </c>
      <c r="W254">
        <v>5.18</v>
      </c>
      <c r="X254">
        <v>1.44</v>
      </c>
      <c r="Y254">
        <v>1.34</v>
      </c>
      <c r="Z254">
        <v>0</v>
      </c>
      <c r="AA254">
        <v>0</v>
      </c>
      <c r="AB254">
        <v>0</v>
      </c>
      <c r="AC254">
        <v>9</v>
      </c>
      <c r="AD254">
        <v>11.05</v>
      </c>
      <c r="AE254">
        <v>0</v>
      </c>
      <c r="AF254">
        <v>0</v>
      </c>
      <c r="AG254">
        <v>0.44</v>
      </c>
      <c r="AH254">
        <v>57.59</v>
      </c>
      <c r="AI254">
        <v>15.99</v>
      </c>
      <c r="AJ254">
        <v>14.89</v>
      </c>
      <c r="AK254">
        <v>0</v>
      </c>
      <c r="AL254">
        <v>0</v>
      </c>
      <c r="AM254">
        <v>0.04</v>
      </c>
      <c r="AN254">
        <f t="shared" si="10"/>
        <v>5</v>
      </c>
      <c r="AO254" t="str">
        <f t="shared" si="11"/>
        <v>Thursday</v>
      </c>
    </row>
    <row r="255" spans="1:41" x14ac:dyDescent="0.2">
      <c r="A255" t="s">
        <v>40</v>
      </c>
      <c r="B255" s="1">
        <v>45981</v>
      </c>
      <c r="C255" s="1">
        <f t="shared" si="9"/>
        <v>45991</v>
      </c>
      <c r="D255">
        <v>33</v>
      </c>
      <c r="E255">
        <v>97</v>
      </c>
      <c r="F255">
        <v>13</v>
      </c>
      <c r="G255">
        <v>8</v>
      </c>
      <c r="H255">
        <v>13</v>
      </c>
      <c r="I255">
        <v>2</v>
      </c>
      <c r="J255">
        <v>1</v>
      </c>
      <c r="K255">
        <v>47</v>
      </c>
      <c r="L255" t="s">
        <v>40</v>
      </c>
      <c r="M255" t="s">
        <v>38</v>
      </c>
      <c r="N255" s="1">
        <v>45981</v>
      </c>
      <c r="O255" s="2">
        <v>0.58420138888888884</v>
      </c>
      <c r="P255" s="2">
        <v>0.963287037037037</v>
      </c>
      <c r="Q255">
        <v>9.1</v>
      </c>
      <c r="R255">
        <v>9.1</v>
      </c>
      <c r="S255">
        <v>1.43</v>
      </c>
      <c r="T255">
        <v>0.31</v>
      </c>
      <c r="U255">
        <v>0</v>
      </c>
      <c r="V255">
        <v>0.17</v>
      </c>
      <c r="W255">
        <v>4.33</v>
      </c>
      <c r="X255">
        <v>1.52</v>
      </c>
      <c r="Y255">
        <v>1.33</v>
      </c>
      <c r="Z255">
        <v>0</v>
      </c>
      <c r="AA255">
        <v>0</v>
      </c>
      <c r="AB255">
        <v>0</v>
      </c>
      <c r="AC255">
        <v>9.1</v>
      </c>
      <c r="AD255">
        <v>15.72</v>
      </c>
      <c r="AE255">
        <v>3.44</v>
      </c>
      <c r="AF255">
        <v>0</v>
      </c>
      <c r="AG255">
        <v>1.85</v>
      </c>
      <c r="AH255">
        <v>47.6</v>
      </c>
      <c r="AI255">
        <v>16.739999999999998</v>
      </c>
      <c r="AJ255">
        <v>14.61</v>
      </c>
      <c r="AK255">
        <v>0</v>
      </c>
      <c r="AL255">
        <v>0</v>
      </c>
      <c r="AM255">
        <v>0.03</v>
      </c>
      <c r="AN255">
        <f t="shared" si="10"/>
        <v>5</v>
      </c>
      <c r="AO255" t="str">
        <f t="shared" si="11"/>
        <v>Thursday</v>
      </c>
    </row>
    <row r="256" spans="1:41" x14ac:dyDescent="0.2">
      <c r="A256" t="s">
        <v>41</v>
      </c>
      <c r="B256" s="1">
        <v>45981</v>
      </c>
      <c r="C256" s="1">
        <f t="shared" si="9"/>
        <v>45991</v>
      </c>
      <c r="D256">
        <v>30</v>
      </c>
      <c r="E256">
        <v>72</v>
      </c>
      <c r="F256">
        <v>1</v>
      </c>
      <c r="G256">
        <v>4</v>
      </c>
      <c r="H256">
        <v>2</v>
      </c>
      <c r="I256">
        <v>0</v>
      </c>
      <c r="J256">
        <v>4</v>
      </c>
      <c r="K256">
        <v>36</v>
      </c>
      <c r="L256" t="s">
        <v>41</v>
      </c>
      <c r="M256" t="s">
        <v>38</v>
      </c>
      <c r="N256" s="1">
        <v>45981</v>
      </c>
      <c r="O256" s="2">
        <v>0.58446759259259262</v>
      </c>
      <c r="P256" s="2">
        <v>0.95791666666666664</v>
      </c>
      <c r="Q256">
        <v>8.9700000000000006</v>
      </c>
      <c r="R256">
        <v>8.9600000000000009</v>
      </c>
      <c r="S256">
        <v>0.71</v>
      </c>
      <c r="T256">
        <v>0.68</v>
      </c>
      <c r="U256">
        <v>0</v>
      </c>
      <c r="V256">
        <v>0.08</v>
      </c>
      <c r="W256">
        <v>4.74</v>
      </c>
      <c r="X256">
        <v>1.4</v>
      </c>
      <c r="Y256">
        <v>1.34</v>
      </c>
      <c r="Z256">
        <v>0</v>
      </c>
      <c r="AA256">
        <v>0</v>
      </c>
      <c r="AB256">
        <v>0</v>
      </c>
      <c r="AC256">
        <v>8.9600000000000009</v>
      </c>
      <c r="AD256">
        <v>7.96</v>
      </c>
      <c r="AE256">
        <v>7.62</v>
      </c>
      <c r="AF256">
        <v>0</v>
      </c>
      <c r="AG256">
        <v>0.89</v>
      </c>
      <c r="AH256">
        <v>52.85</v>
      </c>
      <c r="AI256">
        <v>15.64</v>
      </c>
      <c r="AJ256">
        <v>15</v>
      </c>
      <c r="AK256">
        <v>0</v>
      </c>
      <c r="AL256">
        <v>0</v>
      </c>
      <c r="AM256">
        <v>0.04</v>
      </c>
      <c r="AN256">
        <f t="shared" si="10"/>
        <v>5</v>
      </c>
      <c r="AO256" t="str">
        <f t="shared" si="11"/>
        <v>Thursday</v>
      </c>
    </row>
    <row r="257" spans="1:41" x14ac:dyDescent="0.2">
      <c r="A257" t="s">
        <v>43</v>
      </c>
      <c r="B257" s="1">
        <v>45981</v>
      </c>
      <c r="C257" s="1">
        <f t="shared" si="9"/>
        <v>45991</v>
      </c>
      <c r="D257">
        <v>38</v>
      </c>
      <c r="E257">
        <v>104</v>
      </c>
      <c r="F257">
        <v>9</v>
      </c>
      <c r="G257">
        <v>3</v>
      </c>
      <c r="H257">
        <v>3</v>
      </c>
      <c r="I257">
        <v>0</v>
      </c>
      <c r="J257">
        <v>0</v>
      </c>
      <c r="K257">
        <v>55</v>
      </c>
      <c r="L257" t="s">
        <v>43</v>
      </c>
      <c r="M257" t="s">
        <v>38</v>
      </c>
      <c r="N257" s="1">
        <v>45981</v>
      </c>
      <c r="O257" s="2">
        <v>0.58476851851851852</v>
      </c>
      <c r="P257" s="2">
        <v>0.9586689814814815</v>
      </c>
      <c r="Q257">
        <v>8.9700000000000006</v>
      </c>
      <c r="R257">
        <v>8.9700000000000006</v>
      </c>
      <c r="S257">
        <v>1.2</v>
      </c>
      <c r="T257">
        <v>0.19</v>
      </c>
      <c r="U257">
        <v>0</v>
      </c>
      <c r="V257">
        <v>0.3</v>
      </c>
      <c r="W257">
        <v>4.49</v>
      </c>
      <c r="X257">
        <v>1.44</v>
      </c>
      <c r="Y257">
        <v>1.34</v>
      </c>
      <c r="Z257">
        <v>0</v>
      </c>
      <c r="AA257">
        <v>0</v>
      </c>
      <c r="AB257">
        <v>0</v>
      </c>
      <c r="AC257">
        <v>8.9700000000000006</v>
      </c>
      <c r="AD257">
        <v>13.4</v>
      </c>
      <c r="AE257">
        <v>2.12</v>
      </c>
      <c r="AF257">
        <v>0</v>
      </c>
      <c r="AG257">
        <v>3.33</v>
      </c>
      <c r="AH257">
        <v>50.09</v>
      </c>
      <c r="AI257">
        <v>16.05</v>
      </c>
      <c r="AJ257">
        <v>14.99</v>
      </c>
      <c r="AK257">
        <v>0</v>
      </c>
      <c r="AL257">
        <v>0</v>
      </c>
      <c r="AM257">
        <v>0.03</v>
      </c>
      <c r="AN257">
        <f t="shared" si="10"/>
        <v>5</v>
      </c>
      <c r="AO257" t="str">
        <f t="shared" si="11"/>
        <v>Thursday</v>
      </c>
    </row>
    <row r="258" spans="1:41" x14ac:dyDescent="0.2">
      <c r="B258" s="1">
        <v>45981</v>
      </c>
      <c r="C258" s="1">
        <f t="shared" si="9"/>
        <v>45991</v>
      </c>
      <c r="D258">
        <v>1105</v>
      </c>
      <c r="E258">
        <v>0</v>
      </c>
      <c r="F258">
        <v>0</v>
      </c>
      <c r="G258">
        <v>0</v>
      </c>
      <c r="H258">
        <v>0</v>
      </c>
      <c r="I258">
        <v>0</v>
      </c>
      <c r="J258">
        <v>0</v>
      </c>
      <c r="K258">
        <v>0</v>
      </c>
      <c r="AN258">
        <f t="shared" si="10"/>
        <v>5</v>
      </c>
      <c r="AO258" t="str">
        <f t="shared" si="11"/>
        <v>Thursday</v>
      </c>
    </row>
    <row r="259" spans="1:41" x14ac:dyDescent="0.2">
      <c r="A259" t="s">
        <v>37</v>
      </c>
      <c r="B259" s="1">
        <v>45980</v>
      </c>
      <c r="C259" s="1">
        <f t="shared" ref="C259:C322" si="12">EOMONTH(B259,0)</f>
        <v>45991</v>
      </c>
      <c r="D259">
        <v>33</v>
      </c>
      <c r="E259">
        <v>76</v>
      </c>
      <c r="F259">
        <v>10</v>
      </c>
      <c r="G259">
        <v>6</v>
      </c>
      <c r="H259">
        <v>5</v>
      </c>
      <c r="I259">
        <v>0</v>
      </c>
      <c r="J259">
        <v>2</v>
      </c>
      <c r="K259">
        <v>30</v>
      </c>
      <c r="L259" t="s">
        <v>37</v>
      </c>
      <c r="M259" t="s">
        <v>38</v>
      </c>
      <c r="N259" s="1">
        <v>45980</v>
      </c>
      <c r="O259" s="2">
        <v>0.58186342592592588</v>
      </c>
      <c r="P259" s="2">
        <v>0.95863425925925927</v>
      </c>
      <c r="Q259">
        <v>9.0500000000000007</v>
      </c>
      <c r="R259">
        <v>8.17</v>
      </c>
      <c r="S259">
        <v>2.63</v>
      </c>
      <c r="T259">
        <v>0.75</v>
      </c>
      <c r="U259">
        <v>0</v>
      </c>
      <c r="V259">
        <v>0.3</v>
      </c>
      <c r="W259">
        <v>3.81</v>
      </c>
      <c r="X259">
        <v>0.56999999999999995</v>
      </c>
      <c r="Y259">
        <v>0</v>
      </c>
      <c r="Z259">
        <v>0</v>
      </c>
      <c r="AA259">
        <v>0</v>
      </c>
      <c r="AB259">
        <v>0.11</v>
      </c>
      <c r="AC259">
        <v>8.17</v>
      </c>
      <c r="AD259">
        <v>32.22</v>
      </c>
      <c r="AE259">
        <v>9.23</v>
      </c>
      <c r="AF259">
        <v>0</v>
      </c>
      <c r="AG259">
        <v>3.64</v>
      </c>
      <c r="AH259">
        <v>46.59</v>
      </c>
      <c r="AI259">
        <v>7.03</v>
      </c>
      <c r="AJ259">
        <v>0</v>
      </c>
      <c r="AK259">
        <v>0</v>
      </c>
      <c r="AL259">
        <v>0</v>
      </c>
      <c r="AM259">
        <v>1.29</v>
      </c>
      <c r="AN259">
        <f t="shared" ref="AN259:AN322" si="13">WEEKDAY(B259,1)</f>
        <v>4</v>
      </c>
      <c r="AO259" t="str">
        <f t="shared" ref="AO259:AO322" si="14">VLOOKUP(AN259,$AY$2:$AZ$8,2,FALSE)</f>
        <v>Wednesday</v>
      </c>
    </row>
    <row r="260" spans="1:41" x14ac:dyDescent="0.2">
      <c r="A260" t="s">
        <v>39</v>
      </c>
      <c r="B260" s="1">
        <v>45980</v>
      </c>
      <c r="C260" s="1">
        <f t="shared" si="12"/>
        <v>45991</v>
      </c>
      <c r="D260">
        <v>45</v>
      </c>
      <c r="E260">
        <v>119</v>
      </c>
      <c r="F260">
        <v>16</v>
      </c>
      <c r="G260">
        <v>3</v>
      </c>
      <c r="H260">
        <v>3</v>
      </c>
      <c r="I260">
        <v>0</v>
      </c>
      <c r="J260">
        <v>3</v>
      </c>
      <c r="K260">
        <v>56</v>
      </c>
      <c r="L260" t="s">
        <v>39</v>
      </c>
      <c r="M260" t="s">
        <v>38</v>
      </c>
      <c r="N260" s="1">
        <v>45980</v>
      </c>
      <c r="O260" s="2">
        <v>0.58351851851851855</v>
      </c>
      <c r="P260" s="2">
        <v>0.95837962962962964</v>
      </c>
      <c r="Q260">
        <v>9</v>
      </c>
      <c r="R260">
        <v>9</v>
      </c>
      <c r="S260">
        <v>1.61</v>
      </c>
      <c r="T260">
        <v>0.13</v>
      </c>
      <c r="U260">
        <v>0</v>
      </c>
      <c r="V260">
        <v>0.04</v>
      </c>
      <c r="W260">
        <v>5.01</v>
      </c>
      <c r="X260">
        <v>1.48</v>
      </c>
      <c r="Y260">
        <v>0.71</v>
      </c>
      <c r="Z260">
        <v>0</v>
      </c>
      <c r="AA260">
        <v>0</v>
      </c>
      <c r="AB260">
        <v>0.01</v>
      </c>
      <c r="AC260">
        <v>9</v>
      </c>
      <c r="AD260">
        <v>17.88</v>
      </c>
      <c r="AE260">
        <v>1.44</v>
      </c>
      <c r="AF260">
        <v>0</v>
      </c>
      <c r="AG260">
        <v>0.48</v>
      </c>
      <c r="AH260">
        <v>55.71</v>
      </c>
      <c r="AI260">
        <v>16.5</v>
      </c>
      <c r="AJ260">
        <v>7.92</v>
      </c>
      <c r="AK260">
        <v>0</v>
      </c>
      <c r="AL260">
        <v>0</v>
      </c>
      <c r="AM260">
        <v>7.0000000000000007E-2</v>
      </c>
      <c r="AN260">
        <f t="shared" si="13"/>
        <v>4</v>
      </c>
      <c r="AO260" t="str">
        <f t="shared" si="14"/>
        <v>Wednesday</v>
      </c>
    </row>
    <row r="261" spans="1:41" x14ac:dyDescent="0.2">
      <c r="A261" t="s">
        <v>40</v>
      </c>
      <c r="B261" s="1">
        <v>45980</v>
      </c>
      <c r="C261" s="1">
        <f t="shared" si="12"/>
        <v>45991</v>
      </c>
      <c r="D261">
        <v>44</v>
      </c>
      <c r="E261">
        <v>102</v>
      </c>
      <c r="F261">
        <v>6</v>
      </c>
      <c r="G261">
        <v>0</v>
      </c>
      <c r="H261">
        <v>22</v>
      </c>
      <c r="I261">
        <v>0</v>
      </c>
      <c r="J261">
        <v>0</v>
      </c>
      <c r="K261">
        <v>50</v>
      </c>
      <c r="L261" t="s">
        <v>40</v>
      </c>
      <c r="M261" t="s">
        <v>38</v>
      </c>
      <c r="N261" s="1">
        <v>45980</v>
      </c>
      <c r="O261" s="2">
        <v>0.58356481481481481</v>
      </c>
      <c r="P261" s="2">
        <v>0.95834490740740741</v>
      </c>
      <c r="Q261">
        <v>9</v>
      </c>
      <c r="R261">
        <v>8.99</v>
      </c>
      <c r="S261">
        <v>1.86</v>
      </c>
      <c r="T261">
        <v>0.48</v>
      </c>
      <c r="U261">
        <v>0</v>
      </c>
      <c r="V261">
        <v>0.56999999999999995</v>
      </c>
      <c r="W261">
        <v>4.2699999999999996</v>
      </c>
      <c r="X261">
        <v>1.53</v>
      </c>
      <c r="Y261">
        <v>0.24</v>
      </c>
      <c r="Z261">
        <v>0</v>
      </c>
      <c r="AA261">
        <v>0.05</v>
      </c>
      <c r="AB261">
        <v>0.01</v>
      </c>
      <c r="AC261">
        <v>8.99</v>
      </c>
      <c r="AD261">
        <v>20.63</v>
      </c>
      <c r="AE261">
        <v>5.34</v>
      </c>
      <c r="AF261">
        <v>0</v>
      </c>
      <c r="AG261">
        <v>6.34</v>
      </c>
      <c r="AH261">
        <v>47.46</v>
      </c>
      <c r="AI261">
        <v>16.98</v>
      </c>
      <c r="AJ261">
        <v>2.67</v>
      </c>
      <c r="AK261">
        <v>0</v>
      </c>
      <c r="AL261">
        <v>0.53</v>
      </c>
      <c r="AM261">
        <v>0.06</v>
      </c>
      <c r="AN261">
        <f t="shared" si="13"/>
        <v>4</v>
      </c>
      <c r="AO261" t="str">
        <f t="shared" si="14"/>
        <v>Wednesday</v>
      </c>
    </row>
    <row r="262" spans="1:41" x14ac:dyDescent="0.2">
      <c r="A262" t="s">
        <v>41</v>
      </c>
      <c r="B262" s="1">
        <v>45980</v>
      </c>
      <c r="C262" s="1">
        <f t="shared" si="12"/>
        <v>45991</v>
      </c>
      <c r="D262">
        <v>53</v>
      </c>
      <c r="E262">
        <v>127</v>
      </c>
      <c r="F262">
        <v>8</v>
      </c>
      <c r="G262">
        <v>7</v>
      </c>
      <c r="H262">
        <v>12</v>
      </c>
      <c r="I262">
        <v>0</v>
      </c>
      <c r="J262">
        <v>1</v>
      </c>
      <c r="K262">
        <v>62</v>
      </c>
      <c r="L262" t="s">
        <v>41</v>
      </c>
      <c r="M262" t="s">
        <v>38</v>
      </c>
      <c r="N262" s="1">
        <v>45980</v>
      </c>
      <c r="O262" s="2">
        <v>0.58341435185185186</v>
      </c>
      <c r="P262" s="2">
        <v>0.95769675925925923</v>
      </c>
      <c r="Q262">
        <v>8.98</v>
      </c>
      <c r="R262">
        <v>8.98</v>
      </c>
      <c r="S262">
        <v>1.48</v>
      </c>
      <c r="T262">
        <v>0.34</v>
      </c>
      <c r="U262">
        <v>0</v>
      </c>
      <c r="V262">
        <v>0.25</v>
      </c>
      <c r="W262">
        <v>4.8099999999999996</v>
      </c>
      <c r="X262">
        <v>1.42</v>
      </c>
      <c r="Y262">
        <v>0.69</v>
      </c>
      <c r="Z262">
        <v>0</v>
      </c>
      <c r="AA262">
        <v>0</v>
      </c>
      <c r="AB262">
        <v>0</v>
      </c>
      <c r="AC262">
        <v>8.98</v>
      </c>
      <c r="AD262">
        <v>16.46</v>
      </c>
      <c r="AE262">
        <v>3.74</v>
      </c>
      <c r="AF262">
        <v>0</v>
      </c>
      <c r="AG262">
        <v>2.83</v>
      </c>
      <c r="AH262">
        <v>53.49</v>
      </c>
      <c r="AI262">
        <v>15.81</v>
      </c>
      <c r="AJ262">
        <v>7.63</v>
      </c>
      <c r="AK262">
        <v>0</v>
      </c>
      <c r="AL262">
        <v>0</v>
      </c>
      <c r="AM262">
        <v>0.04</v>
      </c>
      <c r="AN262">
        <f t="shared" si="13"/>
        <v>4</v>
      </c>
      <c r="AO262" t="str">
        <f t="shared" si="14"/>
        <v>Wednesday</v>
      </c>
    </row>
    <row r="263" spans="1:41" x14ac:dyDescent="0.2">
      <c r="A263" t="s">
        <v>43</v>
      </c>
      <c r="B263" s="1">
        <v>45980</v>
      </c>
      <c r="C263" s="1">
        <f t="shared" si="12"/>
        <v>45991</v>
      </c>
      <c r="D263">
        <v>68</v>
      </c>
      <c r="E263">
        <v>205</v>
      </c>
      <c r="F263">
        <v>11</v>
      </c>
      <c r="G263">
        <v>4</v>
      </c>
      <c r="H263">
        <v>14</v>
      </c>
      <c r="I263">
        <v>0</v>
      </c>
      <c r="J263">
        <v>0</v>
      </c>
      <c r="K263">
        <v>83</v>
      </c>
      <c r="L263" t="s">
        <v>43</v>
      </c>
      <c r="M263" t="s">
        <v>38</v>
      </c>
      <c r="N263" s="1">
        <v>45980</v>
      </c>
      <c r="O263" s="2">
        <v>0.583587962962963</v>
      </c>
      <c r="P263" s="2">
        <v>0.95902777777777781</v>
      </c>
      <c r="Q263">
        <v>9.02</v>
      </c>
      <c r="R263">
        <v>9.01</v>
      </c>
      <c r="S263">
        <v>2.11</v>
      </c>
      <c r="T263">
        <v>0.22</v>
      </c>
      <c r="U263">
        <v>0</v>
      </c>
      <c r="V263">
        <v>0.45</v>
      </c>
      <c r="W263">
        <v>4.79</v>
      </c>
      <c r="X263">
        <v>1.44</v>
      </c>
      <c r="Y263">
        <v>0</v>
      </c>
      <c r="Z263">
        <v>0</v>
      </c>
      <c r="AA263">
        <v>0</v>
      </c>
      <c r="AB263">
        <v>0</v>
      </c>
      <c r="AC263">
        <v>9.01</v>
      </c>
      <c r="AD263">
        <v>23.43</v>
      </c>
      <c r="AE263">
        <v>2.39</v>
      </c>
      <c r="AF263">
        <v>0</v>
      </c>
      <c r="AG263">
        <v>5.0199999999999996</v>
      </c>
      <c r="AH263">
        <v>53.18</v>
      </c>
      <c r="AI263">
        <v>15.94</v>
      </c>
      <c r="AJ263">
        <v>0</v>
      </c>
      <c r="AK263">
        <v>0</v>
      </c>
      <c r="AL263">
        <v>0</v>
      </c>
      <c r="AM263">
        <v>0.03</v>
      </c>
      <c r="AN263">
        <f t="shared" si="13"/>
        <v>4</v>
      </c>
      <c r="AO263" t="str">
        <f t="shared" si="14"/>
        <v>Wednesday</v>
      </c>
    </row>
    <row r="264" spans="1:41" x14ac:dyDescent="0.2">
      <c r="B264" s="1">
        <v>45980</v>
      </c>
      <c r="C264" s="1">
        <f t="shared" si="12"/>
        <v>45991</v>
      </c>
      <c r="D264">
        <v>995</v>
      </c>
      <c r="E264">
        <v>0</v>
      </c>
      <c r="F264">
        <v>0</v>
      </c>
      <c r="G264">
        <v>0</v>
      </c>
      <c r="H264">
        <v>0</v>
      </c>
      <c r="I264">
        <v>0</v>
      </c>
      <c r="J264">
        <v>0</v>
      </c>
      <c r="K264">
        <v>0</v>
      </c>
      <c r="AN264">
        <f t="shared" si="13"/>
        <v>4</v>
      </c>
      <c r="AO264" t="str">
        <f t="shared" si="14"/>
        <v>Wednesday</v>
      </c>
    </row>
    <row r="265" spans="1:41" x14ac:dyDescent="0.2">
      <c r="A265" t="s">
        <v>37</v>
      </c>
      <c r="B265" s="1">
        <v>45979</v>
      </c>
      <c r="C265" s="1">
        <f t="shared" si="12"/>
        <v>45991</v>
      </c>
      <c r="D265">
        <v>41</v>
      </c>
      <c r="E265">
        <v>105</v>
      </c>
      <c r="F265">
        <v>5</v>
      </c>
      <c r="G265">
        <v>4</v>
      </c>
      <c r="H265">
        <v>17</v>
      </c>
      <c r="I265">
        <v>0</v>
      </c>
      <c r="J265">
        <v>0</v>
      </c>
      <c r="K265">
        <v>42</v>
      </c>
      <c r="L265" t="s">
        <v>37</v>
      </c>
      <c r="M265" t="s">
        <v>38</v>
      </c>
      <c r="N265" s="1">
        <v>45979</v>
      </c>
      <c r="O265" s="2">
        <v>0.58384259259259264</v>
      </c>
      <c r="P265" s="2">
        <v>0.95854166666666663</v>
      </c>
      <c r="Q265">
        <v>9</v>
      </c>
      <c r="R265">
        <v>8.1300000000000008</v>
      </c>
      <c r="S265">
        <v>2.1</v>
      </c>
      <c r="T265">
        <v>1.19</v>
      </c>
      <c r="U265">
        <v>0</v>
      </c>
      <c r="V265">
        <v>0.28000000000000003</v>
      </c>
      <c r="W265">
        <v>3.87</v>
      </c>
      <c r="X265">
        <v>0.66</v>
      </c>
      <c r="Y265">
        <v>0</v>
      </c>
      <c r="Z265">
        <v>0</v>
      </c>
      <c r="AA265">
        <v>0</v>
      </c>
      <c r="AB265">
        <v>0.04</v>
      </c>
      <c r="AC265">
        <v>8.1300000000000008</v>
      </c>
      <c r="AD265">
        <v>25.79</v>
      </c>
      <c r="AE265">
        <v>14.64</v>
      </c>
      <c r="AF265">
        <v>0</v>
      </c>
      <c r="AG265">
        <v>3.47</v>
      </c>
      <c r="AH265">
        <v>47.54</v>
      </c>
      <c r="AI265">
        <v>8.08</v>
      </c>
      <c r="AJ265">
        <v>0</v>
      </c>
      <c r="AK265">
        <v>0</v>
      </c>
      <c r="AL265">
        <v>0</v>
      </c>
      <c r="AM265">
        <v>0.5</v>
      </c>
      <c r="AN265">
        <f t="shared" si="13"/>
        <v>3</v>
      </c>
      <c r="AO265" t="str">
        <f t="shared" si="14"/>
        <v>Tuesday</v>
      </c>
    </row>
    <row r="266" spans="1:41" x14ac:dyDescent="0.2">
      <c r="A266" t="s">
        <v>39</v>
      </c>
      <c r="B266" s="1">
        <v>45979</v>
      </c>
      <c r="C266" s="1">
        <f t="shared" si="12"/>
        <v>45991</v>
      </c>
      <c r="D266">
        <v>45</v>
      </c>
      <c r="E266">
        <v>115</v>
      </c>
      <c r="F266">
        <v>8</v>
      </c>
      <c r="G266">
        <v>8</v>
      </c>
      <c r="H266">
        <v>9</v>
      </c>
      <c r="I266">
        <v>0</v>
      </c>
      <c r="J266">
        <v>4</v>
      </c>
      <c r="K266">
        <v>57</v>
      </c>
      <c r="L266" t="s">
        <v>39</v>
      </c>
      <c r="M266" t="s">
        <v>38</v>
      </c>
      <c r="N266" s="1">
        <v>45979</v>
      </c>
      <c r="O266" s="2">
        <v>0.58353009259259259</v>
      </c>
      <c r="P266" s="2">
        <v>0.95835648148148145</v>
      </c>
      <c r="Q266">
        <v>9</v>
      </c>
      <c r="R266">
        <v>8.98</v>
      </c>
      <c r="S266">
        <v>1.85</v>
      </c>
      <c r="T266">
        <v>0.04</v>
      </c>
      <c r="U266">
        <v>0</v>
      </c>
      <c r="V266">
        <v>0.11</v>
      </c>
      <c r="W266">
        <v>5.49</v>
      </c>
      <c r="X266">
        <v>1.47</v>
      </c>
      <c r="Y266">
        <v>0</v>
      </c>
      <c r="Z266">
        <v>0</v>
      </c>
      <c r="AA266">
        <v>0</v>
      </c>
      <c r="AB266">
        <v>0.01</v>
      </c>
      <c r="AC266">
        <v>8.98</v>
      </c>
      <c r="AD266">
        <v>20.57</v>
      </c>
      <c r="AE266">
        <v>0.46</v>
      </c>
      <c r="AF266">
        <v>0</v>
      </c>
      <c r="AG266">
        <v>1.25</v>
      </c>
      <c r="AH266">
        <v>61.14</v>
      </c>
      <c r="AI266">
        <v>16.420000000000002</v>
      </c>
      <c r="AJ266">
        <v>0</v>
      </c>
      <c r="AK266">
        <v>0</v>
      </c>
      <c r="AL266">
        <v>0</v>
      </c>
      <c r="AM266">
        <v>0.16</v>
      </c>
      <c r="AN266">
        <f t="shared" si="13"/>
        <v>3</v>
      </c>
      <c r="AO266" t="str">
        <f t="shared" si="14"/>
        <v>Tuesday</v>
      </c>
    </row>
    <row r="267" spans="1:41" x14ac:dyDescent="0.2">
      <c r="A267" t="s">
        <v>40</v>
      </c>
      <c r="B267" s="1">
        <v>45979</v>
      </c>
      <c r="C267" s="1">
        <f t="shared" si="12"/>
        <v>45991</v>
      </c>
      <c r="D267">
        <v>53</v>
      </c>
      <c r="E267">
        <v>128</v>
      </c>
      <c r="F267">
        <v>8</v>
      </c>
      <c r="G267">
        <v>10</v>
      </c>
      <c r="H267">
        <v>16</v>
      </c>
      <c r="I267">
        <v>1</v>
      </c>
      <c r="J267">
        <v>3</v>
      </c>
      <c r="K267">
        <v>59</v>
      </c>
      <c r="L267" t="s">
        <v>40</v>
      </c>
      <c r="M267" t="s">
        <v>38</v>
      </c>
      <c r="N267" s="1">
        <v>45979</v>
      </c>
      <c r="O267" s="2">
        <v>0.5841898148148148</v>
      </c>
      <c r="P267" s="2">
        <v>0.95834490740740741</v>
      </c>
      <c r="Q267">
        <v>8.98</v>
      </c>
      <c r="R267">
        <v>8.9600000000000009</v>
      </c>
      <c r="S267">
        <v>1.92</v>
      </c>
      <c r="T267">
        <v>0.36</v>
      </c>
      <c r="U267">
        <v>0</v>
      </c>
      <c r="V267">
        <v>0.53</v>
      </c>
      <c r="W267">
        <v>4.6500000000000004</v>
      </c>
      <c r="X267">
        <v>1.5</v>
      </c>
      <c r="Y267">
        <v>0</v>
      </c>
      <c r="Z267">
        <v>0</v>
      </c>
      <c r="AA267">
        <v>0</v>
      </c>
      <c r="AB267">
        <v>0.01</v>
      </c>
      <c r="AC267">
        <v>8.9600000000000009</v>
      </c>
      <c r="AD267">
        <v>21.41</v>
      </c>
      <c r="AE267">
        <v>4.04</v>
      </c>
      <c r="AF267">
        <v>0</v>
      </c>
      <c r="AG267">
        <v>5.86</v>
      </c>
      <c r="AH267">
        <v>51.9</v>
      </c>
      <c r="AI267">
        <v>16.7</v>
      </c>
      <c r="AJ267">
        <v>0</v>
      </c>
      <c r="AK267">
        <v>0</v>
      </c>
      <c r="AL267">
        <v>0</v>
      </c>
      <c r="AM267">
        <v>0.09</v>
      </c>
      <c r="AN267">
        <f t="shared" si="13"/>
        <v>3</v>
      </c>
      <c r="AO267" t="str">
        <f t="shared" si="14"/>
        <v>Tuesday</v>
      </c>
    </row>
    <row r="268" spans="1:41" x14ac:dyDescent="0.2">
      <c r="A268" t="s">
        <v>41</v>
      </c>
      <c r="B268" s="1">
        <v>45979</v>
      </c>
      <c r="C268" s="1">
        <f t="shared" si="12"/>
        <v>45991</v>
      </c>
      <c r="D268">
        <v>45</v>
      </c>
      <c r="E268">
        <v>105</v>
      </c>
      <c r="F268">
        <v>20</v>
      </c>
      <c r="G268">
        <v>16</v>
      </c>
      <c r="H268">
        <v>4</v>
      </c>
      <c r="I268">
        <v>4</v>
      </c>
      <c r="J268">
        <v>7</v>
      </c>
      <c r="K268">
        <v>41</v>
      </c>
      <c r="L268" t="s">
        <v>41</v>
      </c>
      <c r="M268" t="s">
        <v>38</v>
      </c>
      <c r="N268" s="1">
        <v>45979</v>
      </c>
      <c r="O268" s="2">
        <v>0.58384259259259264</v>
      </c>
      <c r="P268" s="2">
        <v>0.95890046296296294</v>
      </c>
      <c r="Q268">
        <v>9</v>
      </c>
      <c r="R268">
        <v>9</v>
      </c>
      <c r="S268">
        <v>2.09</v>
      </c>
      <c r="T268">
        <v>0.62</v>
      </c>
      <c r="U268">
        <v>0</v>
      </c>
      <c r="V268">
        <v>0.36</v>
      </c>
      <c r="W268">
        <v>4.47</v>
      </c>
      <c r="X268">
        <v>1.45</v>
      </c>
      <c r="Y268">
        <v>0</v>
      </c>
      <c r="Z268">
        <v>0</v>
      </c>
      <c r="AA268">
        <v>0</v>
      </c>
      <c r="AB268">
        <v>0</v>
      </c>
      <c r="AC268">
        <v>9</v>
      </c>
      <c r="AD268">
        <v>23.26</v>
      </c>
      <c r="AE268">
        <v>6.92</v>
      </c>
      <c r="AF268">
        <v>0</v>
      </c>
      <c r="AG268">
        <v>3.99</v>
      </c>
      <c r="AH268">
        <v>49.7</v>
      </c>
      <c r="AI268">
        <v>16.09</v>
      </c>
      <c r="AJ268">
        <v>0</v>
      </c>
      <c r="AK268">
        <v>0</v>
      </c>
      <c r="AL268">
        <v>0</v>
      </c>
      <c r="AM268">
        <v>0.05</v>
      </c>
      <c r="AN268">
        <f t="shared" si="13"/>
        <v>3</v>
      </c>
      <c r="AO268" t="str">
        <f t="shared" si="14"/>
        <v>Tuesday</v>
      </c>
    </row>
    <row r="269" spans="1:41" x14ac:dyDescent="0.2">
      <c r="A269" t="s">
        <v>43</v>
      </c>
      <c r="B269" s="1">
        <v>45979</v>
      </c>
      <c r="C269" s="1">
        <f t="shared" si="12"/>
        <v>45991</v>
      </c>
      <c r="D269">
        <v>39</v>
      </c>
      <c r="E269">
        <v>87</v>
      </c>
      <c r="F269">
        <v>8</v>
      </c>
      <c r="G269">
        <v>11</v>
      </c>
      <c r="H269">
        <v>4</v>
      </c>
      <c r="I269">
        <v>0</v>
      </c>
      <c r="J269">
        <v>0</v>
      </c>
      <c r="K269">
        <v>26</v>
      </c>
      <c r="L269" t="s">
        <v>43</v>
      </c>
      <c r="M269" t="s">
        <v>38</v>
      </c>
      <c r="N269" s="1">
        <v>45979</v>
      </c>
      <c r="O269" s="2">
        <v>0.58362268518518523</v>
      </c>
      <c r="P269" s="2">
        <v>0.95841435185185186</v>
      </c>
      <c r="Q269">
        <v>9</v>
      </c>
      <c r="R269">
        <v>8.99</v>
      </c>
      <c r="S269">
        <v>2.09</v>
      </c>
      <c r="T269">
        <v>0.4</v>
      </c>
      <c r="U269">
        <v>0</v>
      </c>
      <c r="V269">
        <v>0.68</v>
      </c>
      <c r="W269">
        <v>4.26</v>
      </c>
      <c r="X269">
        <v>1.47</v>
      </c>
      <c r="Y269">
        <v>0</v>
      </c>
      <c r="Z269">
        <v>0</v>
      </c>
      <c r="AA269">
        <v>0.09</v>
      </c>
      <c r="AB269">
        <v>0</v>
      </c>
      <c r="AC269">
        <v>8.99</v>
      </c>
      <c r="AD269">
        <v>23.27</v>
      </c>
      <c r="AE269">
        <v>4.4000000000000004</v>
      </c>
      <c r="AF269">
        <v>0</v>
      </c>
      <c r="AG269">
        <v>7.57</v>
      </c>
      <c r="AH269">
        <v>47.39</v>
      </c>
      <c r="AI269">
        <v>16.309999999999999</v>
      </c>
      <c r="AJ269">
        <v>0</v>
      </c>
      <c r="AK269">
        <v>0</v>
      </c>
      <c r="AL269">
        <v>1.03</v>
      </c>
      <c r="AM269">
        <v>0.03</v>
      </c>
      <c r="AN269">
        <f t="shared" si="13"/>
        <v>3</v>
      </c>
      <c r="AO269" t="str">
        <f t="shared" si="14"/>
        <v>Tuesday</v>
      </c>
    </row>
    <row r="270" spans="1:41" x14ac:dyDescent="0.2">
      <c r="B270" s="1">
        <v>45979</v>
      </c>
      <c r="C270" s="1">
        <f t="shared" si="12"/>
        <v>45991</v>
      </c>
      <c r="D270">
        <v>1092</v>
      </c>
      <c r="E270">
        <v>0</v>
      </c>
      <c r="F270">
        <v>0</v>
      </c>
      <c r="G270">
        <v>0</v>
      </c>
      <c r="H270">
        <v>0</v>
      </c>
      <c r="I270">
        <v>0</v>
      </c>
      <c r="J270">
        <v>0</v>
      </c>
      <c r="K270">
        <v>0</v>
      </c>
      <c r="AN270">
        <f t="shared" si="13"/>
        <v>3</v>
      </c>
      <c r="AO270" t="str">
        <f t="shared" si="14"/>
        <v>Tuesday</v>
      </c>
    </row>
    <row r="271" spans="1:41" x14ac:dyDescent="0.2">
      <c r="A271" t="s">
        <v>37</v>
      </c>
      <c r="B271" s="1">
        <v>45978</v>
      </c>
      <c r="C271" s="1">
        <f t="shared" si="12"/>
        <v>45991</v>
      </c>
      <c r="D271">
        <v>38</v>
      </c>
      <c r="E271">
        <v>79</v>
      </c>
      <c r="F271">
        <v>5</v>
      </c>
      <c r="G271">
        <v>2</v>
      </c>
      <c r="H271">
        <v>8</v>
      </c>
      <c r="I271">
        <v>0</v>
      </c>
      <c r="J271">
        <v>4</v>
      </c>
      <c r="K271">
        <v>36</v>
      </c>
      <c r="L271" t="s">
        <v>37</v>
      </c>
      <c r="M271" t="s">
        <v>38</v>
      </c>
      <c r="N271" s="1">
        <v>45978</v>
      </c>
      <c r="O271" s="2">
        <v>0.58475694444444448</v>
      </c>
      <c r="P271" s="2">
        <v>0.978912037037037</v>
      </c>
      <c r="Q271">
        <v>9.4499999999999993</v>
      </c>
      <c r="R271">
        <v>8.59</v>
      </c>
      <c r="S271">
        <v>2.87</v>
      </c>
      <c r="T271">
        <v>1.1599999999999999</v>
      </c>
      <c r="U271">
        <v>0</v>
      </c>
      <c r="V271">
        <v>0.42</v>
      </c>
      <c r="W271">
        <v>3.02</v>
      </c>
      <c r="X271">
        <v>0.56000000000000005</v>
      </c>
      <c r="Y271">
        <v>0.47</v>
      </c>
      <c r="Z271">
        <v>0</v>
      </c>
      <c r="AA271">
        <v>0</v>
      </c>
      <c r="AB271">
        <v>0.1</v>
      </c>
      <c r="AC271">
        <v>8.59</v>
      </c>
      <c r="AD271">
        <v>33.369999999999997</v>
      </c>
      <c r="AE271">
        <v>13.45</v>
      </c>
      <c r="AF271">
        <v>0</v>
      </c>
      <c r="AG271">
        <v>4.93</v>
      </c>
      <c r="AH271">
        <v>35.130000000000003</v>
      </c>
      <c r="AI271">
        <v>6.5</v>
      </c>
      <c r="AJ271">
        <v>5.48</v>
      </c>
      <c r="AK271">
        <v>0</v>
      </c>
      <c r="AL271">
        <v>0</v>
      </c>
      <c r="AM271">
        <v>1.1399999999999999</v>
      </c>
      <c r="AN271">
        <f t="shared" si="13"/>
        <v>2</v>
      </c>
      <c r="AO271" t="str">
        <f t="shared" si="14"/>
        <v>Monday</v>
      </c>
    </row>
    <row r="272" spans="1:41" x14ac:dyDescent="0.2">
      <c r="A272" t="s">
        <v>39</v>
      </c>
      <c r="B272" s="1">
        <v>45978</v>
      </c>
      <c r="C272" s="1">
        <f t="shared" si="12"/>
        <v>45991</v>
      </c>
      <c r="D272">
        <v>43</v>
      </c>
      <c r="E272">
        <v>91</v>
      </c>
      <c r="F272">
        <v>15</v>
      </c>
      <c r="G272">
        <v>3</v>
      </c>
      <c r="H272">
        <v>16</v>
      </c>
      <c r="I272">
        <v>0</v>
      </c>
      <c r="J272">
        <v>1</v>
      </c>
      <c r="K272">
        <v>34</v>
      </c>
      <c r="L272" t="s">
        <v>39</v>
      </c>
      <c r="M272" t="s">
        <v>38</v>
      </c>
      <c r="N272" s="1">
        <v>45978</v>
      </c>
      <c r="O272" s="2">
        <v>0.58322916666666669</v>
      </c>
      <c r="P272" s="2">
        <v>0.96299768518518514</v>
      </c>
      <c r="Q272">
        <v>9.1199999999999992</v>
      </c>
      <c r="R272">
        <v>9.11</v>
      </c>
      <c r="S272">
        <v>2.33</v>
      </c>
      <c r="T272">
        <v>0.1</v>
      </c>
      <c r="U272">
        <v>0</v>
      </c>
      <c r="V272">
        <v>7.0000000000000007E-2</v>
      </c>
      <c r="W272">
        <v>5.15</v>
      </c>
      <c r="X272">
        <v>1.46</v>
      </c>
      <c r="Y272">
        <v>0</v>
      </c>
      <c r="Z272">
        <v>0</v>
      </c>
      <c r="AA272">
        <v>0</v>
      </c>
      <c r="AB272">
        <v>0</v>
      </c>
      <c r="AC272">
        <v>9.11</v>
      </c>
      <c r="AD272">
        <v>25.55</v>
      </c>
      <c r="AE272">
        <v>1.06</v>
      </c>
      <c r="AF272">
        <v>0</v>
      </c>
      <c r="AG272">
        <v>0.75</v>
      </c>
      <c r="AH272">
        <v>56.54</v>
      </c>
      <c r="AI272">
        <v>16.07</v>
      </c>
      <c r="AJ272">
        <v>0</v>
      </c>
      <c r="AK272">
        <v>0</v>
      </c>
      <c r="AL272">
        <v>0</v>
      </c>
      <c r="AM272">
        <v>0.04</v>
      </c>
      <c r="AN272">
        <f t="shared" si="13"/>
        <v>2</v>
      </c>
      <c r="AO272" t="str">
        <f t="shared" si="14"/>
        <v>Monday</v>
      </c>
    </row>
    <row r="273" spans="1:41" x14ac:dyDescent="0.2">
      <c r="A273" t="s">
        <v>40</v>
      </c>
      <c r="B273" s="1">
        <v>45978</v>
      </c>
      <c r="C273" s="1">
        <f t="shared" si="12"/>
        <v>45991</v>
      </c>
      <c r="D273">
        <v>46</v>
      </c>
      <c r="E273">
        <v>120</v>
      </c>
      <c r="F273">
        <v>20</v>
      </c>
      <c r="G273">
        <v>5</v>
      </c>
      <c r="H273">
        <v>20</v>
      </c>
      <c r="I273">
        <v>0</v>
      </c>
      <c r="J273">
        <v>0</v>
      </c>
      <c r="K273">
        <v>60</v>
      </c>
      <c r="L273" t="s">
        <v>40</v>
      </c>
      <c r="M273" t="s">
        <v>38</v>
      </c>
      <c r="N273" s="1">
        <v>45978</v>
      </c>
      <c r="O273" s="2">
        <v>0.58349537037037036</v>
      </c>
      <c r="P273" s="2">
        <v>0.95841435185185186</v>
      </c>
      <c r="Q273">
        <v>9</v>
      </c>
      <c r="R273">
        <v>8.99</v>
      </c>
      <c r="S273">
        <v>1.51</v>
      </c>
      <c r="T273">
        <v>0.6</v>
      </c>
      <c r="U273">
        <v>0</v>
      </c>
      <c r="V273">
        <v>0.68</v>
      </c>
      <c r="W273">
        <v>4.1500000000000004</v>
      </c>
      <c r="X273">
        <v>1.53</v>
      </c>
      <c r="Y273">
        <v>0.52</v>
      </c>
      <c r="Z273">
        <v>0</v>
      </c>
      <c r="AA273">
        <v>0</v>
      </c>
      <c r="AB273">
        <v>0.01</v>
      </c>
      <c r="AC273">
        <v>8.99</v>
      </c>
      <c r="AD273">
        <v>16.82</v>
      </c>
      <c r="AE273">
        <v>6.64</v>
      </c>
      <c r="AF273">
        <v>0</v>
      </c>
      <c r="AG273">
        <v>7.56</v>
      </c>
      <c r="AH273">
        <v>46.18</v>
      </c>
      <c r="AI273">
        <v>16.97</v>
      </c>
      <c r="AJ273">
        <v>5.74</v>
      </c>
      <c r="AK273">
        <v>0</v>
      </c>
      <c r="AL273">
        <v>0</v>
      </c>
      <c r="AM273">
        <v>0.1</v>
      </c>
      <c r="AN273">
        <f t="shared" si="13"/>
        <v>2</v>
      </c>
      <c r="AO273" t="str">
        <f t="shared" si="14"/>
        <v>Monday</v>
      </c>
    </row>
    <row r="274" spans="1:41" x14ac:dyDescent="0.2">
      <c r="A274" t="s">
        <v>41</v>
      </c>
      <c r="B274" s="1">
        <v>45978</v>
      </c>
      <c r="C274" s="1">
        <f t="shared" si="12"/>
        <v>45991</v>
      </c>
      <c r="D274">
        <v>57</v>
      </c>
      <c r="E274">
        <v>133</v>
      </c>
      <c r="F274">
        <v>15</v>
      </c>
      <c r="G274">
        <v>13</v>
      </c>
      <c r="H274">
        <v>4</v>
      </c>
      <c r="I274">
        <v>1</v>
      </c>
      <c r="J274">
        <v>5</v>
      </c>
      <c r="K274">
        <v>54</v>
      </c>
      <c r="L274" t="s">
        <v>41</v>
      </c>
      <c r="M274" t="s">
        <v>38</v>
      </c>
      <c r="N274" s="1">
        <v>45978</v>
      </c>
      <c r="O274" s="2">
        <v>0.58359953703703704</v>
      </c>
      <c r="P274" s="2">
        <v>0.95777777777777773</v>
      </c>
      <c r="Q274">
        <v>8.98</v>
      </c>
      <c r="R274">
        <v>8.98</v>
      </c>
      <c r="S274">
        <v>2.35</v>
      </c>
      <c r="T274">
        <v>0.82</v>
      </c>
      <c r="U274">
        <v>0</v>
      </c>
      <c r="V274">
        <v>0.21</v>
      </c>
      <c r="W274">
        <v>4.12</v>
      </c>
      <c r="X274">
        <v>1.48</v>
      </c>
      <c r="Y274">
        <v>0</v>
      </c>
      <c r="Z274">
        <v>0</v>
      </c>
      <c r="AA274">
        <v>0</v>
      </c>
      <c r="AB274">
        <v>0.01</v>
      </c>
      <c r="AC274">
        <v>8.98</v>
      </c>
      <c r="AD274">
        <v>26.18</v>
      </c>
      <c r="AE274">
        <v>9.08</v>
      </c>
      <c r="AF274">
        <v>0</v>
      </c>
      <c r="AG274">
        <v>2.33</v>
      </c>
      <c r="AH274">
        <v>45.89</v>
      </c>
      <c r="AI274">
        <v>16.46</v>
      </c>
      <c r="AJ274">
        <v>0</v>
      </c>
      <c r="AK274">
        <v>0</v>
      </c>
      <c r="AL274">
        <v>0</v>
      </c>
      <c r="AM274">
        <v>0.06</v>
      </c>
      <c r="AN274">
        <f t="shared" si="13"/>
        <v>2</v>
      </c>
      <c r="AO274" t="str">
        <f t="shared" si="14"/>
        <v>Monday</v>
      </c>
    </row>
    <row r="275" spans="1:41" x14ac:dyDescent="0.2">
      <c r="A275" t="s">
        <v>43</v>
      </c>
      <c r="B275" s="1">
        <v>45978</v>
      </c>
      <c r="C275" s="1">
        <f t="shared" si="12"/>
        <v>45991</v>
      </c>
      <c r="D275">
        <v>46</v>
      </c>
      <c r="E275">
        <v>135</v>
      </c>
      <c r="F275">
        <v>8</v>
      </c>
      <c r="G275">
        <v>2</v>
      </c>
      <c r="H275">
        <v>5</v>
      </c>
      <c r="I275">
        <v>0</v>
      </c>
      <c r="J275">
        <v>0</v>
      </c>
      <c r="K275">
        <v>64</v>
      </c>
      <c r="L275" t="s">
        <v>43</v>
      </c>
      <c r="M275" t="s">
        <v>38</v>
      </c>
      <c r="N275" s="1">
        <v>45978</v>
      </c>
      <c r="O275" s="2">
        <v>0.58334490740740741</v>
      </c>
      <c r="P275" s="2">
        <v>0.96056712962962965</v>
      </c>
      <c r="Q275">
        <v>9.0500000000000007</v>
      </c>
      <c r="R275">
        <v>9.0500000000000007</v>
      </c>
      <c r="S275">
        <v>1.52</v>
      </c>
      <c r="T275">
        <v>0.34</v>
      </c>
      <c r="U275">
        <v>0</v>
      </c>
      <c r="V275">
        <v>0.42</v>
      </c>
      <c r="W275">
        <v>4.63</v>
      </c>
      <c r="X275">
        <v>1.48</v>
      </c>
      <c r="Y275">
        <v>0.65</v>
      </c>
      <c r="Z275">
        <v>0</v>
      </c>
      <c r="AA275">
        <v>0</v>
      </c>
      <c r="AB275">
        <v>0</v>
      </c>
      <c r="AC275">
        <v>9.0500000000000007</v>
      </c>
      <c r="AD275">
        <v>16.760000000000002</v>
      </c>
      <c r="AE275">
        <v>3.76</v>
      </c>
      <c r="AF275">
        <v>0</v>
      </c>
      <c r="AG275">
        <v>4.66</v>
      </c>
      <c r="AH275">
        <v>51.18</v>
      </c>
      <c r="AI275">
        <v>16.38</v>
      </c>
      <c r="AJ275">
        <v>7.23</v>
      </c>
      <c r="AK275">
        <v>0</v>
      </c>
      <c r="AL275">
        <v>0</v>
      </c>
      <c r="AM275">
        <v>0.03</v>
      </c>
      <c r="AN275">
        <f t="shared" si="13"/>
        <v>2</v>
      </c>
      <c r="AO275" t="str">
        <f t="shared" si="14"/>
        <v>Monday</v>
      </c>
    </row>
    <row r="276" spans="1:41" x14ac:dyDescent="0.2">
      <c r="B276" s="1">
        <v>45978</v>
      </c>
      <c r="C276" s="1">
        <f t="shared" si="12"/>
        <v>45991</v>
      </c>
      <c r="D276">
        <v>1014</v>
      </c>
      <c r="E276">
        <v>0</v>
      </c>
      <c r="F276">
        <v>0</v>
      </c>
      <c r="G276">
        <v>0</v>
      </c>
      <c r="H276">
        <v>0</v>
      </c>
      <c r="I276">
        <v>0</v>
      </c>
      <c r="J276">
        <v>0</v>
      </c>
      <c r="K276">
        <v>0</v>
      </c>
      <c r="AN276">
        <f t="shared" si="13"/>
        <v>2</v>
      </c>
      <c r="AO276" t="str">
        <f t="shared" si="14"/>
        <v>Monday</v>
      </c>
    </row>
    <row r="277" spans="1:41" x14ac:dyDescent="0.2">
      <c r="A277" t="s">
        <v>37</v>
      </c>
      <c r="B277" s="1">
        <v>45975</v>
      </c>
      <c r="C277" s="1">
        <f t="shared" si="12"/>
        <v>45991</v>
      </c>
      <c r="D277">
        <v>34</v>
      </c>
      <c r="E277">
        <v>69</v>
      </c>
      <c r="F277">
        <v>9</v>
      </c>
      <c r="G277">
        <v>4</v>
      </c>
      <c r="H277">
        <v>3</v>
      </c>
      <c r="I277">
        <v>1</v>
      </c>
      <c r="J277">
        <v>6</v>
      </c>
      <c r="K277">
        <v>30</v>
      </c>
      <c r="L277" t="s">
        <v>37</v>
      </c>
      <c r="M277" t="s">
        <v>38</v>
      </c>
      <c r="N277" s="1">
        <v>45975</v>
      </c>
      <c r="O277" s="2">
        <v>0.58405092592592589</v>
      </c>
      <c r="P277" s="2">
        <v>0.95849537037037036</v>
      </c>
      <c r="Q277">
        <v>8.98</v>
      </c>
      <c r="R277">
        <v>8.1199999999999992</v>
      </c>
      <c r="S277">
        <v>2.37</v>
      </c>
      <c r="T277">
        <v>0.52</v>
      </c>
      <c r="U277">
        <v>0</v>
      </c>
      <c r="V277">
        <v>0.4</v>
      </c>
      <c r="W277">
        <v>4.3099999999999996</v>
      </c>
      <c r="X277">
        <v>0.5</v>
      </c>
      <c r="Y277">
        <v>0</v>
      </c>
      <c r="Z277">
        <v>0</v>
      </c>
      <c r="AA277">
        <v>0</v>
      </c>
      <c r="AB277">
        <v>0.01</v>
      </c>
      <c r="AC277">
        <v>8.1199999999999992</v>
      </c>
      <c r="AD277">
        <v>29.22</v>
      </c>
      <c r="AE277">
        <v>6.43</v>
      </c>
      <c r="AF277">
        <v>0</v>
      </c>
      <c r="AG277">
        <v>4.9000000000000004</v>
      </c>
      <c r="AH277">
        <v>53.12</v>
      </c>
      <c r="AI277">
        <v>6.21</v>
      </c>
      <c r="AJ277">
        <v>0</v>
      </c>
      <c r="AK277">
        <v>0</v>
      </c>
      <c r="AL277">
        <v>0</v>
      </c>
      <c r="AM277">
        <v>0.11</v>
      </c>
      <c r="AN277">
        <f t="shared" si="13"/>
        <v>6</v>
      </c>
      <c r="AO277" t="str">
        <f t="shared" si="14"/>
        <v>Friday</v>
      </c>
    </row>
    <row r="278" spans="1:41" x14ac:dyDescent="0.2">
      <c r="A278" t="s">
        <v>39</v>
      </c>
      <c r="B278" s="1">
        <v>45975</v>
      </c>
      <c r="C278" s="1">
        <f t="shared" si="12"/>
        <v>45991</v>
      </c>
      <c r="D278">
        <v>33</v>
      </c>
      <c r="E278">
        <v>81</v>
      </c>
      <c r="F278">
        <v>9</v>
      </c>
      <c r="G278">
        <v>1</v>
      </c>
      <c r="H278">
        <v>5</v>
      </c>
      <c r="I278">
        <v>1</v>
      </c>
      <c r="J278">
        <v>0</v>
      </c>
      <c r="K278">
        <v>35</v>
      </c>
      <c r="L278" t="s">
        <v>39</v>
      </c>
      <c r="M278" t="s">
        <v>38</v>
      </c>
      <c r="N278" s="1">
        <v>45975</v>
      </c>
      <c r="O278" s="2">
        <v>0.58347222222222217</v>
      </c>
      <c r="P278" s="2">
        <v>0.95839120370370368</v>
      </c>
      <c r="Q278">
        <v>9</v>
      </c>
      <c r="R278">
        <v>9.02</v>
      </c>
      <c r="S278">
        <v>1.31</v>
      </c>
      <c r="T278">
        <v>0.06</v>
      </c>
      <c r="U278">
        <v>0</v>
      </c>
      <c r="V278">
        <v>0.11</v>
      </c>
      <c r="W278">
        <v>6.02</v>
      </c>
      <c r="X278">
        <v>1.5</v>
      </c>
      <c r="Y278">
        <v>0</v>
      </c>
      <c r="Z278">
        <v>0</v>
      </c>
      <c r="AA278">
        <v>0</v>
      </c>
      <c r="AB278">
        <v>0</v>
      </c>
      <c r="AC278">
        <v>9.02</v>
      </c>
      <c r="AD278">
        <v>14.58</v>
      </c>
      <c r="AE278">
        <v>0.72</v>
      </c>
      <c r="AF278">
        <v>0</v>
      </c>
      <c r="AG278">
        <v>1.26</v>
      </c>
      <c r="AH278">
        <v>66.790000000000006</v>
      </c>
      <c r="AI278">
        <v>16.61</v>
      </c>
      <c r="AJ278">
        <v>0</v>
      </c>
      <c r="AK278">
        <v>0</v>
      </c>
      <c r="AL278">
        <v>0</v>
      </c>
      <c r="AM278">
        <v>0.05</v>
      </c>
      <c r="AN278">
        <f t="shared" si="13"/>
        <v>6</v>
      </c>
      <c r="AO278" t="str">
        <f t="shared" si="14"/>
        <v>Friday</v>
      </c>
    </row>
    <row r="279" spans="1:41" x14ac:dyDescent="0.2">
      <c r="A279" t="s">
        <v>40</v>
      </c>
      <c r="B279" s="1">
        <v>45975</v>
      </c>
      <c r="C279" s="1">
        <f t="shared" si="12"/>
        <v>45991</v>
      </c>
      <c r="D279">
        <v>26</v>
      </c>
      <c r="E279">
        <v>66</v>
      </c>
      <c r="F279">
        <v>6</v>
      </c>
      <c r="G279">
        <v>7</v>
      </c>
      <c r="H279">
        <v>10</v>
      </c>
      <c r="I279">
        <v>0</v>
      </c>
      <c r="J279">
        <v>5</v>
      </c>
      <c r="K279">
        <v>23</v>
      </c>
      <c r="L279" t="s">
        <v>40</v>
      </c>
      <c r="M279" t="s">
        <v>38</v>
      </c>
      <c r="N279" s="1">
        <v>45975</v>
      </c>
      <c r="O279" s="2">
        <v>0.58349537037037036</v>
      </c>
      <c r="P279" s="2">
        <v>0.95874999999999999</v>
      </c>
      <c r="Q279">
        <v>9</v>
      </c>
      <c r="R279">
        <v>9.01</v>
      </c>
      <c r="S279">
        <v>2.02</v>
      </c>
      <c r="T279">
        <v>1.0900000000000001</v>
      </c>
      <c r="U279">
        <v>0</v>
      </c>
      <c r="V279">
        <v>0.27</v>
      </c>
      <c r="W279">
        <v>4.12</v>
      </c>
      <c r="X279">
        <v>1.49</v>
      </c>
      <c r="Y279">
        <v>0</v>
      </c>
      <c r="Z279">
        <v>0</v>
      </c>
      <c r="AA279">
        <v>0</v>
      </c>
      <c r="AB279">
        <v>0.01</v>
      </c>
      <c r="AC279">
        <v>9.01</v>
      </c>
      <c r="AD279">
        <v>22.41</v>
      </c>
      <c r="AE279">
        <v>12.11</v>
      </c>
      <c r="AF279">
        <v>0</v>
      </c>
      <c r="AG279">
        <v>3.01</v>
      </c>
      <c r="AH279">
        <v>45.79</v>
      </c>
      <c r="AI279">
        <v>16.55</v>
      </c>
      <c r="AJ279">
        <v>0</v>
      </c>
      <c r="AK279">
        <v>0</v>
      </c>
      <c r="AL279">
        <v>0</v>
      </c>
      <c r="AM279">
        <v>0.14000000000000001</v>
      </c>
      <c r="AN279">
        <f t="shared" si="13"/>
        <v>6</v>
      </c>
      <c r="AO279" t="str">
        <f t="shared" si="14"/>
        <v>Friday</v>
      </c>
    </row>
    <row r="280" spans="1:41" x14ac:dyDescent="0.2">
      <c r="A280" t="s">
        <v>41</v>
      </c>
      <c r="B280" s="1">
        <v>45975</v>
      </c>
      <c r="C280" s="1">
        <f t="shared" si="12"/>
        <v>45991</v>
      </c>
      <c r="D280">
        <v>46</v>
      </c>
      <c r="E280">
        <v>108</v>
      </c>
      <c r="F280">
        <v>9</v>
      </c>
      <c r="G280">
        <v>4</v>
      </c>
      <c r="H280">
        <v>5</v>
      </c>
      <c r="I280">
        <v>0</v>
      </c>
      <c r="J280">
        <v>2</v>
      </c>
      <c r="K280">
        <v>61</v>
      </c>
      <c r="L280" t="s">
        <v>41</v>
      </c>
      <c r="M280" t="s">
        <v>38</v>
      </c>
      <c r="N280" s="1">
        <v>45975</v>
      </c>
      <c r="O280" s="2">
        <v>0.5834259259259259</v>
      </c>
      <c r="P280" s="2">
        <v>0.95718749999999997</v>
      </c>
      <c r="Q280">
        <v>8.9700000000000006</v>
      </c>
      <c r="R280">
        <v>8.9700000000000006</v>
      </c>
      <c r="S280">
        <v>2.02</v>
      </c>
      <c r="T280">
        <v>0.52</v>
      </c>
      <c r="U280">
        <v>0</v>
      </c>
      <c r="V280">
        <v>0.19</v>
      </c>
      <c r="W280">
        <v>4.8</v>
      </c>
      <c r="X280">
        <v>1.45</v>
      </c>
      <c r="Y280">
        <v>0</v>
      </c>
      <c r="Z280">
        <v>0</v>
      </c>
      <c r="AA280">
        <v>0</v>
      </c>
      <c r="AB280">
        <v>0</v>
      </c>
      <c r="AC280">
        <v>8.9700000000000006</v>
      </c>
      <c r="AD280">
        <v>22.48</v>
      </c>
      <c r="AE280">
        <v>5.75</v>
      </c>
      <c r="AF280">
        <v>0</v>
      </c>
      <c r="AG280">
        <v>2.08</v>
      </c>
      <c r="AH280">
        <v>53.5</v>
      </c>
      <c r="AI280">
        <v>16.13</v>
      </c>
      <c r="AJ280">
        <v>0</v>
      </c>
      <c r="AK280">
        <v>0</v>
      </c>
      <c r="AL280">
        <v>0</v>
      </c>
      <c r="AM280">
        <v>0.05</v>
      </c>
      <c r="AN280">
        <f t="shared" si="13"/>
        <v>6</v>
      </c>
      <c r="AO280" t="str">
        <f t="shared" si="14"/>
        <v>Friday</v>
      </c>
    </row>
    <row r="281" spans="1:41" x14ac:dyDescent="0.2">
      <c r="A281" t="s">
        <v>43</v>
      </c>
      <c r="B281" s="1">
        <v>45975</v>
      </c>
      <c r="C281" s="1">
        <f t="shared" si="12"/>
        <v>45991</v>
      </c>
      <c r="D281">
        <v>31</v>
      </c>
      <c r="E281">
        <v>81</v>
      </c>
      <c r="F281">
        <v>9</v>
      </c>
      <c r="G281">
        <v>7</v>
      </c>
      <c r="H281">
        <v>7</v>
      </c>
      <c r="I281">
        <v>0</v>
      </c>
      <c r="J281">
        <v>0</v>
      </c>
      <c r="K281">
        <v>37</v>
      </c>
      <c r="L281" t="s">
        <v>43</v>
      </c>
      <c r="M281" t="s">
        <v>38</v>
      </c>
      <c r="N281" s="1">
        <v>45975</v>
      </c>
      <c r="O281" s="2">
        <v>0.58327546296296295</v>
      </c>
      <c r="P281" s="2">
        <v>0.95898148148148143</v>
      </c>
      <c r="Q281">
        <v>9.02</v>
      </c>
      <c r="R281">
        <v>9.02</v>
      </c>
      <c r="S281">
        <v>2.19</v>
      </c>
      <c r="T281">
        <v>0.36</v>
      </c>
      <c r="U281">
        <v>0</v>
      </c>
      <c r="V281">
        <v>0.52</v>
      </c>
      <c r="W281">
        <v>3.6</v>
      </c>
      <c r="X281">
        <v>1.91</v>
      </c>
      <c r="Y281">
        <v>0.28000000000000003</v>
      </c>
      <c r="Z281">
        <v>0</v>
      </c>
      <c r="AA281">
        <v>0.16</v>
      </c>
      <c r="AB281">
        <v>0</v>
      </c>
      <c r="AC281">
        <v>9.02</v>
      </c>
      <c r="AD281">
        <v>24.34</v>
      </c>
      <c r="AE281">
        <v>3.98</v>
      </c>
      <c r="AF281">
        <v>0</v>
      </c>
      <c r="AG281">
        <v>5.76</v>
      </c>
      <c r="AH281">
        <v>39.89</v>
      </c>
      <c r="AI281">
        <v>21.13</v>
      </c>
      <c r="AJ281">
        <v>3.13</v>
      </c>
      <c r="AK281">
        <v>0</v>
      </c>
      <c r="AL281">
        <v>1.75</v>
      </c>
      <c r="AM281">
        <v>0.03</v>
      </c>
      <c r="AN281">
        <f t="shared" si="13"/>
        <v>6</v>
      </c>
      <c r="AO281" t="str">
        <f t="shared" si="14"/>
        <v>Friday</v>
      </c>
    </row>
    <row r="282" spans="1:41" x14ac:dyDescent="0.2">
      <c r="B282" s="1">
        <v>45975</v>
      </c>
      <c r="C282" s="1">
        <f t="shared" si="12"/>
        <v>45991</v>
      </c>
      <c r="D282">
        <v>1105</v>
      </c>
      <c r="E282">
        <v>0</v>
      </c>
      <c r="F282">
        <v>0</v>
      </c>
      <c r="G282">
        <v>0</v>
      </c>
      <c r="H282">
        <v>0</v>
      </c>
      <c r="I282">
        <v>0</v>
      </c>
      <c r="J282">
        <v>0</v>
      </c>
      <c r="K282">
        <v>0</v>
      </c>
      <c r="AN282">
        <f t="shared" si="13"/>
        <v>6</v>
      </c>
      <c r="AO282" t="str">
        <f t="shared" si="14"/>
        <v>Friday</v>
      </c>
    </row>
    <row r="283" spans="1:41" x14ac:dyDescent="0.2">
      <c r="A283" t="s">
        <v>37</v>
      </c>
      <c r="B283" s="1">
        <v>45974</v>
      </c>
      <c r="C283" s="1">
        <f t="shared" si="12"/>
        <v>45991</v>
      </c>
      <c r="D283">
        <v>22</v>
      </c>
      <c r="E283">
        <v>31</v>
      </c>
      <c r="F283">
        <v>1</v>
      </c>
      <c r="G283">
        <v>2</v>
      </c>
      <c r="H283">
        <v>6</v>
      </c>
      <c r="I283">
        <v>0</v>
      </c>
      <c r="J283">
        <v>1</v>
      </c>
      <c r="K283">
        <v>6</v>
      </c>
      <c r="L283" t="s">
        <v>37</v>
      </c>
      <c r="M283" t="s">
        <v>38</v>
      </c>
      <c r="N283" s="1">
        <v>45974</v>
      </c>
      <c r="O283" s="2">
        <v>0.58327546296296295</v>
      </c>
      <c r="P283" s="2">
        <v>0.95861111111111108</v>
      </c>
      <c r="Q283">
        <v>9.02</v>
      </c>
      <c r="R283">
        <v>8.11</v>
      </c>
      <c r="S283">
        <v>1.63</v>
      </c>
      <c r="T283">
        <v>0.62</v>
      </c>
      <c r="U283">
        <v>0</v>
      </c>
      <c r="V283">
        <v>0.4</v>
      </c>
      <c r="W283">
        <v>2.65</v>
      </c>
      <c r="X283">
        <v>0.42</v>
      </c>
      <c r="Y283">
        <v>2.35</v>
      </c>
      <c r="Z283">
        <v>0</v>
      </c>
      <c r="AA283">
        <v>0</v>
      </c>
      <c r="AB283">
        <v>0.04</v>
      </c>
      <c r="AC283">
        <v>8.11</v>
      </c>
      <c r="AD283">
        <v>20.09</v>
      </c>
      <c r="AE283">
        <v>7.62</v>
      </c>
      <c r="AF283">
        <v>0</v>
      </c>
      <c r="AG283">
        <v>4.95</v>
      </c>
      <c r="AH283">
        <v>32.69</v>
      </c>
      <c r="AI283">
        <v>5.19</v>
      </c>
      <c r="AJ283">
        <v>28.97</v>
      </c>
      <c r="AK283">
        <v>0</v>
      </c>
      <c r="AL283">
        <v>0</v>
      </c>
      <c r="AM283">
        <v>0.49</v>
      </c>
      <c r="AN283">
        <f t="shared" si="13"/>
        <v>5</v>
      </c>
      <c r="AO283" t="str">
        <f t="shared" si="14"/>
        <v>Thursday</v>
      </c>
    </row>
    <row r="284" spans="1:41" x14ac:dyDescent="0.2">
      <c r="A284" t="s">
        <v>39</v>
      </c>
      <c r="B284" s="1">
        <v>45974</v>
      </c>
      <c r="C284" s="1">
        <f t="shared" si="12"/>
        <v>45991</v>
      </c>
      <c r="D284">
        <v>40</v>
      </c>
      <c r="E284">
        <v>118</v>
      </c>
      <c r="F284">
        <v>8</v>
      </c>
      <c r="G284">
        <v>10</v>
      </c>
      <c r="H284">
        <v>6</v>
      </c>
      <c r="I284">
        <v>0</v>
      </c>
      <c r="J284">
        <v>0</v>
      </c>
      <c r="K284">
        <v>67</v>
      </c>
      <c r="L284" t="s">
        <v>39</v>
      </c>
      <c r="M284" t="s">
        <v>38</v>
      </c>
      <c r="N284" s="1">
        <v>45974</v>
      </c>
      <c r="O284" s="2">
        <v>0.58359953703703704</v>
      </c>
      <c r="P284" s="2">
        <v>0.95835648148148145</v>
      </c>
      <c r="Q284">
        <v>9</v>
      </c>
      <c r="R284">
        <v>8.99</v>
      </c>
      <c r="S284">
        <v>1.35</v>
      </c>
      <c r="T284">
        <v>0</v>
      </c>
      <c r="U284">
        <v>0</v>
      </c>
      <c r="V284">
        <v>7.0000000000000007E-2</v>
      </c>
      <c r="W284">
        <v>4.72</v>
      </c>
      <c r="X284">
        <v>1.49</v>
      </c>
      <c r="Y284">
        <v>1.36</v>
      </c>
      <c r="Z284">
        <v>0</v>
      </c>
      <c r="AA284">
        <v>0</v>
      </c>
      <c r="AB284">
        <v>0</v>
      </c>
      <c r="AC284">
        <v>8.99</v>
      </c>
      <c r="AD284">
        <v>15.02</v>
      </c>
      <c r="AE284">
        <v>0</v>
      </c>
      <c r="AF284">
        <v>0</v>
      </c>
      <c r="AG284">
        <v>0.8</v>
      </c>
      <c r="AH284">
        <v>52.45</v>
      </c>
      <c r="AI284">
        <v>16.52</v>
      </c>
      <c r="AJ284">
        <v>15.17</v>
      </c>
      <c r="AK284">
        <v>0</v>
      </c>
      <c r="AL284">
        <v>0</v>
      </c>
      <c r="AM284">
        <v>0.03</v>
      </c>
      <c r="AN284">
        <f t="shared" si="13"/>
        <v>5</v>
      </c>
      <c r="AO284" t="str">
        <f t="shared" si="14"/>
        <v>Thursday</v>
      </c>
    </row>
    <row r="285" spans="1:41" x14ac:dyDescent="0.2">
      <c r="A285" t="s">
        <v>40</v>
      </c>
      <c r="B285" s="1">
        <v>45974</v>
      </c>
      <c r="C285" s="1">
        <f t="shared" si="12"/>
        <v>45991</v>
      </c>
      <c r="D285">
        <v>26</v>
      </c>
      <c r="E285">
        <v>52</v>
      </c>
      <c r="F285">
        <v>7</v>
      </c>
      <c r="G285">
        <v>4</v>
      </c>
      <c r="H285">
        <v>12</v>
      </c>
      <c r="I285">
        <v>0</v>
      </c>
      <c r="J285">
        <v>0</v>
      </c>
      <c r="K285">
        <v>14</v>
      </c>
      <c r="L285" t="s">
        <v>40</v>
      </c>
      <c r="M285" t="s">
        <v>38</v>
      </c>
      <c r="N285" s="1">
        <v>45974</v>
      </c>
      <c r="O285" s="2">
        <v>0.58319444444444446</v>
      </c>
      <c r="P285" s="2">
        <v>0.95834490740740741</v>
      </c>
      <c r="Q285">
        <v>9.02</v>
      </c>
      <c r="R285">
        <v>9</v>
      </c>
      <c r="S285">
        <v>1.92</v>
      </c>
      <c r="T285">
        <v>0.79</v>
      </c>
      <c r="U285">
        <v>0</v>
      </c>
      <c r="V285">
        <v>0.33</v>
      </c>
      <c r="W285">
        <v>3.13</v>
      </c>
      <c r="X285">
        <v>1.5</v>
      </c>
      <c r="Y285">
        <v>1.33</v>
      </c>
      <c r="Z285">
        <v>0</v>
      </c>
      <c r="AA285">
        <v>0</v>
      </c>
      <c r="AB285">
        <v>0.01</v>
      </c>
      <c r="AC285">
        <v>9</v>
      </c>
      <c r="AD285">
        <v>21.3</v>
      </c>
      <c r="AE285">
        <v>8.7899999999999991</v>
      </c>
      <c r="AF285">
        <v>0</v>
      </c>
      <c r="AG285">
        <v>3.62</v>
      </c>
      <c r="AH285">
        <v>34.75</v>
      </c>
      <c r="AI285">
        <v>16.68</v>
      </c>
      <c r="AJ285">
        <v>14.75</v>
      </c>
      <c r="AK285">
        <v>0</v>
      </c>
      <c r="AL285">
        <v>0</v>
      </c>
      <c r="AM285">
        <v>0.11</v>
      </c>
      <c r="AN285">
        <f t="shared" si="13"/>
        <v>5</v>
      </c>
      <c r="AO285" t="str">
        <f t="shared" si="14"/>
        <v>Thursday</v>
      </c>
    </row>
    <row r="286" spans="1:41" x14ac:dyDescent="0.2">
      <c r="A286" t="s">
        <v>41</v>
      </c>
      <c r="B286" s="1">
        <v>45974</v>
      </c>
      <c r="C286" s="1">
        <f t="shared" si="12"/>
        <v>45991</v>
      </c>
      <c r="D286">
        <v>35</v>
      </c>
      <c r="E286">
        <v>75</v>
      </c>
      <c r="F286">
        <v>8</v>
      </c>
      <c r="G286">
        <v>4</v>
      </c>
      <c r="H286">
        <v>1</v>
      </c>
      <c r="I286">
        <v>1</v>
      </c>
      <c r="J286">
        <v>4</v>
      </c>
      <c r="K286">
        <v>36</v>
      </c>
      <c r="L286" t="s">
        <v>41</v>
      </c>
      <c r="M286" t="s">
        <v>38</v>
      </c>
      <c r="N286" s="1">
        <v>45974</v>
      </c>
      <c r="O286" s="2">
        <v>0.58438657407407413</v>
      </c>
      <c r="P286" s="2">
        <v>0.95807870370370374</v>
      </c>
      <c r="Q286">
        <v>8.9700000000000006</v>
      </c>
      <c r="R286">
        <v>8.9700000000000006</v>
      </c>
      <c r="S286">
        <v>1.45</v>
      </c>
      <c r="T286">
        <v>0.75</v>
      </c>
      <c r="U286">
        <v>0</v>
      </c>
      <c r="V286">
        <v>0.15</v>
      </c>
      <c r="W286">
        <v>3.2</v>
      </c>
      <c r="X286">
        <v>1.48</v>
      </c>
      <c r="Y286">
        <v>1.93</v>
      </c>
      <c r="Z286">
        <v>0</v>
      </c>
      <c r="AA286">
        <v>0</v>
      </c>
      <c r="AB286">
        <v>0</v>
      </c>
      <c r="AC286">
        <v>8.9700000000000006</v>
      </c>
      <c r="AD286">
        <v>16.13</v>
      </c>
      <c r="AE286">
        <v>8.42</v>
      </c>
      <c r="AF286">
        <v>0</v>
      </c>
      <c r="AG286">
        <v>1.65</v>
      </c>
      <c r="AH286">
        <v>35.72</v>
      </c>
      <c r="AI286">
        <v>16.489999999999998</v>
      </c>
      <c r="AJ286">
        <v>21.56</v>
      </c>
      <c r="AK286">
        <v>0</v>
      </c>
      <c r="AL286">
        <v>0</v>
      </c>
      <c r="AM286">
        <v>0.04</v>
      </c>
      <c r="AN286">
        <f t="shared" si="13"/>
        <v>5</v>
      </c>
      <c r="AO286" t="str">
        <f t="shared" si="14"/>
        <v>Thursday</v>
      </c>
    </row>
    <row r="287" spans="1:41" x14ac:dyDescent="0.2">
      <c r="A287" t="s">
        <v>43</v>
      </c>
      <c r="B287" s="1">
        <v>45974</v>
      </c>
      <c r="C287" s="1">
        <f t="shared" si="12"/>
        <v>45991</v>
      </c>
      <c r="D287">
        <v>34</v>
      </c>
      <c r="E287">
        <v>98</v>
      </c>
      <c r="F287">
        <v>12</v>
      </c>
      <c r="G287">
        <v>6</v>
      </c>
      <c r="H287">
        <v>9</v>
      </c>
      <c r="I287">
        <v>1</v>
      </c>
      <c r="J287">
        <v>0</v>
      </c>
      <c r="K287">
        <v>22</v>
      </c>
      <c r="L287" t="s">
        <v>43</v>
      </c>
      <c r="M287" t="s">
        <v>38</v>
      </c>
      <c r="N287" s="1">
        <v>45974</v>
      </c>
      <c r="O287" s="2">
        <v>0.58271990740740742</v>
      </c>
      <c r="P287" s="2">
        <v>0.96231481481481485</v>
      </c>
      <c r="Q287">
        <v>9.1</v>
      </c>
      <c r="R287">
        <v>9.1199999999999992</v>
      </c>
      <c r="S287">
        <v>2.2400000000000002</v>
      </c>
      <c r="T287">
        <v>0.18</v>
      </c>
      <c r="U287">
        <v>0</v>
      </c>
      <c r="V287">
        <v>0.6</v>
      </c>
      <c r="W287">
        <v>2.97</v>
      </c>
      <c r="X287">
        <v>1.42</v>
      </c>
      <c r="Y287">
        <v>1.7</v>
      </c>
      <c r="Z287">
        <v>0</v>
      </c>
      <c r="AA287">
        <v>0</v>
      </c>
      <c r="AB287">
        <v>0</v>
      </c>
      <c r="AC287">
        <v>9.1199999999999992</v>
      </c>
      <c r="AD287">
        <v>24.56</v>
      </c>
      <c r="AE287">
        <v>2.0099999999999998</v>
      </c>
      <c r="AF287">
        <v>0</v>
      </c>
      <c r="AG287">
        <v>6.6</v>
      </c>
      <c r="AH287">
        <v>32.549999999999997</v>
      </c>
      <c r="AI287">
        <v>15.55</v>
      </c>
      <c r="AJ287">
        <v>18.690000000000001</v>
      </c>
      <c r="AK287">
        <v>0</v>
      </c>
      <c r="AL287">
        <v>0</v>
      </c>
      <c r="AM287">
        <v>0.03</v>
      </c>
      <c r="AN287">
        <f t="shared" si="13"/>
        <v>5</v>
      </c>
      <c r="AO287" t="str">
        <f t="shared" si="14"/>
        <v>Thursday</v>
      </c>
    </row>
    <row r="288" spans="1:41" x14ac:dyDescent="0.2">
      <c r="B288" s="1">
        <v>45974</v>
      </c>
      <c r="C288" s="1">
        <f t="shared" si="12"/>
        <v>45991</v>
      </c>
      <c r="D288">
        <v>1104</v>
      </c>
      <c r="E288">
        <v>0</v>
      </c>
      <c r="F288">
        <v>0</v>
      </c>
      <c r="G288">
        <v>0</v>
      </c>
      <c r="H288">
        <v>0</v>
      </c>
      <c r="I288">
        <v>0</v>
      </c>
      <c r="J288">
        <v>0</v>
      </c>
      <c r="K288">
        <v>0</v>
      </c>
      <c r="AN288">
        <f t="shared" si="13"/>
        <v>5</v>
      </c>
      <c r="AO288" t="str">
        <f t="shared" si="14"/>
        <v>Thursday</v>
      </c>
    </row>
    <row r="289" spans="1:41" x14ac:dyDescent="0.2">
      <c r="A289" t="s">
        <v>37</v>
      </c>
      <c r="B289" s="1">
        <v>45973</v>
      </c>
      <c r="C289" s="1">
        <f t="shared" si="12"/>
        <v>45991</v>
      </c>
      <c r="D289">
        <v>37</v>
      </c>
      <c r="E289">
        <v>89</v>
      </c>
      <c r="F289">
        <v>2</v>
      </c>
      <c r="G289">
        <v>20</v>
      </c>
      <c r="H289">
        <v>8</v>
      </c>
      <c r="I289">
        <v>1</v>
      </c>
      <c r="J289">
        <v>0</v>
      </c>
      <c r="K289">
        <v>33</v>
      </c>
      <c r="L289" t="s">
        <v>37</v>
      </c>
      <c r="M289" t="s">
        <v>38</v>
      </c>
      <c r="N289" s="1">
        <v>45973</v>
      </c>
      <c r="O289" s="2">
        <v>0.58528935185185182</v>
      </c>
      <c r="P289" s="2">
        <v>0.95856481481481481</v>
      </c>
      <c r="Q289">
        <v>8.9700000000000006</v>
      </c>
      <c r="R289">
        <v>7.96</v>
      </c>
      <c r="S289">
        <v>2.77</v>
      </c>
      <c r="T289">
        <v>0.79</v>
      </c>
      <c r="U289">
        <v>0</v>
      </c>
      <c r="V289">
        <v>0.57999999999999996</v>
      </c>
      <c r="W289">
        <v>3.26</v>
      </c>
      <c r="X289">
        <v>0.56000000000000005</v>
      </c>
      <c r="Y289">
        <v>0</v>
      </c>
      <c r="Z289">
        <v>0</v>
      </c>
      <c r="AA289">
        <v>0</v>
      </c>
      <c r="AB289">
        <v>0.01</v>
      </c>
      <c r="AC289">
        <v>7.96</v>
      </c>
      <c r="AD289">
        <v>34.75</v>
      </c>
      <c r="AE289">
        <v>9.86</v>
      </c>
      <c r="AF289">
        <v>0</v>
      </c>
      <c r="AG289">
        <v>7.33</v>
      </c>
      <c r="AH289">
        <v>40.92</v>
      </c>
      <c r="AI289">
        <v>6.99</v>
      </c>
      <c r="AJ289">
        <v>0</v>
      </c>
      <c r="AK289">
        <v>0</v>
      </c>
      <c r="AL289">
        <v>0</v>
      </c>
      <c r="AM289">
        <v>0.16</v>
      </c>
      <c r="AN289">
        <f t="shared" si="13"/>
        <v>4</v>
      </c>
      <c r="AO289" t="str">
        <f t="shared" si="14"/>
        <v>Wednesday</v>
      </c>
    </row>
    <row r="290" spans="1:41" x14ac:dyDescent="0.2">
      <c r="A290" t="s">
        <v>39</v>
      </c>
      <c r="B290" s="1">
        <v>45973</v>
      </c>
      <c r="C290" s="1">
        <f t="shared" si="12"/>
        <v>45991</v>
      </c>
      <c r="D290">
        <v>73</v>
      </c>
      <c r="E290">
        <v>172</v>
      </c>
      <c r="F290">
        <v>18</v>
      </c>
      <c r="G290">
        <v>16</v>
      </c>
      <c r="H290">
        <v>18</v>
      </c>
      <c r="I290">
        <v>1</v>
      </c>
      <c r="J290">
        <v>2</v>
      </c>
      <c r="K290">
        <v>72</v>
      </c>
      <c r="L290" t="s">
        <v>39</v>
      </c>
      <c r="M290" t="s">
        <v>38</v>
      </c>
      <c r="N290" s="1">
        <v>45973</v>
      </c>
      <c r="O290" s="2">
        <v>0.58074074074074078</v>
      </c>
      <c r="P290" s="2">
        <v>0.9583680555555556</v>
      </c>
      <c r="Q290">
        <v>9.07</v>
      </c>
      <c r="R290">
        <v>8.82</v>
      </c>
      <c r="S290">
        <v>3.13</v>
      </c>
      <c r="T290">
        <v>0</v>
      </c>
      <c r="U290">
        <v>0</v>
      </c>
      <c r="V290">
        <v>0.09</v>
      </c>
      <c r="W290">
        <v>4.28</v>
      </c>
      <c r="X290">
        <v>1.22</v>
      </c>
      <c r="Y290">
        <v>0</v>
      </c>
      <c r="Z290">
        <v>0</v>
      </c>
      <c r="AA290">
        <v>0</v>
      </c>
      <c r="AB290">
        <v>0.1</v>
      </c>
      <c r="AC290">
        <v>8.82</v>
      </c>
      <c r="AD290">
        <v>35.51</v>
      </c>
      <c r="AE290">
        <v>0</v>
      </c>
      <c r="AF290">
        <v>0</v>
      </c>
      <c r="AG290">
        <v>0.97</v>
      </c>
      <c r="AH290">
        <v>48.52</v>
      </c>
      <c r="AI290">
        <v>13.84</v>
      </c>
      <c r="AJ290">
        <v>0</v>
      </c>
      <c r="AK290">
        <v>0</v>
      </c>
      <c r="AL290">
        <v>0</v>
      </c>
      <c r="AM290">
        <v>1.1599999999999999</v>
      </c>
      <c r="AN290">
        <f t="shared" si="13"/>
        <v>4</v>
      </c>
      <c r="AO290" t="str">
        <f t="shared" si="14"/>
        <v>Wednesday</v>
      </c>
    </row>
    <row r="291" spans="1:41" x14ac:dyDescent="0.2">
      <c r="A291" t="s">
        <v>40</v>
      </c>
      <c r="B291" s="1">
        <v>45973</v>
      </c>
      <c r="C291" s="1">
        <f t="shared" si="12"/>
        <v>45991</v>
      </c>
      <c r="D291">
        <v>38</v>
      </c>
      <c r="E291">
        <v>107</v>
      </c>
      <c r="F291">
        <v>7</v>
      </c>
      <c r="G291">
        <v>3</v>
      </c>
      <c r="H291">
        <v>24</v>
      </c>
      <c r="I291">
        <v>0</v>
      </c>
      <c r="J291">
        <v>1</v>
      </c>
      <c r="K291">
        <v>57</v>
      </c>
      <c r="L291" t="s">
        <v>40</v>
      </c>
      <c r="M291" t="s">
        <v>38</v>
      </c>
      <c r="N291" s="1">
        <v>45973</v>
      </c>
      <c r="O291" s="2">
        <v>0.5836689814814815</v>
      </c>
      <c r="P291" s="2">
        <v>0.95835648148148145</v>
      </c>
      <c r="Q291">
        <v>9</v>
      </c>
      <c r="R291">
        <v>8.99</v>
      </c>
      <c r="S291">
        <v>2.16</v>
      </c>
      <c r="T291">
        <v>2.12</v>
      </c>
      <c r="U291">
        <v>0</v>
      </c>
      <c r="V291">
        <v>0.53</v>
      </c>
      <c r="W291">
        <v>2.63</v>
      </c>
      <c r="X291">
        <v>1.55</v>
      </c>
      <c r="Y291">
        <v>0</v>
      </c>
      <c r="Z291">
        <v>0</v>
      </c>
      <c r="AA291">
        <v>0</v>
      </c>
      <c r="AB291">
        <v>0.01</v>
      </c>
      <c r="AC291">
        <v>8.99</v>
      </c>
      <c r="AD291">
        <v>23.98</v>
      </c>
      <c r="AE291">
        <v>23.6</v>
      </c>
      <c r="AF291">
        <v>0</v>
      </c>
      <c r="AG291">
        <v>5.87</v>
      </c>
      <c r="AH291">
        <v>29.23</v>
      </c>
      <c r="AI291">
        <v>17.21</v>
      </c>
      <c r="AJ291">
        <v>0</v>
      </c>
      <c r="AK291">
        <v>0</v>
      </c>
      <c r="AL291">
        <v>0</v>
      </c>
      <c r="AM291">
        <v>0.11</v>
      </c>
      <c r="AN291">
        <f t="shared" si="13"/>
        <v>4</v>
      </c>
      <c r="AO291" t="str">
        <f t="shared" si="14"/>
        <v>Wednesday</v>
      </c>
    </row>
    <row r="292" spans="1:41" x14ac:dyDescent="0.2">
      <c r="A292" t="s">
        <v>42</v>
      </c>
      <c r="B292" s="1">
        <v>45973</v>
      </c>
      <c r="C292" s="1">
        <f t="shared" si="12"/>
        <v>45991</v>
      </c>
      <c r="D292">
        <v>1</v>
      </c>
      <c r="E292">
        <v>1</v>
      </c>
      <c r="F292">
        <v>0</v>
      </c>
      <c r="G292">
        <v>0</v>
      </c>
      <c r="H292">
        <v>1</v>
      </c>
      <c r="I292">
        <v>0</v>
      </c>
      <c r="J292">
        <v>0</v>
      </c>
      <c r="K292">
        <v>0</v>
      </c>
      <c r="L292" t="s">
        <v>42</v>
      </c>
      <c r="M292" t="s">
        <v>38</v>
      </c>
      <c r="N292" s="1">
        <v>45973</v>
      </c>
      <c r="O292" s="2">
        <v>0.73559027777777775</v>
      </c>
      <c r="P292" s="2">
        <v>0.773900462962963</v>
      </c>
      <c r="Q292">
        <v>0.92</v>
      </c>
      <c r="R292">
        <v>0.92</v>
      </c>
      <c r="S292">
        <v>0.9</v>
      </c>
      <c r="T292">
        <v>0</v>
      </c>
      <c r="U292">
        <v>0</v>
      </c>
      <c r="V292">
        <v>0.01</v>
      </c>
      <c r="W292">
        <v>0</v>
      </c>
      <c r="X292">
        <v>0</v>
      </c>
      <c r="Y292">
        <v>0</v>
      </c>
      <c r="Z292">
        <v>0</v>
      </c>
      <c r="AA292">
        <v>0</v>
      </c>
      <c r="AB292">
        <v>0.01</v>
      </c>
      <c r="AC292">
        <v>0.92</v>
      </c>
      <c r="AD292">
        <v>98.4</v>
      </c>
      <c r="AE292">
        <v>0</v>
      </c>
      <c r="AF292">
        <v>0</v>
      </c>
      <c r="AG292">
        <v>0.82</v>
      </c>
      <c r="AH292">
        <v>0</v>
      </c>
      <c r="AI292">
        <v>0</v>
      </c>
      <c r="AJ292">
        <v>0</v>
      </c>
      <c r="AK292">
        <v>0</v>
      </c>
      <c r="AL292">
        <v>0</v>
      </c>
      <c r="AM292">
        <v>0.79</v>
      </c>
      <c r="AN292">
        <f t="shared" si="13"/>
        <v>4</v>
      </c>
      <c r="AO292" t="str">
        <f t="shared" si="14"/>
        <v>Wednesday</v>
      </c>
    </row>
    <row r="293" spans="1:41" x14ac:dyDescent="0.2">
      <c r="A293" t="s">
        <v>43</v>
      </c>
      <c r="B293" s="1">
        <v>45973</v>
      </c>
      <c r="C293" s="1">
        <f t="shared" si="12"/>
        <v>45991</v>
      </c>
      <c r="D293">
        <v>48</v>
      </c>
      <c r="E293">
        <v>154</v>
      </c>
      <c r="F293">
        <v>3</v>
      </c>
      <c r="G293">
        <v>12</v>
      </c>
      <c r="H293">
        <v>20</v>
      </c>
      <c r="I293">
        <v>0</v>
      </c>
      <c r="J293">
        <v>1</v>
      </c>
      <c r="K293">
        <v>74</v>
      </c>
      <c r="L293" t="s">
        <v>43</v>
      </c>
      <c r="M293" t="s">
        <v>38</v>
      </c>
      <c r="N293" s="1">
        <v>45973</v>
      </c>
      <c r="O293" s="2">
        <v>0.58332175925925922</v>
      </c>
      <c r="P293" s="2">
        <v>0.95874999999999999</v>
      </c>
      <c r="Q293">
        <v>9.02</v>
      </c>
      <c r="R293">
        <v>9.01</v>
      </c>
      <c r="S293">
        <v>2.44</v>
      </c>
      <c r="T293">
        <v>0.34</v>
      </c>
      <c r="U293">
        <v>0</v>
      </c>
      <c r="V293">
        <v>1.1200000000000001</v>
      </c>
      <c r="W293">
        <v>3.79</v>
      </c>
      <c r="X293">
        <v>1.32</v>
      </c>
      <c r="Y293">
        <v>0</v>
      </c>
      <c r="Z293">
        <v>0</v>
      </c>
      <c r="AA293">
        <v>0</v>
      </c>
      <c r="AB293">
        <v>0</v>
      </c>
      <c r="AC293">
        <v>9.01</v>
      </c>
      <c r="AD293">
        <v>27.11</v>
      </c>
      <c r="AE293">
        <v>3.76</v>
      </c>
      <c r="AF293">
        <v>0</v>
      </c>
      <c r="AG293">
        <v>12.38</v>
      </c>
      <c r="AH293">
        <v>42.05</v>
      </c>
      <c r="AI293">
        <v>14.66</v>
      </c>
      <c r="AJ293">
        <v>0</v>
      </c>
      <c r="AK293">
        <v>0</v>
      </c>
      <c r="AL293">
        <v>0</v>
      </c>
      <c r="AM293">
        <v>0.03</v>
      </c>
      <c r="AN293">
        <f t="shared" si="13"/>
        <v>4</v>
      </c>
      <c r="AO293" t="str">
        <f t="shared" si="14"/>
        <v>Wednesday</v>
      </c>
    </row>
    <row r="294" spans="1:41" x14ac:dyDescent="0.2">
      <c r="B294" s="1">
        <v>45973</v>
      </c>
      <c r="C294" s="1">
        <f t="shared" si="12"/>
        <v>45991</v>
      </c>
      <c r="D294">
        <v>1039</v>
      </c>
      <c r="E294">
        <v>0</v>
      </c>
      <c r="F294">
        <v>0</v>
      </c>
      <c r="G294">
        <v>0</v>
      </c>
      <c r="H294">
        <v>0</v>
      </c>
      <c r="I294">
        <v>0</v>
      </c>
      <c r="J294">
        <v>0</v>
      </c>
      <c r="K294">
        <v>0</v>
      </c>
      <c r="AN294">
        <f t="shared" si="13"/>
        <v>4</v>
      </c>
      <c r="AO294" t="str">
        <f t="shared" si="14"/>
        <v>Wednesday</v>
      </c>
    </row>
    <row r="295" spans="1:41" x14ac:dyDescent="0.2">
      <c r="A295" t="s">
        <v>37</v>
      </c>
      <c r="B295" s="1">
        <v>45972</v>
      </c>
      <c r="C295" s="1">
        <f t="shared" si="12"/>
        <v>45991</v>
      </c>
      <c r="D295">
        <v>38</v>
      </c>
      <c r="E295">
        <v>97</v>
      </c>
      <c r="F295">
        <v>3</v>
      </c>
      <c r="G295">
        <v>13</v>
      </c>
      <c r="H295">
        <v>7</v>
      </c>
      <c r="I295">
        <v>0</v>
      </c>
      <c r="J295">
        <v>6</v>
      </c>
      <c r="K295">
        <v>39</v>
      </c>
      <c r="L295" t="s">
        <v>37</v>
      </c>
      <c r="M295" t="s">
        <v>38</v>
      </c>
      <c r="N295" s="1">
        <v>45972</v>
      </c>
      <c r="O295" s="2">
        <v>0.58527777777777779</v>
      </c>
      <c r="P295" s="2">
        <v>0.9584259259259259</v>
      </c>
      <c r="Q295">
        <v>8.9700000000000006</v>
      </c>
      <c r="R295">
        <v>7.94</v>
      </c>
      <c r="S295">
        <v>2.9</v>
      </c>
      <c r="T295">
        <v>0.68</v>
      </c>
      <c r="U295">
        <v>0</v>
      </c>
      <c r="V295">
        <v>0.57999999999999996</v>
      </c>
      <c r="W295">
        <v>3.08</v>
      </c>
      <c r="X295">
        <v>0.56000000000000005</v>
      </c>
      <c r="Y295">
        <v>0</v>
      </c>
      <c r="Z295">
        <v>0</v>
      </c>
      <c r="AA295">
        <v>7.0000000000000007E-2</v>
      </c>
      <c r="AB295">
        <v>0.06</v>
      </c>
      <c r="AC295">
        <v>7.94</v>
      </c>
      <c r="AD295">
        <v>36.49</v>
      </c>
      <c r="AE295">
        <v>8.57</v>
      </c>
      <c r="AF295">
        <v>0</v>
      </c>
      <c r="AG295">
        <v>7.29</v>
      </c>
      <c r="AH295">
        <v>38.840000000000003</v>
      </c>
      <c r="AI295">
        <v>7.11</v>
      </c>
      <c r="AJ295">
        <v>0</v>
      </c>
      <c r="AK295">
        <v>0</v>
      </c>
      <c r="AL295">
        <v>0.9</v>
      </c>
      <c r="AM295">
        <v>0.8</v>
      </c>
      <c r="AN295">
        <f t="shared" si="13"/>
        <v>3</v>
      </c>
      <c r="AO295" t="str">
        <f t="shared" si="14"/>
        <v>Tuesday</v>
      </c>
    </row>
    <row r="296" spans="1:41" x14ac:dyDescent="0.2">
      <c r="A296" t="s">
        <v>39</v>
      </c>
      <c r="B296" s="1">
        <v>45972</v>
      </c>
      <c r="C296" s="1">
        <f t="shared" si="12"/>
        <v>45991</v>
      </c>
      <c r="D296">
        <v>49</v>
      </c>
      <c r="E296">
        <v>107</v>
      </c>
      <c r="F296">
        <v>3</v>
      </c>
      <c r="G296">
        <v>9</v>
      </c>
      <c r="H296">
        <v>14</v>
      </c>
      <c r="I296">
        <v>1</v>
      </c>
      <c r="J296">
        <v>8</v>
      </c>
      <c r="K296">
        <v>42</v>
      </c>
      <c r="L296" t="s">
        <v>39</v>
      </c>
      <c r="M296" t="s">
        <v>38</v>
      </c>
      <c r="N296" s="1">
        <v>45972</v>
      </c>
      <c r="O296" s="2">
        <v>0.58343750000000005</v>
      </c>
      <c r="P296" s="2">
        <v>0.95839120370370368</v>
      </c>
      <c r="Q296">
        <v>9</v>
      </c>
      <c r="R296">
        <v>9</v>
      </c>
      <c r="S296">
        <v>2.74</v>
      </c>
      <c r="T296">
        <v>0</v>
      </c>
      <c r="U296">
        <v>0</v>
      </c>
      <c r="V296">
        <v>0.05</v>
      </c>
      <c r="W296">
        <v>4.18</v>
      </c>
      <c r="X296">
        <v>1.44</v>
      </c>
      <c r="Y296">
        <v>0.57999999999999996</v>
      </c>
      <c r="Z296">
        <v>0</v>
      </c>
      <c r="AA296">
        <v>0</v>
      </c>
      <c r="AB296">
        <v>0.01</v>
      </c>
      <c r="AC296">
        <v>9</v>
      </c>
      <c r="AD296">
        <v>30.43</v>
      </c>
      <c r="AE296">
        <v>0</v>
      </c>
      <c r="AF296">
        <v>0</v>
      </c>
      <c r="AG296">
        <v>0.6</v>
      </c>
      <c r="AH296">
        <v>46.46</v>
      </c>
      <c r="AI296">
        <v>16.010000000000002</v>
      </c>
      <c r="AJ296">
        <v>6.43</v>
      </c>
      <c r="AK296">
        <v>0</v>
      </c>
      <c r="AL296">
        <v>0</v>
      </c>
      <c r="AM296">
        <v>0.06</v>
      </c>
      <c r="AN296">
        <f t="shared" si="13"/>
        <v>3</v>
      </c>
      <c r="AO296" t="str">
        <f t="shared" si="14"/>
        <v>Tuesday</v>
      </c>
    </row>
    <row r="297" spans="1:41" x14ac:dyDescent="0.2">
      <c r="A297" t="s">
        <v>40</v>
      </c>
      <c r="B297" s="1">
        <v>45972</v>
      </c>
      <c r="C297" s="1">
        <f t="shared" si="12"/>
        <v>45991</v>
      </c>
      <c r="D297">
        <v>26</v>
      </c>
      <c r="E297">
        <v>47</v>
      </c>
      <c r="F297">
        <v>3</v>
      </c>
      <c r="G297">
        <v>8</v>
      </c>
      <c r="H297">
        <v>13</v>
      </c>
      <c r="I297">
        <v>1</v>
      </c>
      <c r="J297">
        <v>1</v>
      </c>
      <c r="K297">
        <v>16</v>
      </c>
      <c r="L297" t="s">
        <v>40</v>
      </c>
      <c r="M297" t="s">
        <v>38</v>
      </c>
      <c r="N297" s="1">
        <v>45972</v>
      </c>
      <c r="O297" s="2">
        <v>0.5836689814814815</v>
      </c>
      <c r="P297" s="2">
        <v>0.95848379629629632</v>
      </c>
      <c r="Q297">
        <v>9</v>
      </c>
      <c r="R297">
        <v>8.99</v>
      </c>
      <c r="S297">
        <v>1.8</v>
      </c>
      <c r="T297">
        <v>2.23</v>
      </c>
      <c r="U297">
        <v>0</v>
      </c>
      <c r="V297">
        <v>0.31</v>
      </c>
      <c r="W297">
        <v>2.42</v>
      </c>
      <c r="X297">
        <v>1.49</v>
      </c>
      <c r="Y297">
        <v>0.74</v>
      </c>
      <c r="Z297">
        <v>0</v>
      </c>
      <c r="AA297">
        <v>0</v>
      </c>
      <c r="AB297">
        <v>0</v>
      </c>
      <c r="AC297">
        <v>8.99</v>
      </c>
      <c r="AD297">
        <v>20.03</v>
      </c>
      <c r="AE297">
        <v>24.84</v>
      </c>
      <c r="AF297">
        <v>0</v>
      </c>
      <c r="AG297">
        <v>3.44</v>
      </c>
      <c r="AH297">
        <v>26.94</v>
      </c>
      <c r="AI297">
        <v>16.52</v>
      </c>
      <c r="AJ297">
        <v>8.19</v>
      </c>
      <c r="AK297">
        <v>0</v>
      </c>
      <c r="AL297">
        <v>0</v>
      </c>
      <c r="AM297">
        <v>0.04</v>
      </c>
      <c r="AN297">
        <f t="shared" si="13"/>
        <v>3</v>
      </c>
      <c r="AO297" t="str">
        <f t="shared" si="14"/>
        <v>Tuesday</v>
      </c>
    </row>
    <row r="298" spans="1:41" x14ac:dyDescent="0.2">
      <c r="A298" t="s">
        <v>41</v>
      </c>
      <c r="B298" s="1">
        <v>45972</v>
      </c>
      <c r="C298" s="1">
        <f t="shared" si="12"/>
        <v>45991</v>
      </c>
      <c r="D298">
        <v>53</v>
      </c>
      <c r="E298">
        <v>97</v>
      </c>
      <c r="F298">
        <v>10</v>
      </c>
      <c r="G298">
        <v>16</v>
      </c>
      <c r="H298">
        <v>10</v>
      </c>
      <c r="I298">
        <v>0</v>
      </c>
      <c r="J298">
        <v>8</v>
      </c>
      <c r="K298">
        <v>32</v>
      </c>
      <c r="L298" t="s">
        <v>41</v>
      </c>
      <c r="M298" t="s">
        <v>38</v>
      </c>
      <c r="N298" s="1">
        <v>45972</v>
      </c>
      <c r="O298" s="2">
        <v>0.58438657407407413</v>
      </c>
      <c r="P298" s="2">
        <v>0.95817129629629627</v>
      </c>
      <c r="Q298">
        <v>8.9700000000000006</v>
      </c>
      <c r="R298">
        <v>8.9700000000000006</v>
      </c>
      <c r="S298">
        <v>3.13</v>
      </c>
      <c r="T298">
        <v>0.56000000000000005</v>
      </c>
      <c r="U298">
        <v>0</v>
      </c>
      <c r="V298">
        <v>0.4</v>
      </c>
      <c r="W298">
        <v>3.4</v>
      </c>
      <c r="X298">
        <v>1.47</v>
      </c>
      <c r="Y298">
        <v>0</v>
      </c>
      <c r="Z298">
        <v>0</v>
      </c>
      <c r="AA298">
        <v>0</v>
      </c>
      <c r="AB298">
        <v>0</v>
      </c>
      <c r="AC298">
        <v>8.9700000000000006</v>
      </c>
      <c r="AD298">
        <v>34.880000000000003</v>
      </c>
      <c r="AE298">
        <v>6.27</v>
      </c>
      <c r="AF298">
        <v>0</v>
      </c>
      <c r="AG298">
        <v>4.5199999999999996</v>
      </c>
      <c r="AH298">
        <v>37.950000000000003</v>
      </c>
      <c r="AI298">
        <v>16.34</v>
      </c>
      <c r="AJ298">
        <v>0</v>
      </c>
      <c r="AK298">
        <v>0</v>
      </c>
      <c r="AL298">
        <v>0</v>
      </c>
      <c r="AM298">
        <v>0.05</v>
      </c>
      <c r="AN298">
        <f t="shared" si="13"/>
        <v>3</v>
      </c>
      <c r="AO298" t="str">
        <f t="shared" si="14"/>
        <v>Tuesday</v>
      </c>
    </row>
    <row r="299" spans="1:41" x14ac:dyDescent="0.2">
      <c r="A299" t="s">
        <v>43</v>
      </c>
      <c r="B299" s="1">
        <v>45972</v>
      </c>
      <c r="C299" s="1">
        <f t="shared" si="12"/>
        <v>45991</v>
      </c>
      <c r="D299">
        <v>46</v>
      </c>
      <c r="E299">
        <v>137</v>
      </c>
      <c r="F299">
        <v>12</v>
      </c>
      <c r="G299">
        <v>5</v>
      </c>
      <c r="H299">
        <v>6</v>
      </c>
      <c r="I299">
        <v>0</v>
      </c>
      <c r="J299">
        <v>5</v>
      </c>
      <c r="K299">
        <v>73</v>
      </c>
      <c r="L299" t="s">
        <v>43</v>
      </c>
      <c r="M299" t="s">
        <v>38</v>
      </c>
      <c r="N299" s="1">
        <v>45972</v>
      </c>
      <c r="O299" s="2">
        <v>0.5837268518518518</v>
      </c>
      <c r="P299" s="2">
        <v>0.96186342592592589</v>
      </c>
      <c r="Q299">
        <v>9.08</v>
      </c>
      <c r="R299">
        <v>9.07</v>
      </c>
      <c r="S299">
        <v>1.95</v>
      </c>
      <c r="T299">
        <v>0.3</v>
      </c>
      <c r="U299">
        <v>0</v>
      </c>
      <c r="V299">
        <v>0.71</v>
      </c>
      <c r="W299">
        <v>3.88</v>
      </c>
      <c r="X299">
        <v>1.55</v>
      </c>
      <c r="Y299">
        <v>0.67</v>
      </c>
      <c r="Z299">
        <v>0</v>
      </c>
      <c r="AA299">
        <v>0</v>
      </c>
      <c r="AB299">
        <v>0</v>
      </c>
      <c r="AC299">
        <v>9.07</v>
      </c>
      <c r="AD299">
        <v>21.53</v>
      </c>
      <c r="AE299">
        <v>3.34</v>
      </c>
      <c r="AF299">
        <v>0</v>
      </c>
      <c r="AG299">
        <v>7.79</v>
      </c>
      <c r="AH299">
        <v>42.8</v>
      </c>
      <c r="AI299">
        <v>17.079999999999998</v>
      </c>
      <c r="AJ299">
        <v>7.43</v>
      </c>
      <c r="AK299">
        <v>0</v>
      </c>
      <c r="AL299">
        <v>0</v>
      </c>
      <c r="AM299">
        <v>0.03</v>
      </c>
      <c r="AN299">
        <f t="shared" si="13"/>
        <v>3</v>
      </c>
      <c r="AO299" t="str">
        <f t="shared" si="14"/>
        <v>Tuesday</v>
      </c>
    </row>
    <row r="300" spans="1:41" x14ac:dyDescent="0.2">
      <c r="A300" t="s">
        <v>47</v>
      </c>
      <c r="B300" s="1">
        <v>45972</v>
      </c>
      <c r="C300" s="1">
        <f t="shared" si="12"/>
        <v>45991</v>
      </c>
      <c r="D300">
        <v>1</v>
      </c>
      <c r="E300">
        <v>1</v>
      </c>
      <c r="F300">
        <v>1</v>
      </c>
      <c r="G300">
        <v>0</v>
      </c>
      <c r="H300">
        <v>0</v>
      </c>
      <c r="I300">
        <v>0</v>
      </c>
      <c r="J300">
        <v>0</v>
      </c>
      <c r="K300">
        <v>0</v>
      </c>
      <c r="AN300">
        <f t="shared" si="13"/>
        <v>3</v>
      </c>
      <c r="AO300" t="str">
        <f t="shared" si="14"/>
        <v>Tuesday</v>
      </c>
    </row>
    <row r="301" spans="1:41" x14ac:dyDescent="0.2">
      <c r="B301" s="1">
        <v>45972</v>
      </c>
      <c r="C301" s="1">
        <f t="shared" si="12"/>
        <v>45991</v>
      </c>
      <c r="D301">
        <v>1119</v>
      </c>
      <c r="E301">
        <v>0</v>
      </c>
      <c r="F301">
        <v>0</v>
      </c>
      <c r="G301">
        <v>0</v>
      </c>
      <c r="H301">
        <v>0</v>
      </c>
      <c r="I301">
        <v>0</v>
      </c>
      <c r="J301">
        <v>0</v>
      </c>
      <c r="K301">
        <v>0</v>
      </c>
      <c r="AN301">
        <f t="shared" si="13"/>
        <v>3</v>
      </c>
      <c r="AO301" t="str">
        <f t="shared" si="14"/>
        <v>Tuesday</v>
      </c>
    </row>
    <row r="302" spans="1:41" x14ac:dyDescent="0.2">
      <c r="A302" t="s">
        <v>37</v>
      </c>
      <c r="B302" s="1">
        <v>45971</v>
      </c>
      <c r="C302" s="1">
        <f t="shared" si="12"/>
        <v>45991</v>
      </c>
      <c r="D302">
        <v>40</v>
      </c>
      <c r="E302">
        <v>86</v>
      </c>
      <c r="F302">
        <v>10</v>
      </c>
      <c r="G302">
        <v>17</v>
      </c>
      <c r="H302">
        <v>4</v>
      </c>
      <c r="I302">
        <v>0</v>
      </c>
      <c r="J302">
        <v>4</v>
      </c>
      <c r="K302">
        <v>37</v>
      </c>
      <c r="L302" t="s">
        <v>37</v>
      </c>
      <c r="M302" t="s">
        <v>38</v>
      </c>
      <c r="N302" s="1">
        <v>45971</v>
      </c>
      <c r="O302" s="2">
        <v>0.58429398148148148</v>
      </c>
      <c r="P302" s="2">
        <v>0.95862268518518523</v>
      </c>
      <c r="Q302">
        <v>8.98</v>
      </c>
      <c r="R302">
        <v>8.2100000000000009</v>
      </c>
      <c r="S302">
        <v>2.97</v>
      </c>
      <c r="T302">
        <v>1.18</v>
      </c>
      <c r="U302">
        <v>0</v>
      </c>
      <c r="V302">
        <v>0.76</v>
      </c>
      <c r="W302">
        <v>2.13</v>
      </c>
      <c r="X302">
        <v>0.62</v>
      </c>
      <c r="Y302">
        <v>0.47</v>
      </c>
      <c r="Z302">
        <v>0</v>
      </c>
      <c r="AA302">
        <v>0</v>
      </c>
      <c r="AB302">
        <v>0.08</v>
      </c>
      <c r="AC302">
        <v>8.2100000000000009</v>
      </c>
      <c r="AD302">
        <v>36.14</v>
      </c>
      <c r="AE302">
        <v>14.37</v>
      </c>
      <c r="AF302">
        <v>0</v>
      </c>
      <c r="AG302">
        <v>9.2100000000000009</v>
      </c>
      <c r="AH302">
        <v>25.9</v>
      </c>
      <c r="AI302">
        <v>7.57</v>
      </c>
      <c r="AJ302">
        <v>5.78</v>
      </c>
      <c r="AK302">
        <v>0</v>
      </c>
      <c r="AL302">
        <v>0</v>
      </c>
      <c r="AM302">
        <v>1.03</v>
      </c>
      <c r="AN302">
        <f t="shared" si="13"/>
        <v>2</v>
      </c>
      <c r="AO302" t="str">
        <f t="shared" si="14"/>
        <v>Monday</v>
      </c>
    </row>
    <row r="303" spans="1:41" x14ac:dyDescent="0.2">
      <c r="A303" t="s">
        <v>39</v>
      </c>
      <c r="B303" s="1">
        <v>45971</v>
      </c>
      <c r="C303" s="1">
        <f t="shared" si="12"/>
        <v>45991</v>
      </c>
      <c r="D303">
        <v>81</v>
      </c>
      <c r="E303">
        <v>163</v>
      </c>
      <c r="F303">
        <v>29</v>
      </c>
      <c r="G303">
        <v>23</v>
      </c>
      <c r="H303">
        <v>13</v>
      </c>
      <c r="I303">
        <v>3</v>
      </c>
      <c r="J303">
        <v>0</v>
      </c>
      <c r="K303">
        <v>76</v>
      </c>
      <c r="L303" t="s">
        <v>39</v>
      </c>
      <c r="M303" t="s">
        <v>38</v>
      </c>
      <c r="N303" s="1">
        <v>45971</v>
      </c>
      <c r="O303" s="2">
        <v>0.58347222222222217</v>
      </c>
      <c r="P303" s="2">
        <v>0.96453703703703708</v>
      </c>
      <c r="Q303">
        <v>9.1300000000000008</v>
      </c>
      <c r="R303">
        <v>9.16</v>
      </c>
      <c r="S303">
        <v>4.75</v>
      </c>
      <c r="T303">
        <v>0.05</v>
      </c>
      <c r="U303">
        <v>0</v>
      </c>
      <c r="V303">
        <v>0.16</v>
      </c>
      <c r="W303">
        <v>2.74</v>
      </c>
      <c r="X303">
        <v>1.44</v>
      </c>
      <c r="Y303">
        <v>0</v>
      </c>
      <c r="Z303">
        <v>0</v>
      </c>
      <c r="AA303">
        <v>0</v>
      </c>
      <c r="AB303">
        <v>0.01</v>
      </c>
      <c r="AC303">
        <v>9.16</v>
      </c>
      <c r="AD303">
        <v>51.9</v>
      </c>
      <c r="AE303">
        <v>0.56000000000000005</v>
      </c>
      <c r="AF303">
        <v>0</v>
      </c>
      <c r="AG303">
        <v>1.78</v>
      </c>
      <c r="AH303">
        <v>29.93</v>
      </c>
      <c r="AI303">
        <v>15.78</v>
      </c>
      <c r="AJ303">
        <v>0</v>
      </c>
      <c r="AK303">
        <v>0</v>
      </c>
      <c r="AL303">
        <v>0</v>
      </c>
      <c r="AM303">
        <v>0.06</v>
      </c>
      <c r="AN303">
        <f t="shared" si="13"/>
        <v>2</v>
      </c>
      <c r="AO303" t="str">
        <f t="shared" si="14"/>
        <v>Monday</v>
      </c>
    </row>
    <row r="304" spans="1:41" x14ac:dyDescent="0.2">
      <c r="A304" t="s">
        <v>40</v>
      </c>
      <c r="B304" s="1">
        <v>45971</v>
      </c>
      <c r="C304" s="1">
        <f t="shared" si="12"/>
        <v>45991</v>
      </c>
      <c r="D304">
        <v>51</v>
      </c>
      <c r="E304">
        <v>122</v>
      </c>
      <c r="F304">
        <v>9</v>
      </c>
      <c r="G304">
        <v>8</v>
      </c>
      <c r="H304">
        <v>11</v>
      </c>
      <c r="I304">
        <v>0</v>
      </c>
      <c r="J304">
        <v>1</v>
      </c>
      <c r="K304">
        <v>73</v>
      </c>
      <c r="L304" t="s">
        <v>40</v>
      </c>
      <c r="M304" t="s">
        <v>38</v>
      </c>
      <c r="N304" s="1">
        <v>45971</v>
      </c>
      <c r="O304" s="2">
        <v>0.5845717592592593</v>
      </c>
      <c r="P304" s="2">
        <v>0.9588888888888889</v>
      </c>
      <c r="Q304">
        <v>8.98</v>
      </c>
      <c r="R304">
        <v>8.98</v>
      </c>
      <c r="S304">
        <v>1.77</v>
      </c>
      <c r="T304">
        <v>2.35</v>
      </c>
      <c r="U304">
        <v>0</v>
      </c>
      <c r="V304">
        <v>0.72</v>
      </c>
      <c r="W304">
        <v>2.0099999999999998</v>
      </c>
      <c r="X304">
        <v>1.5</v>
      </c>
      <c r="Y304">
        <v>0.63</v>
      </c>
      <c r="Z304">
        <v>0</v>
      </c>
      <c r="AA304">
        <v>0</v>
      </c>
      <c r="AB304">
        <v>0</v>
      </c>
      <c r="AC304">
        <v>8.98</v>
      </c>
      <c r="AD304">
        <v>19.649999999999999</v>
      </c>
      <c r="AE304">
        <v>26.17</v>
      </c>
      <c r="AF304">
        <v>0</v>
      </c>
      <c r="AG304">
        <v>8.02</v>
      </c>
      <c r="AH304">
        <v>22.35</v>
      </c>
      <c r="AI304">
        <v>16.75</v>
      </c>
      <c r="AJ304">
        <v>7</v>
      </c>
      <c r="AK304">
        <v>0</v>
      </c>
      <c r="AL304">
        <v>0</v>
      </c>
      <c r="AM304">
        <v>0.05</v>
      </c>
      <c r="AN304">
        <f t="shared" si="13"/>
        <v>2</v>
      </c>
      <c r="AO304" t="str">
        <f t="shared" si="14"/>
        <v>Monday</v>
      </c>
    </row>
    <row r="305" spans="1:41" x14ac:dyDescent="0.2">
      <c r="A305" t="s">
        <v>41</v>
      </c>
      <c r="B305" s="1">
        <v>45971</v>
      </c>
      <c r="C305" s="1">
        <f t="shared" si="12"/>
        <v>45991</v>
      </c>
      <c r="D305">
        <v>78</v>
      </c>
      <c r="E305">
        <v>163</v>
      </c>
      <c r="F305">
        <v>13</v>
      </c>
      <c r="G305">
        <v>16</v>
      </c>
      <c r="H305">
        <v>14</v>
      </c>
      <c r="I305">
        <v>1</v>
      </c>
      <c r="J305">
        <v>3</v>
      </c>
      <c r="K305">
        <v>80</v>
      </c>
      <c r="L305" t="s">
        <v>41</v>
      </c>
      <c r="M305" t="s">
        <v>38</v>
      </c>
      <c r="N305" s="1">
        <v>45971</v>
      </c>
      <c r="O305" s="2">
        <v>0.5844907407407407</v>
      </c>
      <c r="P305" s="2">
        <v>0.95697916666666671</v>
      </c>
      <c r="Q305">
        <v>8.9499999999999993</v>
      </c>
      <c r="R305">
        <v>8.94</v>
      </c>
      <c r="S305">
        <v>3.19</v>
      </c>
      <c r="T305">
        <v>0.95</v>
      </c>
      <c r="U305">
        <v>0</v>
      </c>
      <c r="V305">
        <v>0.43</v>
      </c>
      <c r="W305">
        <v>2.91</v>
      </c>
      <c r="X305">
        <v>1.47</v>
      </c>
      <c r="Y305">
        <v>0</v>
      </c>
      <c r="Z305">
        <v>0</v>
      </c>
      <c r="AA305">
        <v>0</v>
      </c>
      <c r="AB305">
        <v>0</v>
      </c>
      <c r="AC305">
        <v>8.94</v>
      </c>
      <c r="AD305">
        <v>35.659999999999997</v>
      </c>
      <c r="AE305">
        <v>10.6</v>
      </c>
      <c r="AF305">
        <v>0</v>
      </c>
      <c r="AG305">
        <v>4.79</v>
      </c>
      <c r="AH305">
        <v>32.51</v>
      </c>
      <c r="AI305">
        <v>16.41</v>
      </c>
      <c r="AJ305">
        <v>0</v>
      </c>
      <c r="AK305">
        <v>0</v>
      </c>
      <c r="AL305">
        <v>0</v>
      </c>
      <c r="AM305">
        <v>0.04</v>
      </c>
      <c r="AN305">
        <f t="shared" si="13"/>
        <v>2</v>
      </c>
      <c r="AO305" t="str">
        <f t="shared" si="14"/>
        <v>Monday</v>
      </c>
    </row>
    <row r="306" spans="1:41" x14ac:dyDescent="0.2">
      <c r="A306" t="s">
        <v>42</v>
      </c>
      <c r="B306" s="1">
        <v>45971</v>
      </c>
      <c r="C306" s="1">
        <f t="shared" si="12"/>
        <v>45991</v>
      </c>
      <c r="D306">
        <v>1</v>
      </c>
      <c r="E306">
        <v>2</v>
      </c>
      <c r="F306">
        <v>0</v>
      </c>
      <c r="G306">
        <v>0</v>
      </c>
      <c r="H306">
        <v>0</v>
      </c>
      <c r="I306">
        <v>0</v>
      </c>
      <c r="J306">
        <v>0</v>
      </c>
      <c r="K306">
        <v>0</v>
      </c>
      <c r="L306" t="s">
        <v>42</v>
      </c>
      <c r="M306" t="s">
        <v>38</v>
      </c>
      <c r="N306" s="1">
        <v>45971</v>
      </c>
      <c r="O306" s="2">
        <v>0.8332060185185185</v>
      </c>
      <c r="P306" s="2">
        <v>0.87556712962962968</v>
      </c>
      <c r="Q306">
        <v>1.02</v>
      </c>
      <c r="R306">
        <v>0.19</v>
      </c>
      <c r="S306">
        <v>0.17</v>
      </c>
      <c r="T306">
        <v>0</v>
      </c>
      <c r="U306">
        <v>0</v>
      </c>
      <c r="V306">
        <v>0.01</v>
      </c>
      <c r="W306">
        <v>0</v>
      </c>
      <c r="X306">
        <v>0</v>
      </c>
      <c r="Y306">
        <v>0</v>
      </c>
      <c r="Z306">
        <v>0</v>
      </c>
      <c r="AA306">
        <v>0</v>
      </c>
      <c r="AB306">
        <v>0.01</v>
      </c>
      <c r="AC306">
        <v>0.19</v>
      </c>
      <c r="AD306">
        <v>90.1</v>
      </c>
      <c r="AE306">
        <v>0</v>
      </c>
      <c r="AF306">
        <v>0</v>
      </c>
      <c r="AG306">
        <v>4.28</v>
      </c>
      <c r="AH306">
        <v>0</v>
      </c>
      <c r="AI306">
        <v>0</v>
      </c>
      <c r="AJ306">
        <v>0</v>
      </c>
      <c r="AK306">
        <v>0</v>
      </c>
      <c r="AL306">
        <v>0</v>
      </c>
      <c r="AM306">
        <v>5.61</v>
      </c>
      <c r="AN306">
        <f t="shared" si="13"/>
        <v>2</v>
      </c>
      <c r="AO306" t="str">
        <f t="shared" si="14"/>
        <v>Monday</v>
      </c>
    </row>
    <row r="307" spans="1:41" x14ac:dyDescent="0.2">
      <c r="B307" s="1">
        <v>45971</v>
      </c>
      <c r="C307" s="1">
        <f t="shared" si="12"/>
        <v>45991</v>
      </c>
      <c r="D307">
        <v>1186</v>
      </c>
      <c r="E307">
        <v>0</v>
      </c>
      <c r="F307">
        <v>0</v>
      </c>
      <c r="G307">
        <v>0</v>
      </c>
      <c r="H307">
        <v>0</v>
      </c>
      <c r="I307">
        <v>0</v>
      </c>
      <c r="J307">
        <v>0</v>
      </c>
      <c r="K307">
        <v>0</v>
      </c>
      <c r="AN307">
        <f t="shared" si="13"/>
        <v>2</v>
      </c>
      <c r="AO307" t="str">
        <f t="shared" si="14"/>
        <v>Monday</v>
      </c>
    </row>
    <row r="308" spans="1:41" x14ac:dyDescent="0.2">
      <c r="A308" t="s">
        <v>37</v>
      </c>
      <c r="B308" s="1">
        <v>45968</v>
      </c>
      <c r="C308" s="1">
        <f t="shared" si="12"/>
        <v>45991</v>
      </c>
      <c r="D308">
        <v>25</v>
      </c>
      <c r="E308">
        <v>64</v>
      </c>
      <c r="F308">
        <v>2</v>
      </c>
      <c r="G308">
        <v>0</v>
      </c>
      <c r="H308">
        <v>4</v>
      </c>
      <c r="I308">
        <v>0</v>
      </c>
      <c r="J308">
        <v>3</v>
      </c>
      <c r="K308">
        <v>43</v>
      </c>
      <c r="L308" t="s">
        <v>37</v>
      </c>
      <c r="M308" t="s">
        <v>38</v>
      </c>
      <c r="N308" s="1">
        <v>45968</v>
      </c>
      <c r="O308" s="2">
        <v>0.58337962962962964</v>
      </c>
      <c r="P308" s="2">
        <v>0.9583680555555556</v>
      </c>
      <c r="Q308">
        <v>9</v>
      </c>
      <c r="R308">
        <v>8.0500000000000007</v>
      </c>
      <c r="S308">
        <v>0.84</v>
      </c>
      <c r="T308">
        <v>0.35</v>
      </c>
      <c r="U308">
        <v>0</v>
      </c>
      <c r="V308">
        <v>0.17</v>
      </c>
      <c r="W308">
        <v>6.35</v>
      </c>
      <c r="X308">
        <v>0.31</v>
      </c>
      <c r="Y308">
        <v>0</v>
      </c>
      <c r="Z308">
        <v>0</v>
      </c>
      <c r="AA308">
        <v>0</v>
      </c>
      <c r="AB308">
        <v>0.02</v>
      </c>
      <c r="AC308">
        <v>8.0500000000000007</v>
      </c>
      <c r="AD308">
        <v>10.44</v>
      </c>
      <c r="AE308">
        <v>4.4000000000000004</v>
      </c>
      <c r="AF308">
        <v>0</v>
      </c>
      <c r="AG308">
        <v>2.14</v>
      </c>
      <c r="AH308">
        <v>78.94</v>
      </c>
      <c r="AI308">
        <v>3.88</v>
      </c>
      <c r="AJ308">
        <v>0</v>
      </c>
      <c r="AK308">
        <v>0</v>
      </c>
      <c r="AL308">
        <v>0</v>
      </c>
      <c r="AM308">
        <v>0.2</v>
      </c>
      <c r="AN308">
        <f t="shared" si="13"/>
        <v>6</v>
      </c>
      <c r="AO308" t="str">
        <f t="shared" si="14"/>
        <v>Friday</v>
      </c>
    </row>
    <row r="309" spans="1:41" x14ac:dyDescent="0.2">
      <c r="A309" t="s">
        <v>39</v>
      </c>
      <c r="B309" s="1">
        <v>45968</v>
      </c>
      <c r="C309" s="1">
        <f t="shared" si="12"/>
        <v>45991</v>
      </c>
      <c r="D309">
        <v>26</v>
      </c>
      <c r="E309">
        <v>55</v>
      </c>
      <c r="F309">
        <v>7</v>
      </c>
      <c r="G309">
        <v>4</v>
      </c>
      <c r="H309">
        <v>5</v>
      </c>
      <c r="I309">
        <v>1</v>
      </c>
      <c r="J309">
        <v>3</v>
      </c>
      <c r="K309">
        <v>22</v>
      </c>
      <c r="L309" t="s">
        <v>39</v>
      </c>
      <c r="M309" t="s">
        <v>38</v>
      </c>
      <c r="N309" s="1">
        <v>45968</v>
      </c>
      <c r="O309" s="2">
        <v>0.58295138888888887</v>
      </c>
      <c r="P309" s="2">
        <v>0.95839120370370368</v>
      </c>
      <c r="Q309">
        <v>9.02</v>
      </c>
      <c r="R309">
        <v>9.01</v>
      </c>
      <c r="S309">
        <v>1.08</v>
      </c>
      <c r="T309">
        <v>0.22</v>
      </c>
      <c r="U309">
        <v>0</v>
      </c>
      <c r="V309">
        <v>0.02</v>
      </c>
      <c r="W309">
        <v>6.2</v>
      </c>
      <c r="X309">
        <v>1.47</v>
      </c>
      <c r="Y309">
        <v>0</v>
      </c>
      <c r="Z309">
        <v>0</v>
      </c>
      <c r="AA309">
        <v>0</v>
      </c>
      <c r="AB309">
        <v>0.01</v>
      </c>
      <c r="AC309">
        <v>9.01</v>
      </c>
      <c r="AD309">
        <v>12.02</v>
      </c>
      <c r="AE309">
        <v>2.4700000000000002</v>
      </c>
      <c r="AF309">
        <v>0</v>
      </c>
      <c r="AG309">
        <v>0.25</v>
      </c>
      <c r="AH309">
        <v>68.8</v>
      </c>
      <c r="AI309">
        <v>16.309999999999999</v>
      </c>
      <c r="AJ309">
        <v>0</v>
      </c>
      <c r="AK309">
        <v>0</v>
      </c>
      <c r="AL309">
        <v>0</v>
      </c>
      <c r="AM309">
        <v>0.15</v>
      </c>
      <c r="AN309">
        <f t="shared" si="13"/>
        <v>6</v>
      </c>
      <c r="AO309" t="str">
        <f t="shared" si="14"/>
        <v>Friday</v>
      </c>
    </row>
    <row r="310" spans="1:41" x14ac:dyDescent="0.2">
      <c r="A310" t="s">
        <v>40</v>
      </c>
      <c r="B310" s="1">
        <v>45968</v>
      </c>
      <c r="C310" s="1">
        <f t="shared" si="12"/>
        <v>45991</v>
      </c>
      <c r="D310">
        <v>21</v>
      </c>
      <c r="E310">
        <v>46</v>
      </c>
      <c r="F310">
        <v>1</v>
      </c>
      <c r="G310">
        <v>4</v>
      </c>
      <c r="H310">
        <v>1</v>
      </c>
      <c r="I310">
        <v>0</v>
      </c>
      <c r="J310">
        <v>1</v>
      </c>
      <c r="K310">
        <v>25</v>
      </c>
      <c r="L310" t="s">
        <v>40</v>
      </c>
      <c r="M310" t="s">
        <v>38</v>
      </c>
      <c r="N310" s="1">
        <v>45968</v>
      </c>
      <c r="O310" s="2">
        <v>0.58365740740740746</v>
      </c>
      <c r="P310" s="2">
        <v>0.95839120370370368</v>
      </c>
      <c r="Q310">
        <v>9</v>
      </c>
      <c r="R310">
        <v>8.99</v>
      </c>
      <c r="S310">
        <v>1.02</v>
      </c>
      <c r="T310">
        <v>1.34</v>
      </c>
      <c r="U310">
        <v>0</v>
      </c>
      <c r="V310">
        <v>0.22</v>
      </c>
      <c r="W310">
        <v>4.91</v>
      </c>
      <c r="X310">
        <v>1.5</v>
      </c>
      <c r="Y310">
        <v>0</v>
      </c>
      <c r="Z310">
        <v>0</v>
      </c>
      <c r="AA310">
        <v>0</v>
      </c>
      <c r="AB310">
        <v>0.01</v>
      </c>
      <c r="AC310">
        <v>8.99</v>
      </c>
      <c r="AD310">
        <v>11.35</v>
      </c>
      <c r="AE310">
        <v>14.88</v>
      </c>
      <c r="AF310">
        <v>0</v>
      </c>
      <c r="AG310">
        <v>2.39</v>
      </c>
      <c r="AH310">
        <v>54.56</v>
      </c>
      <c r="AI310">
        <v>16.72</v>
      </c>
      <c r="AJ310">
        <v>0</v>
      </c>
      <c r="AK310">
        <v>0</v>
      </c>
      <c r="AL310">
        <v>0</v>
      </c>
      <c r="AM310">
        <v>0.09</v>
      </c>
      <c r="AN310">
        <f t="shared" si="13"/>
        <v>6</v>
      </c>
      <c r="AO310" t="str">
        <f t="shared" si="14"/>
        <v>Friday</v>
      </c>
    </row>
    <row r="311" spans="1:41" x14ac:dyDescent="0.2">
      <c r="A311" t="s">
        <v>41</v>
      </c>
      <c r="B311" s="1">
        <v>45968</v>
      </c>
      <c r="C311" s="1">
        <f t="shared" si="12"/>
        <v>45991</v>
      </c>
      <c r="D311">
        <v>23</v>
      </c>
      <c r="E311">
        <v>59</v>
      </c>
      <c r="F311">
        <v>2</v>
      </c>
      <c r="G311">
        <v>2</v>
      </c>
      <c r="H311">
        <v>2</v>
      </c>
      <c r="I311">
        <v>1</v>
      </c>
      <c r="J311">
        <v>2</v>
      </c>
      <c r="K311">
        <v>33</v>
      </c>
      <c r="L311" t="s">
        <v>41</v>
      </c>
      <c r="M311" t="s">
        <v>38</v>
      </c>
      <c r="N311" s="1">
        <v>45968</v>
      </c>
      <c r="O311" s="2">
        <v>0.5835069444444444</v>
      </c>
      <c r="P311" s="2">
        <v>0.95784722222222218</v>
      </c>
      <c r="Q311">
        <v>8.98</v>
      </c>
      <c r="R311">
        <v>8.98</v>
      </c>
      <c r="S311">
        <v>1.39</v>
      </c>
      <c r="T311">
        <v>0.39</v>
      </c>
      <c r="U311">
        <v>0</v>
      </c>
      <c r="V311">
        <v>0.05</v>
      </c>
      <c r="W311">
        <v>5.69</v>
      </c>
      <c r="X311">
        <v>1.46</v>
      </c>
      <c r="Y311">
        <v>0</v>
      </c>
      <c r="Z311">
        <v>0</v>
      </c>
      <c r="AA311">
        <v>0</v>
      </c>
      <c r="AB311">
        <v>0</v>
      </c>
      <c r="AC311">
        <v>8.98</v>
      </c>
      <c r="AD311">
        <v>15.51</v>
      </c>
      <c r="AE311">
        <v>4.37</v>
      </c>
      <c r="AF311">
        <v>0</v>
      </c>
      <c r="AG311">
        <v>0.5</v>
      </c>
      <c r="AH311">
        <v>63.28</v>
      </c>
      <c r="AI311">
        <v>16.3</v>
      </c>
      <c r="AJ311">
        <v>0</v>
      </c>
      <c r="AK311">
        <v>0</v>
      </c>
      <c r="AL311">
        <v>0</v>
      </c>
      <c r="AM311">
        <v>0.04</v>
      </c>
      <c r="AN311">
        <f t="shared" si="13"/>
        <v>6</v>
      </c>
      <c r="AO311" t="str">
        <f t="shared" si="14"/>
        <v>Friday</v>
      </c>
    </row>
    <row r="312" spans="1:41" x14ac:dyDescent="0.2">
      <c r="B312" s="1">
        <v>45968</v>
      </c>
      <c r="C312" s="1">
        <f t="shared" si="12"/>
        <v>45991</v>
      </c>
      <c r="D312">
        <v>437</v>
      </c>
      <c r="E312">
        <v>0</v>
      </c>
      <c r="F312">
        <v>0</v>
      </c>
      <c r="G312">
        <v>0</v>
      </c>
      <c r="H312">
        <v>0</v>
      </c>
      <c r="I312">
        <v>0</v>
      </c>
      <c r="J312">
        <v>0</v>
      </c>
      <c r="K312">
        <v>0</v>
      </c>
      <c r="AN312">
        <f t="shared" si="13"/>
        <v>6</v>
      </c>
      <c r="AO312" t="str">
        <f t="shared" si="14"/>
        <v>Friday</v>
      </c>
    </row>
    <row r="313" spans="1:41" x14ac:dyDescent="0.2">
      <c r="A313" t="s">
        <v>37</v>
      </c>
      <c r="B313" s="1">
        <v>45967</v>
      </c>
      <c r="C313" s="1">
        <f t="shared" si="12"/>
        <v>45991</v>
      </c>
      <c r="D313">
        <v>10</v>
      </c>
      <c r="E313">
        <v>19</v>
      </c>
      <c r="F313">
        <v>6</v>
      </c>
      <c r="G313">
        <v>1</v>
      </c>
      <c r="H313">
        <v>4</v>
      </c>
      <c r="I313">
        <v>0</v>
      </c>
      <c r="J313">
        <v>1</v>
      </c>
      <c r="K313">
        <v>2</v>
      </c>
      <c r="L313" t="s">
        <v>37</v>
      </c>
      <c r="M313" t="s">
        <v>38</v>
      </c>
      <c r="N313" s="1">
        <v>45967</v>
      </c>
      <c r="O313" s="2">
        <v>0.58256944444444447</v>
      </c>
      <c r="P313" s="2">
        <v>0.95899305555555558</v>
      </c>
      <c r="Q313">
        <v>9.0299999999999994</v>
      </c>
      <c r="R313">
        <v>8.2100000000000009</v>
      </c>
      <c r="S313">
        <v>2.59</v>
      </c>
      <c r="T313">
        <v>0.56000000000000005</v>
      </c>
      <c r="U313">
        <v>0</v>
      </c>
      <c r="V313">
        <v>0.26</v>
      </c>
      <c r="W313">
        <v>2.97</v>
      </c>
      <c r="X313">
        <v>0.6</v>
      </c>
      <c r="Y313">
        <v>1.04</v>
      </c>
      <c r="Z313">
        <v>0</v>
      </c>
      <c r="AA313">
        <v>0</v>
      </c>
      <c r="AB313">
        <v>0.19</v>
      </c>
      <c r="AC313">
        <v>8.2100000000000009</v>
      </c>
      <c r="AD313">
        <v>31.59</v>
      </c>
      <c r="AE313">
        <v>6.81</v>
      </c>
      <c r="AF313">
        <v>0</v>
      </c>
      <c r="AG313">
        <v>3.11</v>
      </c>
      <c r="AH313">
        <v>36.22</v>
      </c>
      <c r="AI313">
        <v>7.25</v>
      </c>
      <c r="AJ313">
        <v>12.69</v>
      </c>
      <c r="AK313">
        <v>0</v>
      </c>
      <c r="AL313">
        <v>0</v>
      </c>
      <c r="AM313">
        <v>2.33</v>
      </c>
      <c r="AN313">
        <f t="shared" si="13"/>
        <v>5</v>
      </c>
      <c r="AO313" t="str">
        <f t="shared" si="14"/>
        <v>Thursday</v>
      </c>
    </row>
    <row r="314" spans="1:41" x14ac:dyDescent="0.2">
      <c r="A314" t="s">
        <v>39</v>
      </c>
      <c r="B314" s="1">
        <v>45967</v>
      </c>
      <c r="C314" s="1">
        <f t="shared" si="12"/>
        <v>45991</v>
      </c>
      <c r="D314">
        <v>24</v>
      </c>
      <c r="E314">
        <v>59</v>
      </c>
      <c r="F314">
        <v>5</v>
      </c>
      <c r="G314">
        <v>10</v>
      </c>
      <c r="H314">
        <v>5</v>
      </c>
      <c r="I314">
        <v>4</v>
      </c>
      <c r="J314">
        <v>0</v>
      </c>
      <c r="K314">
        <v>26</v>
      </c>
      <c r="L314" t="s">
        <v>39</v>
      </c>
      <c r="M314" t="s">
        <v>38</v>
      </c>
      <c r="N314" s="1">
        <v>45967</v>
      </c>
      <c r="O314" s="2">
        <v>0.5832060185185185</v>
      </c>
      <c r="P314" s="2">
        <v>0.95844907407407409</v>
      </c>
      <c r="Q314">
        <v>9.02</v>
      </c>
      <c r="R314">
        <v>9.01</v>
      </c>
      <c r="S314">
        <v>1.72</v>
      </c>
      <c r="T314">
        <v>0.02</v>
      </c>
      <c r="U314">
        <v>0</v>
      </c>
      <c r="V314">
        <v>0.03</v>
      </c>
      <c r="W314">
        <v>4.2</v>
      </c>
      <c r="X314">
        <v>1.2</v>
      </c>
      <c r="Y314">
        <v>1.82</v>
      </c>
      <c r="Z314">
        <v>0</v>
      </c>
      <c r="AA314">
        <v>0</v>
      </c>
      <c r="AB314">
        <v>0.01</v>
      </c>
      <c r="AC314">
        <v>9.01</v>
      </c>
      <c r="AD314">
        <v>19.14</v>
      </c>
      <c r="AE314">
        <v>0.25</v>
      </c>
      <c r="AF314">
        <v>0</v>
      </c>
      <c r="AG314">
        <v>0.37</v>
      </c>
      <c r="AH314">
        <v>46.68</v>
      </c>
      <c r="AI314">
        <v>13.3</v>
      </c>
      <c r="AJ314">
        <v>20.18</v>
      </c>
      <c r="AK314">
        <v>0</v>
      </c>
      <c r="AL314">
        <v>0</v>
      </c>
      <c r="AM314">
        <v>0.08</v>
      </c>
      <c r="AN314">
        <f t="shared" si="13"/>
        <v>5</v>
      </c>
      <c r="AO314" t="str">
        <f t="shared" si="14"/>
        <v>Thursday</v>
      </c>
    </row>
    <row r="315" spans="1:41" x14ac:dyDescent="0.2">
      <c r="A315" t="s">
        <v>40</v>
      </c>
      <c r="B315" s="1">
        <v>45967</v>
      </c>
      <c r="C315" s="1">
        <f t="shared" si="12"/>
        <v>45991</v>
      </c>
      <c r="D315">
        <v>13</v>
      </c>
      <c r="E315">
        <v>30</v>
      </c>
      <c r="F315">
        <v>0</v>
      </c>
      <c r="G315">
        <v>0</v>
      </c>
      <c r="H315">
        <v>9</v>
      </c>
      <c r="I315">
        <v>0</v>
      </c>
      <c r="J315">
        <v>0</v>
      </c>
      <c r="K315">
        <v>19</v>
      </c>
      <c r="L315" t="s">
        <v>40</v>
      </c>
      <c r="M315" t="s">
        <v>38</v>
      </c>
      <c r="N315" s="1">
        <v>45967</v>
      </c>
      <c r="O315" s="2">
        <v>0.58297453703703705</v>
      </c>
      <c r="P315" s="2">
        <v>0.95887731481481486</v>
      </c>
      <c r="Q315">
        <v>9.02</v>
      </c>
      <c r="R315">
        <v>9.01</v>
      </c>
      <c r="S315">
        <v>0.72</v>
      </c>
      <c r="T315">
        <v>1.63</v>
      </c>
      <c r="U315">
        <v>0</v>
      </c>
      <c r="V315">
        <v>0.2</v>
      </c>
      <c r="W315">
        <v>3.61</v>
      </c>
      <c r="X315">
        <v>1.52</v>
      </c>
      <c r="Y315">
        <v>1.28</v>
      </c>
      <c r="Z315">
        <v>0</v>
      </c>
      <c r="AA315">
        <v>0</v>
      </c>
      <c r="AB315">
        <v>0.05</v>
      </c>
      <c r="AC315">
        <v>9.01</v>
      </c>
      <c r="AD315">
        <v>8.0399999999999991</v>
      </c>
      <c r="AE315">
        <v>18.11</v>
      </c>
      <c r="AF315">
        <v>0</v>
      </c>
      <c r="AG315">
        <v>2.1800000000000002</v>
      </c>
      <c r="AH315">
        <v>40</v>
      </c>
      <c r="AI315">
        <v>16.899999999999999</v>
      </c>
      <c r="AJ315">
        <v>14.24</v>
      </c>
      <c r="AK315">
        <v>0</v>
      </c>
      <c r="AL315">
        <v>0</v>
      </c>
      <c r="AM315">
        <v>0.53</v>
      </c>
      <c r="AN315">
        <f t="shared" si="13"/>
        <v>5</v>
      </c>
      <c r="AO315" t="str">
        <f t="shared" si="14"/>
        <v>Thursday</v>
      </c>
    </row>
    <row r="316" spans="1:41" x14ac:dyDescent="0.2">
      <c r="A316" t="s">
        <v>41</v>
      </c>
      <c r="B316" s="1">
        <v>45967</v>
      </c>
      <c r="C316" s="1">
        <f t="shared" si="12"/>
        <v>45991</v>
      </c>
      <c r="D316">
        <v>25</v>
      </c>
      <c r="E316">
        <v>64</v>
      </c>
      <c r="F316">
        <v>7</v>
      </c>
      <c r="G316">
        <v>3</v>
      </c>
      <c r="H316">
        <v>11</v>
      </c>
      <c r="I316">
        <v>0</v>
      </c>
      <c r="J316">
        <v>1</v>
      </c>
      <c r="K316">
        <v>30</v>
      </c>
      <c r="L316" t="s">
        <v>41</v>
      </c>
      <c r="M316" t="s">
        <v>38</v>
      </c>
      <c r="N316" s="1">
        <v>45967</v>
      </c>
      <c r="O316" s="2">
        <v>0.58416666666666661</v>
      </c>
      <c r="P316" s="2">
        <v>0.95775462962962965</v>
      </c>
      <c r="Q316">
        <v>8.9700000000000006</v>
      </c>
      <c r="R316">
        <v>8.9700000000000006</v>
      </c>
      <c r="S316">
        <v>1.29</v>
      </c>
      <c r="T316">
        <v>0.5</v>
      </c>
      <c r="U316">
        <v>0</v>
      </c>
      <c r="V316">
        <v>0.16</v>
      </c>
      <c r="W316">
        <v>4.26</v>
      </c>
      <c r="X316">
        <v>1.48</v>
      </c>
      <c r="Y316">
        <v>1.27</v>
      </c>
      <c r="Z316">
        <v>0</v>
      </c>
      <c r="AA316">
        <v>0</v>
      </c>
      <c r="AB316">
        <v>0</v>
      </c>
      <c r="AC316">
        <v>8.9700000000000006</v>
      </c>
      <c r="AD316">
        <v>14.41</v>
      </c>
      <c r="AE316">
        <v>5.55</v>
      </c>
      <c r="AF316">
        <v>0</v>
      </c>
      <c r="AG316">
        <v>1.82</v>
      </c>
      <c r="AH316">
        <v>47.52</v>
      </c>
      <c r="AI316">
        <v>16.54</v>
      </c>
      <c r="AJ316">
        <v>14.12</v>
      </c>
      <c r="AK316">
        <v>0</v>
      </c>
      <c r="AL316">
        <v>0</v>
      </c>
      <c r="AM316">
        <v>0.04</v>
      </c>
      <c r="AN316">
        <f t="shared" si="13"/>
        <v>5</v>
      </c>
      <c r="AO316" t="str">
        <f t="shared" si="14"/>
        <v>Thursday</v>
      </c>
    </row>
    <row r="317" spans="1:41" x14ac:dyDescent="0.2">
      <c r="B317" s="1">
        <v>45967</v>
      </c>
      <c r="C317" s="1">
        <f t="shared" si="12"/>
        <v>45991</v>
      </c>
      <c r="D317">
        <v>392</v>
      </c>
      <c r="E317">
        <v>0</v>
      </c>
      <c r="F317">
        <v>0</v>
      </c>
      <c r="G317">
        <v>0</v>
      </c>
      <c r="H317">
        <v>0</v>
      </c>
      <c r="I317">
        <v>0</v>
      </c>
      <c r="J317">
        <v>0</v>
      </c>
      <c r="K317">
        <v>0</v>
      </c>
      <c r="AN317">
        <f t="shared" si="13"/>
        <v>5</v>
      </c>
      <c r="AO317" t="str">
        <f t="shared" si="14"/>
        <v>Thursday</v>
      </c>
    </row>
    <row r="318" spans="1:41" x14ac:dyDescent="0.2">
      <c r="A318" t="s">
        <v>37</v>
      </c>
      <c r="B318" s="1">
        <v>45966</v>
      </c>
      <c r="C318" s="1">
        <f t="shared" si="12"/>
        <v>45991</v>
      </c>
      <c r="D318">
        <v>25</v>
      </c>
      <c r="E318">
        <v>53</v>
      </c>
      <c r="F318">
        <v>6</v>
      </c>
      <c r="G318">
        <v>1</v>
      </c>
      <c r="H318">
        <v>13</v>
      </c>
      <c r="I318">
        <v>0</v>
      </c>
      <c r="J318">
        <v>1</v>
      </c>
      <c r="K318">
        <v>15</v>
      </c>
      <c r="L318" t="s">
        <v>37</v>
      </c>
      <c r="M318" t="s">
        <v>38</v>
      </c>
      <c r="N318" s="1">
        <v>45966</v>
      </c>
      <c r="O318" s="2">
        <v>0.5833680555555556</v>
      </c>
      <c r="P318" s="2">
        <v>0.95835648148148145</v>
      </c>
      <c r="Q318">
        <v>9</v>
      </c>
      <c r="R318">
        <v>8.09</v>
      </c>
      <c r="S318">
        <v>3.58</v>
      </c>
      <c r="T318">
        <v>0.46</v>
      </c>
      <c r="U318">
        <v>0</v>
      </c>
      <c r="V318">
        <v>0.28000000000000003</v>
      </c>
      <c r="W318">
        <v>3.35</v>
      </c>
      <c r="X318">
        <v>0.39</v>
      </c>
      <c r="Y318">
        <v>0</v>
      </c>
      <c r="Z318">
        <v>0</v>
      </c>
      <c r="AA318">
        <v>0</v>
      </c>
      <c r="AB318">
        <v>0.02</v>
      </c>
      <c r="AC318">
        <v>8.09</v>
      </c>
      <c r="AD318">
        <v>44.3</v>
      </c>
      <c r="AE318">
        <v>5.74</v>
      </c>
      <c r="AF318">
        <v>0</v>
      </c>
      <c r="AG318">
        <v>3.48</v>
      </c>
      <c r="AH318">
        <v>41.43</v>
      </c>
      <c r="AI318">
        <v>4.78</v>
      </c>
      <c r="AJ318">
        <v>0</v>
      </c>
      <c r="AK318">
        <v>0</v>
      </c>
      <c r="AL318">
        <v>0</v>
      </c>
      <c r="AM318">
        <v>0.28000000000000003</v>
      </c>
      <c r="AN318">
        <f t="shared" si="13"/>
        <v>4</v>
      </c>
      <c r="AO318" t="str">
        <f t="shared" si="14"/>
        <v>Wednesday</v>
      </c>
    </row>
    <row r="319" spans="1:41" x14ac:dyDescent="0.2">
      <c r="A319" t="s">
        <v>39</v>
      </c>
      <c r="B319" s="1">
        <v>45966</v>
      </c>
      <c r="C319" s="1">
        <f t="shared" si="12"/>
        <v>45991</v>
      </c>
      <c r="D319">
        <v>34</v>
      </c>
      <c r="E319">
        <v>63</v>
      </c>
      <c r="F319">
        <v>1</v>
      </c>
      <c r="G319">
        <v>5</v>
      </c>
      <c r="H319">
        <v>10</v>
      </c>
      <c r="I319">
        <v>2</v>
      </c>
      <c r="J319">
        <v>8</v>
      </c>
      <c r="K319">
        <v>20</v>
      </c>
      <c r="L319" t="s">
        <v>39</v>
      </c>
      <c r="M319" t="s">
        <v>38</v>
      </c>
      <c r="N319" s="1">
        <v>45966</v>
      </c>
      <c r="O319" s="2">
        <v>0.58348379629629632</v>
      </c>
      <c r="P319" s="2">
        <v>0.96078703703703705</v>
      </c>
      <c r="Q319">
        <v>9.0500000000000007</v>
      </c>
      <c r="R319">
        <v>9.0500000000000007</v>
      </c>
      <c r="S319">
        <v>2</v>
      </c>
      <c r="T319">
        <v>0.14000000000000001</v>
      </c>
      <c r="U319">
        <v>0</v>
      </c>
      <c r="V319">
        <v>7.0000000000000007E-2</v>
      </c>
      <c r="W319">
        <v>5.33</v>
      </c>
      <c r="X319">
        <v>1.2</v>
      </c>
      <c r="Y319">
        <v>0.31</v>
      </c>
      <c r="Z319">
        <v>0</v>
      </c>
      <c r="AA319">
        <v>0</v>
      </c>
      <c r="AB319">
        <v>0</v>
      </c>
      <c r="AC319">
        <v>9.0500000000000007</v>
      </c>
      <c r="AD319">
        <v>22.1</v>
      </c>
      <c r="AE319">
        <v>1.58</v>
      </c>
      <c r="AF319">
        <v>0</v>
      </c>
      <c r="AG319">
        <v>0.73</v>
      </c>
      <c r="AH319">
        <v>58.9</v>
      </c>
      <c r="AI319">
        <v>13.21</v>
      </c>
      <c r="AJ319">
        <v>3.43</v>
      </c>
      <c r="AK319">
        <v>0</v>
      </c>
      <c r="AL319">
        <v>0</v>
      </c>
      <c r="AM319">
        <v>0.05</v>
      </c>
      <c r="AN319">
        <f t="shared" si="13"/>
        <v>4</v>
      </c>
      <c r="AO319" t="str">
        <f t="shared" si="14"/>
        <v>Wednesday</v>
      </c>
    </row>
    <row r="320" spans="1:41" x14ac:dyDescent="0.2">
      <c r="A320" t="s">
        <v>40</v>
      </c>
      <c r="B320" s="1">
        <v>45966</v>
      </c>
      <c r="C320" s="1">
        <f t="shared" si="12"/>
        <v>45991</v>
      </c>
      <c r="D320">
        <v>20</v>
      </c>
      <c r="E320">
        <v>42</v>
      </c>
      <c r="F320">
        <v>9</v>
      </c>
      <c r="G320">
        <v>2</v>
      </c>
      <c r="H320">
        <v>6</v>
      </c>
      <c r="I320">
        <v>2</v>
      </c>
      <c r="J320">
        <v>0</v>
      </c>
      <c r="K320">
        <v>16</v>
      </c>
      <c r="L320" t="s">
        <v>40</v>
      </c>
      <c r="M320" t="s">
        <v>38</v>
      </c>
      <c r="N320" s="1">
        <v>45966</v>
      </c>
      <c r="O320" s="2">
        <v>0.58398148148148143</v>
      </c>
      <c r="P320" s="2">
        <v>0.9583680555555556</v>
      </c>
      <c r="Q320">
        <v>9</v>
      </c>
      <c r="R320">
        <v>8.98</v>
      </c>
      <c r="S320">
        <v>2.91</v>
      </c>
      <c r="T320">
        <v>0.56000000000000005</v>
      </c>
      <c r="U320">
        <v>0</v>
      </c>
      <c r="V320">
        <v>0.34</v>
      </c>
      <c r="W320">
        <v>3.53</v>
      </c>
      <c r="X320">
        <v>1.53</v>
      </c>
      <c r="Y320">
        <v>0</v>
      </c>
      <c r="Z320">
        <v>0</v>
      </c>
      <c r="AA320">
        <v>0</v>
      </c>
      <c r="AB320">
        <v>0.11</v>
      </c>
      <c r="AC320">
        <v>8.98</v>
      </c>
      <c r="AD320">
        <v>32.4</v>
      </c>
      <c r="AE320">
        <v>6.21</v>
      </c>
      <c r="AF320">
        <v>0</v>
      </c>
      <c r="AG320">
        <v>3.82</v>
      </c>
      <c r="AH320">
        <v>39.31</v>
      </c>
      <c r="AI320">
        <v>17.079999999999998</v>
      </c>
      <c r="AJ320">
        <v>0</v>
      </c>
      <c r="AK320">
        <v>0</v>
      </c>
      <c r="AL320">
        <v>0</v>
      </c>
      <c r="AM320">
        <v>1.18</v>
      </c>
      <c r="AN320">
        <f t="shared" si="13"/>
        <v>4</v>
      </c>
      <c r="AO320" t="str">
        <f t="shared" si="14"/>
        <v>Wednesday</v>
      </c>
    </row>
    <row r="321" spans="1:41" x14ac:dyDescent="0.2">
      <c r="A321" t="s">
        <v>41</v>
      </c>
      <c r="B321" s="1">
        <v>45966</v>
      </c>
      <c r="C321" s="1">
        <f t="shared" si="12"/>
        <v>45991</v>
      </c>
      <c r="D321">
        <v>28</v>
      </c>
      <c r="E321">
        <v>75</v>
      </c>
      <c r="F321">
        <v>4</v>
      </c>
      <c r="G321">
        <v>5</v>
      </c>
      <c r="H321">
        <v>11</v>
      </c>
      <c r="I321">
        <v>3</v>
      </c>
      <c r="J321">
        <v>2</v>
      </c>
      <c r="K321">
        <v>41</v>
      </c>
      <c r="L321" t="s">
        <v>41</v>
      </c>
      <c r="M321" t="s">
        <v>38</v>
      </c>
      <c r="N321" s="1">
        <v>45966</v>
      </c>
      <c r="O321" s="2">
        <v>0.5835069444444444</v>
      </c>
      <c r="P321" s="2">
        <v>0.95990740740740743</v>
      </c>
      <c r="Q321">
        <v>9.0299999999999994</v>
      </c>
      <c r="R321">
        <v>9.0299999999999994</v>
      </c>
      <c r="S321">
        <v>2.41</v>
      </c>
      <c r="T321">
        <v>0.21</v>
      </c>
      <c r="U321">
        <v>0</v>
      </c>
      <c r="V321">
        <v>0.19</v>
      </c>
      <c r="W321">
        <v>4.75</v>
      </c>
      <c r="X321">
        <v>1.46</v>
      </c>
      <c r="Y321">
        <v>0</v>
      </c>
      <c r="Z321">
        <v>0</v>
      </c>
      <c r="AA321">
        <v>0</v>
      </c>
      <c r="AB321">
        <v>0</v>
      </c>
      <c r="AC321">
        <v>9.0299999999999994</v>
      </c>
      <c r="AD321">
        <v>26.74</v>
      </c>
      <c r="AE321">
        <v>2.37</v>
      </c>
      <c r="AF321">
        <v>0</v>
      </c>
      <c r="AG321">
        <v>2.09</v>
      </c>
      <c r="AH321">
        <v>52.54</v>
      </c>
      <c r="AI321">
        <v>16.21</v>
      </c>
      <c r="AJ321">
        <v>0</v>
      </c>
      <c r="AK321">
        <v>0</v>
      </c>
      <c r="AL321">
        <v>0</v>
      </c>
      <c r="AM321">
        <v>0.05</v>
      </c>
      <c r="AN321">
        <f t="shared" si="13"/>
        <v>4</v>
      </c>
      <c r="AO321" t="str">
        <f t="shared" si="14"/>
        <v>Wednesday</v>
      </c>
    </row>
    <row r="322" spans="1:41" x14ac:dyDescent="0.2">
      <c r="B322" s="1">
        <v>45966</v>
      </c>
      <c r="C322" s="1">
        <f t="shared" si="12"/>
        <v>45991</v>
      </c>
      <c r="D322">
        <v>400</v>
      </c>
      <c r="E322">
        <v>0</v>
      </c>
      <c r="F322">
        <v>0</v>
      </c>
      <c r="G322">
        <v>0</v>
      </c>
      <c r="H322">
        <v>0</v>
      </c>
      <c r="I322">
        <v>0</v>
      </c>
      <c r="J322">
        <v>0</v>
      </c>
      <c r="K322">
        <v>0</v>
      </c>
      <c r="AN322">
        <f t="shared" si="13"/>
        <v>4</v>
      </c>
      <c r="AO322" t="str">
        <f t="shared" si="14"/>
        <v>Wednesday</v>
      </c>
    </row>
    <row r="323" spans="1:41" x14ac:dyDescent="0.2">
      <c r="A323" t="s">
        <v>37</v>
      </c>
      <c r="B323" s="1">
        <v>45965</v>
      </c>
      <c r="C323" s="1">
        <f t="shared" ref="C323:C386" si="15">EOMONTH(B323,0)</f>
        <v>45991</v>
      </c>
      <c r="D323">
        <v>22</v>
      </c>
      <c r="E323">
        <v>44</v>
      </c>
      <c r="F323">
        <v>3</v>
      </c>
      <c r="G323">
        <v>3</v>
      </c>
      <c r="H323">
        <v>7</v>
      </c>
      <c r="I323">
        <v>0</v>
      </c>
      <c r="J323">
        <v>1</v>
      </c>
      <c r="K323">
        <v>19</v>
      </c>
      <c r="L323" t="s">
        <v>37</v>
      </c>
      <c r="M323" t="s">
        <v>38</v>
      </c>
      <c r="N323" s="1">
        <v>45965</v>
      </c>
      <c r="O323" s="2">
        <v>0.58355324074074078</v>
      </c>
      <c r="P323" s="2">
        <v>0.95846064814814813</v>
      </c>
      <c r="Q323">
        <v>9</v>
      </c>
      <c r="R323">
        <v>8.24</v>
      </c>
      <c r="S323">
        <v>1.68</v>
      </c>
      <c r="T323">
        <v>0.52</v>
      </c>
      <c r="U323">
        <v>0</v>
      </c>
      <c r="V323">
        <v>0.21</v>
      </c>
      <c r="W323">
        <v>5.09</v>
      </c>
      <c r="X323">
        <v>0.71</v>
      </c>
      <c r="Y323">
        <v>0</v>
      </c>
      <c r="Z323">
        <v>0</v>
      </c>
      <c r="AA323">
        <v>0</v>
      </c>
      <c r="AB323">
        <v>0.03</v>
      </c>
      <c r="AC323">
        <v>8.24</v>
      </c>
      <c r="AD323">
        <v>20.43</v>
      </c>
      <c r="AE323">
        <v>6.26</v>
      </c>
      <c r="AF323">
        <v>0</v>
      </c>
      <c r="AG323">
        <v>2.6</v>
      </c>
      <c r="AH323">
        <v>61.81</v>
      </c>
      <c r="AI323">
        <v>8.59</v>
      </c>
      <c r="AJ323">
        <v>0</v>
      </c>
      <c r="AK323">
        <v>0</v>
      </c>
      <c r="AL323">
        <v>0</v>
      </c>
      <c r="AM323">
        <v>0.31</v>
      </c>
      <c r="AN323">
        <f t="shared" ref="AN323:AN386" si="16">WEEKDAY(B323,1)</f>
        <v>3</v>
      </c>
      <c r="AO323" t="str">
        <f t="shared" ref="AO323:AO386" si="17">VLOOKUP(AN323,$AY$2:$AZ$8,2,FALSE)</f>
        <v>Tuesday</v>
      </c>
    </row>
    <row r="324" spans="1:41" x14ac:dyDescent="0.2">
      <c r="A324" t="s">
        <v>39</v>
      </c>
      <c r="B324" s="1">
        <v>45965</v>
      </c>
      <c r="C324" s="1">
        <f t="shared" si="15"/>
        <v>45991</v>
      </c>
      <c r="D324">
        <v>28</v>
      </c>
      <c r="E324">
        <v>66</v>
      </c>
      <c r="F324">
        <v>9</v>
      </c>
      <c r="G324">
        <v>8</v>
      </c>
      <c r="H324">
        <v>8</v>
      </c>
      <c r="I324">
        <v>0</v>
      </c>
      <c r="J324">
        <v>5</v>
      </c>
      <c r="K324">
        <v>24</v>
      </c>
      <c r="L324" t="s">
        <v>39</v>
      </c>
      <c r="M324" t="s">
        <v>38</v>
      </c>
      <c r="N324" s="1">
        <v>45965</v>
      </c>
      <c r="O324" s="2">
        <v>0.58331018518518518</v>
      </c>
      <c r="P324" s="2">
        <v>0.95849537037037036</v>
      </c>
      <c r="Q324">
        <v>9.02</v>
      </c>
      <c r="R324">
        <v>9.01</v>
      </c>
      <c r="S324">
        <v>1.68</v>
      </c>
      <c r="T324">
        <v>0.08</v>
      </c>
      <c r="U324">
        <v>0</v>
      </c>
      <c r="V324">
        <v>0.04</v>
      </c>
      <c r="W324">
        <v>5.19</v>
      </c>
      <c r="X324">
        <v>1.23</v>
      </c>
      <c r="Y324">
        <v>0.77</v>
      </c>
      <c r="Z324">
        <v>0</v>
      </c>
      <c r="AA324">
        <v>0</v>
      </c>
      <c r="AB324">
        <v>0.01</v>
      </c>
      <c r="AC324">
        <v>9.01</v>
      </c>
      <c r="AD324">
        <v>18.68</v>
      </c>
      <c r="AE324">
        <v>0.88</v>
      </c>
      <c r="AF324">
        <v>0</v>
      </c>
      <c r="AG324">
        <v>0.44</v>
      </c>
      <c r="AH324">
        <v>57.67</v>
      </c>
      <c r="AI324">
        <v>13.71</v>
      </c>
      <c r="AJ324">
        <v>8.51</v>
      </c>
      <c r="AK324">
        <v>0</v>
      </c>
      <c r="AL324">
        <v>0</v>
      </c>
      <c r="AM324">
        <v>0.11</v>
      </c>
      <c r="AN324">
        <f t="shared" si="16"/>
        <v>3</v>
      </c>
      <c r="AO324" t="str">
        <f t="shared" si="17"/>
        <v>Tuesday</v>
      </c>
    </row>
    <row r="325" spans="1:41" x14ac:dyDescent="0.2">
      <c r="A325" t="s">
        <v>40</v>
      </c>
      <c r="B325" s="1">
        <v>45965</v>
      </c>
      <c r="C325" s="1">
        <f t="shared" si="15"/>
        <v>45991</v>
      </c>
      <c r="D325">
        <v>24</v>
      </c>
      <c r="E325">
        <v>50</v>
      </c>
      <c r="F325">
        <v>2</v>
      </c>
      <c r="G325">
        <v>0</v>
      </c>
      <c r="H325">
        <v>6</v>
      </c>
      <c r="I325">
        <v>0</v>
      </c>
      <c r="J325">
        <v>2</v>
      </c>
      <c r="K325">
        <v>24</v>
      </c>
      <c r="L325" t="s">
        <v>40</v>
      </c>
      <c r="M325" t="s">
        <v>38</v>
      </c>
      <c r="N325" s="1">
        <v>45965</v>
      </c>
      <c r="O325" s="2">
        <v>0.5838888888888889</v>
      </c>
      <c r="P325" s="2">
        <v>0.95851851851851855</v>
      </c>
      <c r="Q325">
        <v>9</v>
      </c>
      <c r="R325">
        <v>8.99</v>
      </c>
      <c r="S325">
        <v>1.4</v>
      </c>
      <c r="T325">
        <v>1.33</v>
      </c>
      <c r="U325">
        <v>0</v>
      </c>
      <c r="V325">
        <v>0.2</v>
      </c>
      <c r="W325">
        <v>4.2300000000000004</v>
      </c>
      <c r="X325">
        <v>1.6</v>
      </c>
      <c r="Y325">
        <v>0.24</v>
      </c>
      <c r="Z325">
        <v>0</v>
      </c>
      <c r="AA325">
        <v>0</v>
      </c>
      <c r="AB325">
        <v>0.01</v>
      </c>
      <c r="AC325">
        <v>8.99</v>
      </c>
      <c r="AD325">
        <v>15.56</v>
      </c>
      <c r="AE325">
        <v>14.77</v>
      </c>
      <c r="AF325">
        <v>0</v>
      </c>
      <c r="AG325">
        <v>2.19</v>
      </c>
      <c r="AH325">
        <v>47</v>
      </c>
      <c r="AI325">
        <v>17.77</v>
      </c>
      <c r="AJ325">
        <v>2.64</v>
      </c>
      <c r="AK325">
        <v>0</v>
      </c>
      <c r="AL325">
        <v>0</v>
      </c>
      <c r="AM325">
        <v>7.0000000000000007E-2</v>
      </c>
      <c r="AN325">
        <f t="shared" si="16"/>
        <v>3</v>
      </c>
      <c r="AO325" t="str">
        <f t="shared" si="17"/>
        <v>Tuesday</v>
      </c>
    </row>
    <row r="326" spans="1:41" x14ac:dyDescent="0.2">
      <c r="A326" t="s">
        <v>41</v>
      </c>
      <c r="B326" s="1">
        <v>45965</v>
      </c>
      <c r="C326" s="1">
        <f t="shared" si="15"/>
        <v>45991</v>
      </c>
      <c r="D326">
        <v>27</v>
      </c>
      <c r="E326">
        <v>59</v>
      </c>
      <c r="F326">
        <v>7</v>
      </c>
      <c r="G326">
        <v>5</v>
      </c>
      <c r="H326">
        <v>7</v>
      </c>
      <c r="I326">
        <v>0</v>
      </c>
      <c r="J326">
        <v>6</v>
      </c>
      <c r="K326">
        <v>28</v>
      </c>
      <c r="L326" t="s">
        <v>41</v>
      </c>
      <c r="M326" t="s">
        <v>38</v>
      </c>
      <c r="N326" s="1">
        <v>45965</v>
      </c>
      <c r="O326" s="2">
        <v>0.58361111111111108</v>
      </c>
      <c r="P326" s="2">
        <v>0.95747685185185183</v>
      </c>
      <c r="Q326">
        <v>8.9700000000000006</v>
      </c>
      <c r="R326">
        <v>8.9700000000000006</v>
      </c>
      <c r="S326">
        <v>1.59</v>
      </c>
      <c r="T326">
        <v>0.69</v>
      </c>
      <c r="U326">
        <v>0</v>
      </c>
      <c r="V326">
        <v>0.1</v>
      </c>
      <c r="W326">
        <v>5.12</v>
      </c>
      <c r="X326">
        <v>1.47</v>
      </c>
      <c r="Y326">
        <v>0</v>
      </c>
      <c r="Z326">
        <v>0</v>
      </c>
      <c r="AA326">
        <v>0</v>
      </c>
      <c r="AB326">
        <v>0</v>
      </c>
      <c r="AC326">
        <v>8.9700000000000006</v>
      </c>
      <c r="AD326">
        <v>17.73</v>
      </c>
      <c r="AE326">
        <v>7.65</v>
      </c>
      <c r="AF326">
        <v>0</v>
      </c>
      <c r="AG326">
        <v>1.1299999999999999</v>
      </c>
      <c r="AH326">
        <v>57.02</v>
      </c>
      <c r="AI326">
        <v>16.43</v>
      </c>
      <c r="AJ326">
        <v>0</v>
      </c>
      <c r="AK326">
        <v>0</v>
      </c>
      <c r="AL326">
        <v>0</v>
      </c>
      <c r="AM326">
        <v>0.05</v>
      </c>
      <c r="AN326">
        <f t="shared" si="16"/>
        <v>3</v>
      </c>
      <c r="AO326" t="str">
        <f t="shared" si="17"/>
        <v>Tuesday</v>
      </c>
    </row>
    <row r="327" spans="1:41" x14ac:dyDescent="0.2">
      <c r="A327" t="s">
        <v>43</v>
      </c>
      <c r="B327" s="1">
        <v>45965</v>
      </c>
      <c r="C327" s="1">
        <f t="shared" si="15"/>
        <v>45991</v>
      </c>
      <c r="D327">
        <v>29</v>
      </c>
      <c r="E327">
        <v>96</v>
      </c>
      <c r="F327">
        <v>12</v>
      </c>
      <c r="G327">
        <v>2</v>
      </c>
      <c r="H327">
        <v>15</v>
      </c>
      <c r="I327">
        <v>0</v>
      </c>
      <c r="J327">
        <v>0</v>
      </c>
      <c r="K327">
        <v>46</v>
      </c>
      <c r="L327" t="s">
        <v>43</v>
      </c>
      <c r="M327" t="s">
        <v>38</v>
      </c>
      <c r="N327" s="1">
        <v>45965</v>
      </c>
      <c r="O327" s="2">
        <v>0.5832060185185185</v>
      </c>
      <c r="P327" s="2">
        <v>0.95900462962962962</v>
      </c>
      <c r="Q327">
        <v>9.02</v>
      </c>
      <c r="R327">
        <v>9.02</v>
      </c>
      <c r="S327">
        <v>2.08</v>
      </c>
      <c r="T327">
        <v>0.15</v>
      </c>
      <c r="U327">
        <v>0</v>
      </c>
      <c r="V327">
        <v>0.47</v>
      </c>
      <c r="W327">
        <v>4.8499999999999996</v>
      </c>
      <c r="X327">
        <v>1.46</v>
      </c>
      <c r="Y327">
        <v>0</v>
      </c>
      <c r="Z327">
        <v>0</v>
      </c>
      <c r="AA327">
        <v>0</v>
      </c>
      <c r="AB327">
        <v>0</v>
      </c>
      <c r="AC327">
        <v>9.02</v>
      </c>
      <c r="AD327">
        <v>23.07</v>
      </c>
      <c r="AE327">
        <v>1.65</v>
      </c>
      <c r="AF327">
        <v>0</v>
      </c>
      <c r="AG327">
        <v>5.23</v>
      </c>
      <c r="AH327">
        <v>53.81</v>
      </c>
      <c r="AI327">
        <v>16.21</v>
      </c>
      <c r="AJ327">
        <v>0</v>
      </c>
      <c r="AK327">
        <v>0</v>
      </c>
      <c r="AL327">
        <v>0</v>
      </c>
      <c r="AM327">
        <v>0.03</v>
      </c>
      <c r="AN327">
        <f t="shared" si="16"/>
        <v>3</v>
      </c>
      <c r="AO327" t="str">
        <f t="shared" si="17"/>
        <v>Tuesday</v>
      </c>
    </row>
    <row r="328" spans="1:41" x14ac:dyDescent="0.2">
      <c r="B328" s="1">
        <v>45965</v>
      </c>
      <c r="C328" s="1">
        <f t="shared" si="15"/>
        <v>45991</v>
      </c>
      <c r="D328">
        <v>406</v>
      </c>
      <c r="E328">
        <v>0</v>
      </c>
      <c r="F328">
        <v>0</v>
      </c>
      <c r="G328">
        <v>0</v>
      </c>
      <c r="H328">
        <v>0</v>
      </c>
      <c r="I328">
        <v>0</v>
      </c>
      <c r="J328">
        <v>0</v>
      </c>
      <c r="K328">
        <v>0</v>
      </c>
      <c r="AN328">
        <f t="shared" si="16"/>
        <v>3</v>
      </c>
      <c r="AO328" t="str">
        <f t="shared" si="17"/>
        <v>Tuesday</v>
      </c>
    </row>
    <row r="329" spans="1:41" x14ac:dyDescent="0.2">
      <c r="A329" t="s">
        <v>37</v>
      </c>
      <c r="B329" s="1">
        <v>45964</v>
      </c>
      <c r="C329" s="1">
        <f t="shared" si="15"/>
        <v>45991</v>
      </c>
      <c r="D329">
        <v>18</v>
      </c>
      <c r="E329">
        <v>42</v>
      </c>
      <c r="F329">
        <v>5</v>
      </c>
      <c r="G329">
        <v>2</v>
      </c>
      <c r="H329">
        <v>2</v>
      </c>
      <c r="I329">
        <v>0</v>
      </c>
      <c r="J329">
        <v>0</v>
      </c>
      <c r="K329">
        <v>22</v>
      </c>
      <c r="L329" t="s">
        <v>37</v>
      </c>
      <c r="M329" t="s">
        <v>38</v>
      </c>
      <c r="N329" s="1">
        <v>45964</v>
      </c>
      <c r="O329" s="2">
        <v>0.5852546296296296</v>
      </c>
      <c r="P329" s="2">
        <v>0.95848379629629632</v>
      </c>
      <c r="Q329">
        <v>8.9700000000000006</v>
      </c>
      <c r="R329">
        <v>8.06</v>
      </c>
      <c r="S329">
        <v>1.61</v>
      </c>
      <c r="T329">
        <v>0.6</v>
      </c>
      <c r="U329">
        <v>0</v>
      </c>
      <c r="V329">
        <v>0.21</v>
      </c>
      <c r="W329">
        <v>5.0199999999999996</v>
      </c>
      <c r="X329">
        <v>0.59</v>
      </c>
      <c r="Y329">
        <v>0</v>
      </c>
      <c r="Z329">
        <v>0</v>
      </c>
      <c r="AA329">
        <v>0</v>
      </c>
      <c r="AB329">
        <v>0.02</v>
      </c>
      <c r="AC329">
        <v>8.06</v>
      </c>
      <c r="AD329">
        <v>19.93</v>
      </c>
      <c r="AE329">
        <v>7.48</v>
      </c>
      <c r="AF329">
        <v>0</v>
      </c>
      <c r="AG329">
        <v>2.66</v>
      </c>
      <c r="AH329">
        <v>62.33</v>
      </c>
      <c r="AI329">
        <v>7.36</v>
      </c>
      <c r="AJ329">
        <v>0</v>
      </c>
      <c r="AK329">
        <v>0</v>
      </c>
      <c r="AL329">
        <v>0</v>
      </c>
      <c r="AM329">
        <v>0.24</v>
      </c>
      <c r="AN329">
        <f t="shared" si="16"/>
        <v>2</v>
      </c>
      <c r="AO329" t="str">
        <f t="shared" si="17"/>
        <v>Monday</v>
      </c>
    </row>
    <row r="330" spans="1:41" x14ac:dyDescent="0.2">
      <c r="A330" t="s">
        <v>39</v>
      </c>
      <c r="B330" s="1">
        <v>45964</v>
      </c>
      <c r="C330" s="1">
        <f t="shared" si="15"/>
        <v>45991</v>
      </c>
      <c r="D330">
        <v>27</v>
      </c>
      <c r="E330">
        <v>47</v>
      </c>
      <c r="F330">
        <v>3</v>
      </c>
      <c r="G330">
        <v>2</v>
      </c>
      <c r="H330">
        <v>8</v>
      </c>
      <c r="I330">
        <v>0</v>
      </c>
      <c r="J330">
        <v>3</v>
      </c>
      <c r="K330">
        <v>21</v>
      </c>
      <c r="L330" t="s">
        <v>39</v>
      </c>
      <c r="M330" t="s">
        <v>38</v>
      </c>
      <c r="N330" s="1">
        <v>45964</v>
      </c>
      <c r="O330" s="2">
        <v>0.5832060185185185</v>
      </c>
      <c r="P330" s="2">
        <v>0.9583680555555556</v>
      </c>
      <c r="Q330">
        <v>9.02</v>
      </c>
      <c r="R330">
        <v>9</v>
      </c>
      <c r="S330">
        <v>1.77</v>
      </c>
      <c r="T330">
        <v>0.03</v>
      </c>
      <c r="U330">
        <v>0</v>
      </c>
      <c r="V330">
        <v>0.03</v>
      </c>
      <c r="W330">
        <v>5.2</v>
      </c>
      <c r="X330">
        <v>1.48</v>
      </c>
      <c r="Y330">
        <v>0.5</v>
      </c>
      <c r="Z330">
        <v>0</v>
      </c>
      <c r="AA330">
        <v>0</v>
      </c>
      <c r="AB330">
        <v>0</v>
      </c>
      <c r="AC330">
        <v>9</v>
      </c>
      <c r="AD330">
        <v>19.66</v>
      </c>
      <c r="AE330">
        <v>0.33</v>
      </c>
      <c r="AF330">
        <v>0</v>
      </c>
      <c r="AG330">
        <v>0.32</v>
      </c>
      <c r="AH330">
        <v>57.71</v>
      </c>
      <c r="AI330">
        <v>16.41</v>
      </c>
      <c r="AJ330">
        <v>5.53</v>
      </c>
      <c r="AK330">
        <v>0</v>
      </c>
      <c r="AL330">
        <v>0</v>
      </c>
      <c r="AM330">
        <v>0.04</v>
      </c>
      <c r="AN330">
        <f t="shared" si="16"/>
        <v>2</v>
      </c>
      <c r="AO330" t="str">
        <f t="shared" si="17"/>
        <v>Monday</v>
      </c>
    </row>
    <row r="331" spans="1:41" x14ac:dyDescent="0.2">
      <c r="A331" t="s">
        <v>40</v>
      </c>
      <c r="B331" s="1">
        <v>45964</v>
      </c>
      <c r="C331" s="1">
        <f t="shared" si="15"/>
        <v>45991</v>
      </c>
      <c r="D331">
        <v>14</v>
      </c>
      <c r="E331">
        <v>44</v>
      </c>
      <c r="F331">
        <v>4</v>
      </c>
      <c r="G331">
        <v>5</v>
      </c>
      <c r="H331">
        <v>12</v>
      </c>
      <c r="I331">
        <v>0</v>
      </c>
      <c r="J331">
        <v>0</v>
      </c>
      <c r="K331">
        <v>17</v>
      </c>
      <c r="L331" t="s">
        <v>40</v>
      </c>
      <c r="M331" t="s">
        <v>38</v>
      </c>
      <c r="N331" s="1">
        <v>45964</v>
      </c>
      <c r="O331" s="2">
        <v>0.58348379629629632</v>
      </c>
      <c r="P331" s="2">
        <v>0.9583680555555556</v>
      </c>
      <c r="Q331">
        <v>9</v>
      </c>
      <c r="R331">
        <v>9</v>
      </c>
      <c r="S331">
        <v>1.19</v>
      </c>
      <c r="T331">
        <v>1.27</v>
      </c>
      <c r="U331">
        <v>0</v>
      </c>
      <c r="V331">
        <v>0.2</v>
      </c>
      <c r="W331">
        <v>4.0999999999999996</v>
      </c>
      <c r="X331">
        <v>1.54</v>
      </c>
      <c r="Y331">
        <v>0.69</v>
      </c>
      <c r="Z331">
        <v>0</v>
      </c>
      <c r="AA331">
        <v>0</v>
      </c>
      <c r="AB331">
        <v>0.01</v>
      </c>
      <c r="AC331">
        <v>9</v>
      </c>
      <c r="AD331">
        <v>13.19</v>
      </c>
      <c r="AE331">
        <v>14.16</v>
      </c>
      <c r="AF331">
        <v>0</v>
      </c>
      <c r="AG331">
        <v>2.1800000000000002</v>
      </c>
      <c r="AH331">
        <v>45.58</v>
      </c>
      <c r="AI331">
        <v>17.07</v>
      </c>
      <c r="AJ331">
        <v>7.68</v>
      </c>
      <c r="AK331">
        <v>0</v>
      </c>
      <c r="AL331">
        <v>0</v>
      </c>
      <c r="AM331">
        <v>0.13</v>
      </c>
      <c r="AN331">
        <f t="shared" si="16"/>
        <v>2</v>
      </c>
      <c r="AO331" t="str">
        <f t="shared" si="17"/>
        <v>Monday</v>
      </c>
    </row>
    <row r="332" spans="1:41" x14ac:dyDescent="0.2">
      <c r="A332" t="s">
        <v>41</v>
      </c>
      <c r="B332" s="1">
        <v>45964</v>
      </c>
      <c r="C332" s="1">
        <f t="shared" si="15"/>
        <v>45991</v>
      </c>
      <c r="D332">
        <v>25</v>
      </c>
      <c r="E332">
        <v>44</v>
      </c>
      <c r="F332">
        <v>5</v>
      </c>
      <c r="G332">
        <v>1</v>
      </c>
      <c r="H332">
        <v>4</v>
      </c>
      <c r="I332">
        <v>0</v>
      </c>
      <c r="J332">
        <v>2</v>
      </c>
      <c r="K332">
        <v>22</v>
      </c>
      <c r="L332" t="s">
        <v>41</v>
      </c>
      <c r="M332" t="s">
        <v>38</v>
      </c>
      <c r="N332" s="1">
        <v>45964</v>
      </c>
      <c r="O332" s="2">
        <v>0.58340277777777783</v>
      </c>
      <c r="P332" s="2">
        <v>0.95806712962962959</v>
      </c>
      <c r="Q332">
        <v>8.98</v>
      </c>
      <c r="R332">
        <v>8.99</v>
      </c>
      <c r="S332">
        <v>1.62</v>
      </c>
      <c r="T332">
        <v>0.41</v>
      </c>
      <c r="U332">
        <v>0</v>
      </c>
      <c r="V332">
        <v>0.17</v>
      </c>
      <c r="W332">
        <v>5.32</v>
      </c>
      <c r="X332">
        <v>1.46</v>
      </c>
      <c r="Y332">
        <v>0</v>
      </c>
      <c r="Z332">
        <v>0</v>
      </c>
      <c r="AA332">
        <v>0</v>
      </c>
      <c r="AB332">
        <v>0</v>
      </c>
      <c r="AC332">
        <v>8.99</v>
      </c>
      <c r="AD332">
        <v>18.05</v>
      </c>
      <c r="AE332">
        <v>4.58</v>
      </c>
      <c r="AF332">
        <v>0</v>
      </c>
      <c r="AG332">
        <v>1.91</v>
      </c>
      <c r="AH332">
        <v>59.14</v>
      </c>
      <c r="AI332">
        <v>16.28</v>
      </c>
      <c r="AJ332">
        <v>0</v>
      </c>
      <c r="AK332">
        <v>0</v>
      </c>
      <c r="AL332">
        <v>0</v>
      </c>
      <c r="AM332">
        <v>0.04</v>
      </c>
      <c r="AN332">
        <f t="shared" si="16"/>
        <v>2</v>
      </c>
      <c r="AO332" t="str">
        <f t="shared" si="17"/>
        <v>Monday</v>
      </c>
    </row>
    <row r="333" spans="1:41" x14ac:dyDescent="0.2">
      <c r="A333" t="s">
        <v>43</v>
      </c>
      <c r="B333" s="1">
        <v>45964</v>
      </c>
      <c r="C333" s="1">
        <f t="shared" si="15"/>
        <v>45991</v>
      </c>
      <c r="D333">
        <v>24</v>
      </c>
      <c r="E333">
        <v>57</v>
      </c>
      <c r="F333">
        <v>3</v>
      </c>
      <c r="G333">
        <v>2</v>
      </c>
      <c r="H333">
        <v>3</v>
      </c>
      <c r="I333">
        <v>1</v>
      </c>
      <c r="J333">
        <v>1</v>
      </c>
      <c r="K333">
        <v>33</v>
      </c>
      <c r="L333" t="s">
        <v>43</v>
      </c>
      <c r="M333" t="s">
        <v>38</v>
      </c>
      <c r="N333" s="1">
        <v>45964</v>
      </c>
      <c r="O333" s="2">
        <v>0.58332175925925922</v>
      </c>
      <c r="P333" s="2">
        <v>0.95880787037037041</v>
      </c>
      <c r="Q333">
        <v>9.02</v>
      </c>
      <c r="R333">
        <v>9.01</v>
      </c>
      <c r="S333">
        <v>1.2</v>
      </c>
      <c r="T333">
        <v>0.23</v>
      </c>
      <c r="U333">
        <v>0</v>
      </c>
      <c r="V333">
        <v>0.47</v>
      </c>
      <c r="W333">
        <v>5.64</v>
      </c>
      <c r="X333">
        <v>1.46</v>
      </c>
      <c r="Y333">
        <v>0</v>
      </c>
      <c r="Z333">
        <v>0</v>
      </c>
      <c r="AA333">
        <v>0</v>
      </c>
      <c r="AB333">
        <v>0</v>
      </c>
      <c r="AC333">
        <v>9.01</v>
      </c>
      <c r="AD333">
        <v>13.36</v>
      </c>
      <c r="AE333">
        <v>2.6</v>
      </c>
      <c r="AF333">
        <v>0</v>
      </c>
      <c r="AG333">
        <v>5.24</v>
      </c>
      <c r="AH333">
        <v>62.55</v>
      </c>
      <c r="AI333">
        <v>16.22</v>
      </c>
      <c r="AJ333">
        <v>0</v>
      </c>
      <c r="AK333">
        <v>0</v>
      </c>
      <c r="AL333">
        <v>0</v>
      </c>
      <c r="AM333">
        <v>0.02</v>
      </c>
      <c r="AN333">
        <f t="shared" si="16"/>
        <v>2</v>
      </c>
      <c r="AO333" t="str">
        <f t="shared" si="17"/>
        <v>Monday</v>
      </c>
    </row>
    <row r="334" spans="1:41" x14ac:dyDescent="0.2">
      <c r="B334" s="1">
        <v>45964</v>
      </c>
      <c r="C334" s="1">
        <f t="shared" si="15"/>
        <v>45991</v>
      </c>
      <c r="D334">
        <v>371</v>
      </c>
      <c r="E334">
        <v>0</v>
      </c>
      <c r="F334">
        <v>0</v>
      </c>
      <c r="G334">
        <v>0</v>
      </c>
      <c r="H334">
        <v>0</v>
      </c>
      <c r="I334">
        <v>0</v>
      </c>
      <c r="J334">
        <v>0</v>
      </c>
      <c r="K334">
        <v>0</v>
      </c>
      <c r="AN334">
        <f t="shared" si="16"/>
        <v>2</v>
      </c>
      <c r="AO334" t="str">
        <f t="shared" si="17"/>
        <v>Monday</v>
      </c>
    </row>
    <row r="335" spans="1:41" x14ac:dyDescent="0.2">
      <c r="A335" t="s">
        <v>39</v>
      </c>
      <c r="B335" s="1">
        <v>45961</v>
      </c>
      <c r="C335" s="1">
        <f t="shared" si="15"/>
        <v>45961</v>
      </c>
      <c r="D335">
        <v>21</v>
      </c>
      <c r="E335">
        <v>47</v>
      </c>
      <c r="F335">
        <v>4</v>
      </c>
      <c r="G335">
        <v>0</v>
      </c>
      <c r="H335">
        <v>4</v>
      </c>
      <c r="I335">
        <v>0</v>
      </c>
      <c r="J335">
        <v>0</v>
      </c>
      <c r="K335">
        <v>27</v>
      </c>
      <c r="L335" t="s">
        <v>39</v>
      </c>
      <c r="M335" t="s">
        <v>38</v>
      </c>
      <c r="N335" s="1">
        <v>45961</v>
      </c>
      <c r="O335" s="2">
        <v>0.54188657407407403</v>
      </c>
      <c r="P335" s="2">
        <v>0.91671296296296301</v>
      </c>
      <c r="Q335">
        <v>9</v>
      </c>
      <c r="R335">
        <v>9</v>
      </c>
      <c r="S335">
        <v>1.1000000000000001</v>
      </c>
      <c r="T335">
        <v>0</v>
      </c>
      <c r="U335">
        <v>0</v>
      </c>
      <c r="V335">
        <v>0.08</v>
      </c>
      <c r="W335">
        <v>6.41</v>
      </c>
      <c r="X335">
        <v>1.4</v>
      </c>
      <c r="Y335">
        <v>0</v>
      </c>
      <c r="Z335">
        <v>0</v>
      </c>
      <c r="AA335">
        <v>0</v>
      </c>
      <c r="AB335">
        <v>0</v>
      </c>
      <c r="AC335">
        <v>9</v>
      </c>
      <c r="AD335">
        <v>12.2</v>
      </c>
      <c r="AE335">
        <v>0</v>
      </c>
      <c r="AF335">
        <v>0</v>
      </c>
      <c r="AG335">
        <v>0.84</v>
      </c>
      <c r="AH335">
        <v>71.31</v>
      </c>
      <c r="AI335">
        <v>15.61</v>
      </c>
      <c r="AJ335">
        <v>0</v>
      </c>
      <c r="AK335">
        <v>0</v>
      </c>
      <c r="AL335">
        <v>0</v>
      </c>
      <c r="AM335">
        <v>0.04</v>
      </c>
      <c r="AN335">
        <f t="shared" si="16"/>
        <v>6</v>
      </c>
      <c r="AO335" t="str">
        <f t="shared" si="17"/>
        <v>Friday</v>
      </c>
    </row>
    <row r="336" spans="1:41" x14ac:dyDescent="0.2">
      <c r="A336" t="s">
        <v>40</v>
      </c>
      <c r="B336" s="1">
        <v>45961</v>
      </c>
      <c r="C336" s="1">
        <f t="shared" si="15"/>
        <v>45961</v>
      </c>
      <c r="D336">
        <v>24</v>
      </c>
      <c r="E336">
        <v>52</v>
      </c>
      <c r="F336">
        <v>7</v>
      </c>
      <c r="G336">
        <v>3</v>
      </c>
      <c r="H336">
        <v>8</v>
      </c>
      <c r="I336">
        <v>0</v>
      </c>
      <c r="J336">
        <v>0</v>
      </c>
      <c r="K336">
        <v>28</v>
      </c>
      <c r="L336" t="s">
        <v>40</v>
      </c>
      <c r="M336" t="s">
        <v>38</v>
      </c>
      <c r="N336" s="1">
        <v>45961</v>
      </c>
      <c r="O336" s="2">
        <v>0.54395833333333332</v>
      </c>
      <c r="P336" s="2">
        <v>0.91667824074074078</v>
      </c>
      <c r="Q336">
        <v>8.9499999999999993</v>
      </c>
      <c r="R336">
        <v>8.9499999999999993</v>
      </c>
      <c r="S336">
        <v>0.78</v>
      </c>
      <c r="T336">
        <v>0.53</v>
      </c>
      <c r="U336">
        <v>0</v>
      </c>
      <c r="V336">
        <v>0.12</v>
      </c>
      <c r="W336">
        <v>6</v>
      </c>
      <c r="X336">
        <v>1.51</v>
      </c>
      <c r="Y336">
        <v>0</v>
      </c>
      <c r="Z336">
        <v>0</v>
      </c>
      <c r="AA336">
        <v>0</v>
      </c>
      <c r="AB336">
        <v>0</v>
      </c>
      <c r="AC336">
        <v>8.9499999999999993</v>
      </c>
      <c r="AD336">
        <v>8.69</v>
      </c>
      <c r="AE336">
        <v>5.96</v>
      </c>
      <c r="AF336">
        <v>0</v>
      </c>
      <c r="AG336">
        <v>1.37</v>
      </c>
      <c r="AH336">
        <v>67.05</v>
      </c>
      <c r="AI336">
        <v>16.89</v>
      </c>
      <c r="AJ336">
        <v>0</v>
      </c>
      <c r="AK336">
        <v>0</v>
      </c>
      <c r="AL336">
        <v>0</v>
      </c>
      <c r="AM336">
        <v>0.04</v>
      </c>
      <c r="AN336">
        <f t="shared" si="16"/>
        <v>6</v>
      </c>
      <c r="AO336" t="str">
        <f t="shared" si="17"/>
        <v>Friday</v>
      </c>
    </row>
    <row r="337" spans="1:41" x14ac:dyDescent="0.2">
      <c r="A337" t="s">
        <v>43</v>
      </c>
      <c r="B337" s="1">
        <v>45961</v>
      </c>
      <c r="C337" s="1">
        <f t="shared" si="15"/>
        <v>45961</v>
      </c>
      <c r="D337">
        <v>27</v>
      </c>
      <c r="E337">
        <v>66</v>
      </c>
      <c r="F337">
        <v>4</v>
      </c>
      <c r="G337">
        <v>0</v>
      </c>
      <c r="H337">
        <v>4</v>
      </c>
      <c r="I337">
        <v>0</v>
      </c>
      <c r="J337">
        <v>1</v>
      </c>
      <c r="K337">
        <v>44</v>
      </c>
      <c r="L337" t="s">
        <v>43</v>
      </c>
      <c r="M337" t="s">
        <v>38</v>
      </c>
      <c r="N337" s="1">
        <v>45961</v>
      </c>
      <c r="O337" s="2">
        <v>0.54159722222222217</v>
      </c>
      <c r="P337" s="2">
        <v>0.91836805555555556</v>
      </c>
      <c r="Q337">
        <v>9.0500000000000007</v>
      </c>
      <c r="R337">
        <v>9.0399999999999991</v>
      </c>
      <c r="S337">
        <v>0.81</v>
      </c>
      <c r="T337">
        <v>0.41</v>
      </c>
      <c r="U337">
        <v>0</v>
      </c>
      <c r="V337">
        <v>0.28000000000000003</v>
      </c>
      <c r="W337">
        <v>5.79</v>
      </c>
      <c r="X337">
        <v>1.75</v>
      </c>
      <c r="Y337">
        <v>0</v>
      </c>
      <c r="Z337">
        <v>0</v>
      </c>
      <c r="AA337">
        <v>0</v>
      </c>
      <c r="AB337">
        <v>0</v>
      </c>
      <c r="AC337">
        <v>9.0399999999999991</v>
      </c>
      <c r="AD337">
        <v>8.94</v>
      </c>
      <c r="AE337">
        <v>4.58</v>
      </c>
      <c r="AF337">
        <v>0</v>
      </c>
      <c r="AG337">
        <v>3.09</v>
      </c>
      <c r="AH337">
        <v>64.03</v>
      </c>
      <c r="AI337">
        <v>19.329999999999998</v>
      </c>
      <c r="AJ337">
        <v>0</v>
      </c>
      <c r="AK337">
        <v>0</v>
      </c>
      <c r="AL337">
        <v>0</v>
      </c>
      <c r="AM337">
        <v>0.03</v>
      </c>
      <c r="AN337">
        <f t="shared" si="16"/>
        <v>6</v>
      </c>
      <c r="AO337" t="str">
        <f t="shared" si="17"/>
        <v>Friday</v>
      </c>
    </row>
    <row r="338" spans="1:41" x14ac:dyDescent="0.2">
      <c r="B338" s="1">
        <v>45961</v>
      </c>
      <c r="C338" s="1">
        <f t="shared" si="15"/>
        <v>45961</v>
      </c>
      <c r="D338">
        <v>455</v>
      </c>
      <c r="E338">
        <v>0</v>
      </c>
      <c r="F338">
        <v>0</v>
      </c>
      <c r="G338">
        <v>0</v>
      </c>
      <c r="H338">
        <v>0</v>
      </c>
      <c r="I338">
        <v>0</v>
      </c>
      <c r="J338">
        <v>0</v>
      </c>
      <c r="K338">
        <v>0</v>
      </c>
      <c r="AN338">
        <f t="shared" si="16"/>
        <v>6</v>
      </c>
      <c r="AO338" t="str">
        <f t="shared" si="17"/>
        <v>Friday</v>
      </c>
    </row>
    <row r="339" spans="1:41" x14ac:dyDescent="0.2">
      <c r="A339" t="s">
        <v>37</v>
      </c>
      <c r="B339" s="1">
        <v>45960</v>
      </c>
      <c r="C339" s="1">
        <f t="shared" si="15"/>
        <v>45961</v>
      </c>
      <c r="D339">
        <v>13</v>
      </c>
      <c r="E339">
        <v>31</v>
      </c>
      <c r="F339">
        <v>3</v>
      </c>
      <c r="G339">
        <v>2</v>
      </c>
      <c r="H339">
        <v>9</v>
      </c>
      <c r="I339">
        <v>0</v>
      </c>
      <c r="J339">
        <v>0</v>
      </c>
      <c r="K339">
        <v>11</v>
      </c>
      <c r="L339" t="s">
        <v>37</v>
      </c>
      <c r="M339" t="s">
        <v>38</v>
      </c>
      <c r="N339" s="1">
        <v>45960</v>
      </c>
      <c r="O339" s="2">
        <v>0.54208333333333336</v>
      </c>
      <c r="P339" s="2">
        <v>0.91712962962962963</v>
      </c>
      <c r="Q339">
        <v>9</v>
      </c>
      <c r="R339">
        <v>8.58</v>
      </c>
      <c r="S339">
        <v>2.39</v>
      </c>
      <c r="T339">
        <v>0.48</v>
      </c>
      <c r="U339">
        <v>0</v>
      </c>
      <c r="V339">
        <v>0.17</v>
      </c>
      <c r="W339">
        <v>3.19</v>
      </c>
      <c r="X339">
        <v>0.61</v>
      </c>
      <c r="Y339">
        <v>1.68</v>
      </c>
      <c r="Z339">
        <v>0</v>
      </c>
      <c r="AA339">
        <v>0</v>
      </c>
      <c r="AB339">
        <v>7.0000000000000007E-2</v>
      </c>
      <c r="AC339">
        <v>8.58</v>
      </c>
      <c r="AD339">
        <v>27.79</v>
      </c>
      <c r="AE339">
        <v>5.54</v>
      </c>
      <c r="AF339">
        <v>0</v>
      </c>
      <c r="AG339">
        <v>2.04</v>
      </c>
      <c r="AH339">
        <v>37.15</v>
      </c>
      <c r="AI339">
        <v>7.15</v>
      </c>
      <c r="AJ339">
        <v>19.55</v>
      </c>
      <c r="AK339">
        <v>0</v>
      </c>
      <c r="AL339">
        <v>0</v>
      </c>
      <c r="AM339">
        <v>0.78</v>
      </c>
      <c r="AN339">
        <f t="shared" si="16"/>
        <v>5</v>
      </c>
      <c r="AO339" t="str">
        <f t="shared" si="17"/>
        <v>Thursday</v>
      </c>
    </row>
    <row r="340" spans="1:41" x14ac:dyDescent="0.2">
      <c r="A340" t="s">
        <v>39</v>
      </c>
      <c r="B340" s="1">
        <v>45960</v>
      </c>
      <c r="C340" s="1">
        <f t="shared" si="15"/>
        <v>45961</v>
      </c>
      <c r="D340">
        <v>26</v>
      </c>
      <c r="E340">
        <v>53</v>
      </c>
      <c r="F340">
        <v>8</v>
      </c>
      <c r="G340">
        <v>1</v>
      </c>
      <c r="H340">
        <v>2</v>
      </c>
      <c r="I340">
        <v>0</v>
      </c>
      <c r="J340">
        <v>2</v>
      </c>
      <c r="K340">
        <v>24</v>
      </c>
      <c r="L340" t="s">
        <v>39</v>
      </c>
      <c r="M340" t="s">
        <v>38</v>
      </c>
      <c r="N340" s="1">
        <v>45960</v>
      </c>
      <c r="O340" s="2">
        <v>0.54222222222222227</v>
      </c>
      <c r="P340" s="2">
        <v>0.91670138888888886</v>
      </c>
      <c r="Q340">
        <v>9</v>
      </c>
      <c r="R340">
        <v>8.98</v>
      </c>
      <c r="S340">
        <v>1.1000000000000001</v>
      </c>
      <c r="T340">
        <v>0.13</v>
      </c>
      <c r="U340">
        <v>0</v>
      </c>
      <c r="V340">
        <v>0.05</v>
      </c>
      <c r="W340">
        <v>4.63</v>
      </c>
      <c r="X340">
        <v>1.24</v>
      </c>
      <c r="Y340">
        <v>1.82</v>
      </c>
      <c r="Z340">
        <v>0</v>
      </c>
      <c r="AA340">
        <v>0</v>
      </c>
      <c r="AB340">
        <v>0.01</v>
      </c>
      <c r="AC340">
        <v>8.98</v>
      </c>
      <c r="AD340">
        <v>12.29</v>
      </c>
      <c r="AE340">
        <v>1.39</v>
      </c>
      <c r="AF340">
        <v>0</v>
      </c>
      <c r="AG340">
        <v>0.54</v>
      </c>
      <c r="AH340">
        <v>51.5</v>
      </c>
      <c r="AI340">
        <v>13.83</v>
      </c>
      <c r="AJ340">
        <v>20.32</v>
      </c>
      <c r="AK340">
        <v>0</v>
      </c>
      <c r="AL340">
        <v>0</v>
      </c>
      <c r="AM340">
        <v>0.13</v>
      </c>
      <c r="AN340">
        <f t="shared" si="16"/>
        <v>5</v>
      </c>
      <c r="AO340" t="str">
        <f t="shared" si="17"/>
        <v>Thursday</v>
      </c>
    </row>
    <row r="341" spans="1:41" x14ac:dyDescent="0.2">
      <c r="A341" t="s">
        <v>40</v>
      </c>
      <c r="B341" s="1">
        <v>45960</v>
      </c>
      <c r="C341" s="1">
        <f t="shared" si="15"/>
        <v>45961</v>
      </c>
      <c r="D341">
        <v>18</v>
      </c>
      <c r="E341">
        <v>40</v>
      </c>
      <c r="F341">
        <v>7</v>
      </c>
      <c r="G341">
        <v>3</v>
      </c>
      <c r="H341">
        <v>12</v>
      </c>
      <c r="I341">
        <v>0</v>
      </c>
      <c r="J341">
        <v>2</v>
      </c>
      <c r="K341">
        <v>12</v>
      </c>
      <c r="L341" t="s">
        <v>40</v>
      </c>
      <c r="M341" t="s">
        <v>38</v>
      </c>
      <c r="N341" s="1">
        <v>45960</v>
      </c>
      <c r="O341" s="2">
        <v>0.54377314814814814</v>
      </c>
      <c r="P341" s="2">
        <v>0.91671296296296301</v>
      </c>
      <c r="Q341">
        <v>8.9499999999999993</v>
      </c>
      <c r="R341">
        <v>8.98</v>
      </c>
      <c r="S341">
        <v>1.65</v>
      </c>
      <c r="T341">
        <v>0.76</v>
      </c>
      <c r="U341">
        <v>0</v>
      </c>
      <c r="V341">
        <v>0.16</v>
      </c>
      <c r="W341">
        <v>3.39</v>
      </c>
      <c r="X341">
        <v>1.54</v>
      </c>
      <c r="Y341">
        <v>1.47</v>
      </c>
      <c r="Z341">
        <v>0</v>
      </c>
      <c r="AA341">
        <v>0</v>
      </c>
      <c r="AB341">
        <v>0</v>
      </c>
      <c r="AC341">
        <v>8.98</v>
      </c>
      <c r="AD341">
        <v>18.329999999999998</v>
      </c>
      <c r="AE341">
        <v>8.4700000000000006</v>
      </c>
      <c r="AF341">
        <v>0</v>
      </c>
      <c r="AG341">
        <v>1.81</v>
      </c>
      <c r="AH341">
        <v>37.81</v>
      </c>
      <c r="AI341">
        <v>17.18</v>
      </c>
      <c r="AJ341">
        <v>16.37</v>
      </c>
      <c r="AK341">
        <v>0</v>
      </c>
      <c r="AL341">
        <v>0</v>
      </c>
      <c r="AM341">
        <v>0.03</v>
      </c>
      <c r="AN341">
        <f t="shared" si="16"/>
        <v>5</v>
      </c>
      <c r="AO341" t="str">
        <f t="shared" si="17"/>
        <v>Thursday</v>
      </c>
    </row>
    <row r="342" spans="1:41" x14ac:dyDescent="0.2">
      <c r="A342" t="s">
        <v>41</v>
      </c>
      <c r="B342" s="1">
        <v>45960</v>
      </c>
      <c r="C342" s="1">
        <f t="shared" si="15"/>
        <v>45961</v>
      </c>
      <c r="D342">
        <v>27</v>
      </c>
      <c r="E342">
        <v>47</v>
      </c>
      <c r="F342">
        <v>2</v>
      </c>
      <c r="G342">
        <v>6</v>
      </c>
      <c r="H342">
        <v>6</v>
      </c>
      <c r="I342">
        <v>0</v>
      </c>
      <c r="J342">
        <v>1</v>
      </c>
      <c r="K342">
        <v>17</v>
      </c>
      <c r="L342" t="s">
        <v>41</v>
      </c>
      <c r="M342" t="s">
        <v>38</v>
      </c>
      <c r="N342" s="1">
        <v>45960</v>
      </c>
      <c r="O342" s="2">
        <v>0.54148148148148145</v>
      </c>
      <c r="P342" s="2">
        <v>0.83802083333333333</v>
      </c>
      <c r="Q342">
        <v>7.12</v>
      </c>
      <c r="R342">
        <v>7.12</v>
      </c>
      <c r="S342">
        <v>1.32</v>
      </c>
      <c r="T342">
        <v>0.92</v>
      </c>
      <c r="U342">
        <v>0</v>
      </c>
      <c r="V342">
        <v>0.06</v>
      </c>
      <c r="W342">
        <v>2.2799999999999998</v>
      </c>
      <c r="X342">
        <v>1.22</v>
      </c>
      <c r="Y342">
        <v>1.3</v>
      </c>
      <c r="Z342">
        <v>0</v>
      </c>
      <c r="AA342">
        <v>0</v>
      </c>
      <c r="AB342">
        <v>0.01</v>
      </c>
      <c r="AC342">
        <v>7.12</v>
      </c>
      <c r="AD342">
        <v>18.579999999999998</v>
      </c>
      <c r="AE342">
        <v>12.92</v>
      </c>
      <c r="AF342">
        <v>0</v>
      </c>
      <c r="AG342">
        <v>0.89</v>
      </c>
      <c r="AH342">
        <v>32.04</v>
      </c>
      <c r="AI342">
        <v>17.2</v>
      </c>
      <c r="AJ342">
        <v>18.27</v>
      </c>
      <c r="AK342">
        <v>0</v>
      </c>
      <c r="AL342">
        <v>0</v>
      </c>
      <c r="AM342">
        <v>0.1</v>
      </c>
      <c r="AN342">
        <f t="shared" si="16"/>
        <v>5</v>
      </c>
      <c r="AO342" t="str">
        <f t="shared" si="17"/>
        <v>Thursday</v>
      </c>
    </row>
    <row r="343" spans="1:41" x14ac:dyDescent="0.2">
      <c r="A343" t="s">
        <v>43</v>
      </c>
      <c r="B343" s="1">
        <v>45960</v>
      </c>
      <c r="C343" s="1">
        <f t="shared" si="15"/>
        <v>45961</v>
      </c>
      <c r="D343">
        <v>24</v>
      </c>
      <c r="E343">
        <v>70</v>
      </c>
      <c r="F343">
        <v>1</v>
      </c>
      <c r="G343">
        <v>9</v>
      </c>
      <c r="H343">
        <v>2</v>
      </c>
      <c r="I343">
        <v>0</v>
      </c>
      <c r="J343">
        <v>0</v>
      </c>
      <c r="K343">
        <v>30</v>
      </c>
      <c r="L343" t="s">
        <v>43</v>
      </c>
      <c r="M343" t="s">
        <v>38</v>
      </c>
      <c r="N343" s="1">
        <v>45960</v>
      </c>
      <c r="O343" s="2">
        <v>0.54168981481481482</v>
      </c>
      <c r="P343" s="2">
        <v>0.91775462962962961</v>
      </c>
      <c r="Q343">
        <v>9.02</v>
      </c>
      <c r="R343">
        <v>9.02</v>
      </c>
      <c r="S343">
        <v>0.81</v>
      </c>
      <c r="T343">
        <v>0</v>
      </c>
      <c r="U343">
        <v>0</v>
      </c>
      <c r="V343">
        <v>0.56000000000000005</v>
      </c>
      <c r="W343">
        <v>4.8600000000000003</v>
      </c>
      <c r="X343">
        <v>1.46</v>
      </c>
      <c r="Y343">
        <v>1.28</v>
      </c>
      <c r="Z343">
        <v>0</v>
      </c>
      <c r="AA343">
        <v>0.06</v>
      </c>
      <c r="AB343">
        <v>0</v>
      </c>
      <c r="AC343">
        <v>9.02</v>
      </c>
      <c r="AD343">
        <v>8.9700000000000006</v>
      </c>
      <c r="AE343">
        <v>0</v>
      </c>
      <c r="AF343">
        <v>0</v>
      </c>
      <c r="AG343">
        <v>6.17</v>
      </c>
      <c r="AH343">
        <v>53.83</v>
      </c>
      <c r="AI343">
        <v>16.18</v>
      </c>
      <c r="AJ343">
        <v>14.21</v>
      </c>
      <c r="AK343">
        <v>0</v>
      </c>
      <c r="AL343">
        <v>0.61</v>
      </c>
      <c r="AM343">
        <v>0.04</v>
      </c>
      <c r="AN343">
        <f t="shared" si="16"/>
        <v>5</v>
      </c>
      <c r="AO343" t="str">
        <f t="shared" si="17"/>
        <v>Thursday</v>
      </c>
    </row>
    <row r="344" spans="1:41" x14ac:dyDescent="0.2">
      <c r="B344" s="1">
        <v>45960</v>
      </c>
      <c r="C344" s="1">
        <f t="shared" si="15"/>
        <v>45961</v>
      </c>
      <c r="D344">
        <v>457</v>
      </c>
      <c r="E344">
        <v>0</v>
      </c>
      <c r="F344">
        <v>0</v>
      </c>
      <c r="G344">
        <v>0</v>
      </c>
      <c r="H344">
        <v>0</v>
      </c>
      <c r="I344">
        <v>0</v>
      </c>
      <c r="J344">
        <v>0</v>
      </c>
      <c r="K344">
        <v>0</v>
      </c>
      <c r="AN344">
        <f t="shared" si="16"/>
        <v>5</v>
      </c>
      <c r="AO344" t="str">
        <f t="shared" si="17"/>
        <v>Thursday</v>
      </c>
    </row>
    <row r="345" spans="1:41" x14ac:dyDescent="0.2">
      <c r="A345" t="s">
        <v>37</v>
      </c>
      <c r="B345" s="1">
        <v>45959</v>
      </c>
      <c r="C345" s="1">
        <f t="shared" si="15"/>
        <v>45961</v>
      </c>
      <c r="D345">
        <v>85</v>
      </c>
      <c r="E345">
        <v>133</v>
      </c>
      <c r="F345">
        <v>3</v>
      </c>
      <c r="G345">
        <v>7</v>
      </c>
      <c r="H345">
        <v>10</v>
      </c>
      <c r="I345">
        <v>0</v>
      </c>
      <c r="J345">
        <v>2</v>
      </c>
      <c r="K345">
        <v>41</v>
      </c>
      <c r="L345" t="s">
        <v>37</v>
      </c>
      <c r="M345" t="s">
        <v>38</v>
      </c>
      <c r="N345" s="1">
        <v>45959</v>
      </c>
      <c r="O345" s="2">
        <v>0.54280092592592588</v>
      </c>
      <c r="P345" s="2">
        <v>0.91686342592592596</v>
      </c>
      <c r="Q345">
        <v>8.98</v>
      </c>
      <c r="R345">
        <v>8.1300000000000008</v>
      </c>
      <c r="S345">
        <v>4.53</v>
      </c>
      <c r="T345">
        <v>0.39</v>
      </c>
      <c r="U345">
        <v>0</v>
      </c>
      <c r="V345">
        <v>0.3</v>
      </c>
      <c r="W345">
        <v>2.48</v>
      </c>
      <c r="X345">
        <v>0.41</v>
      </c>
      <c r="Y345">
        <v>0</v>
      </c>
      <c r="Z345">
        <v>0</v>
      </c>
      <c r="AA345">
        <v>0</v>
      </c>
      <c r="AB345">
        <v>0.02</v>
      </c>
      <c r="AC345">
        <v>8.1300000000000008</v>
      </c>
      <c r="AD345">
        <v>55.71</v>
      </c>
      <c r="AE345">
        <v>4.83</v>
      </c>
      <c r="AF345">
        <v>0</v>
      </c>
      <c r="AG345">
        <v>3.66</v>
      </c>
      <c r="AH345">
        <v>30.55</v>
      </c>
      <c r="AI345">
        <v>5.04</v>
      </c>
      <c r="AJ345">
        <v>0</v>
      </c>
      <c r="AK345">
        <v>0</v>
      </c>
      <c r="AL345">
        <v>0</v>
      </c>
      <c r="AM345">
        <v>0.23</v>
      </c>
      <c r="AN345">
        <f t="shared" si="16"/>
        <v>4</v>
      </c>
      <c r="AO345" t="str">
        <f t="shared" si="17"/>
        <v>Wednesday</v>
      </c>
    </row>
    <row r="346" spans="1:41" x14ac:dyDescent="0.2">
      <c r="A346" t="s">
        <v>39</v>
      </c>
      <c r="B346" s="1">
        <v>45959</v>
      </c>
      <c r="C346" s="1">
        <f t="shared" si="15"/>
        <v>45961</v>
      </c>
      <c r="D346">
        <v>66</v>
      </c>
      <c r="E346">
        <v>131</v>
      </c>
      <c r="F346">
        <v>5</v>
      </c>
      <c r="G346">
        <v>14</v>
      </c>
      <c r="H346">
        <v>14</v>
      </c>
      <c r="I346">
        <v>0</v>
      </c>
      <c r="J346">
        <v>0</v>
      </c>
      <c r="K346">
        <v>55</v>
      </c>
      <c r="L346" t="s">
        <v>39</v>
      </c>
      <c r="M346" t="s">
        <v>38</v>
      </c>
      <c r="N346" s="1">
        <v>45959</v>
      </c>
      <c r="O346" s="2">
        <v>0.54192129629629626</v>
      </c>
      <c r="P346" s="2">
        <v>0.91697916666666668</v>
      </c>
      <c r="Q346">
        <v>9</v>
      </c>
      <c r="R346">
        <v>9</v>
      </c>
      <c r="S346">
        <v>3.19</v>
      </c>
      <c r="T346">
        <v>0</v>
      </c>
      <c r="U346">
        <v>0</v>
      </c>
      <c r="V346">
        <v>7.0000000000000007E-2</v>
      </c>
      <c r="W346">
        <v>4.26</v>
      </c>
      <c r="X346">
        <v>1.48</v>
      </c>
      <c r="Y346">
        <v>0</v>
      </c>
      <c r="Z346">
        <v>0</v>
      </c>
      <c r="AA346">
        <v>0</v>
      </c>
      <c r="AB346">
        <v>0.01</v>
      </c>
      <c r="AC346">
        <v>9</v>
      </c>
      <c r="AD346">
        <v>35.409999999999997</v>
      </c>
      <c r="AE346">
        <v>0</v>
      </c>
      <c r="AF346">
        <v>0</v>
      </c>
      <c r="AG346">
        <v>0.81</v>
      </c>
      <c r="AH346">
        <v>47.3</v>
      </c>
      <c r="AI346">
        <v>16.399999999999999</v>
      </c>
      <c r="AJ346">
        <v>0</v>
      </c>
      <c r="AK346">
        <v>0</v>
      </c>
      <c r="AL346">
        <v>0</v>
      </c>
      <c r="AM346">
        <v>0.08</v>
      </c>
      <c r="AN346">
        <f t="shared" si="16"/>
        <v>4</v>
      </c>
      <c r="AO346" t="str">
        <f t="shared" si="17"/>
        <v>Wednesday</v>
      </c>
    </row>
    <row r="347" spans="1:41" x14ac:dyDescent="0.2">
      <c r="A347" t="s">
        <v>40</v>
      </c>
      <c r="B347" s="1">
        <v>45959</v>
      </c>
      <c r="C347" s="1">
        <f t="shared" si="15"/>
        <v>45961</v>
      </c>
      <c r="D347">
        <v>71</v>
      </c>
      <c r="E347">
        <v>104</v>
      </c>
      <c r="F347">
        <v>9</v>
      </c>
      <c r="G347">
        <v>2</v>
      </c>
      <c r="H347">
        <v>16</v>
      </c>
      <c r="I347">
        <v>0</v>
      </c>
      <c r="J347">
        <v>1</v>
      </c>
      <c r="K347">
        <v>22</v>
      </c>
      <c r="L347" t="s">
        <v>40</v>
      </c>
      <c r="M347" t="s">
        <v>38</v>
      </c>
      <c r="N347" s="1">
        <v>45959</v>
      </c>
      <c r="O347" s="2">
        <v>0.54251157407407402</v>
      </c>
      <c r="P347" s="2">
        <v>0.91704861111111113</v>
      </c>
      <c r="Q347">
        <v>8.98</v>
      </c>
      <c r="R347">
        <v>8.99</v>
      </c>
      <c r="S347">
        <v>4.91</v>
      </c>
      <c r="T347">
        <v>0.93</v>
      </c>
      <c r="U347">
        <v>0</v>
      </c>
      <c r="V347">
        <v>0.26</v>
      </c>
      <c r="W347">
        <v>0.77</v>
      </c>
      <c r="X347">
        <v>1.49</v>
      </c>
      <c r="Y347">
        <v>0.61</v>
      </c>
      <c r="Z347">
        <v>0</v>
      </c>
      <c r="AA347">
        <v>0</v>
      </c>
      <c r="AB347">
        <v>0</v>
      </c>
      <c r="AC347">
        <v>8.99</v>
      </c>
      <c r="AD347">
        <v>54.66</v>
      </c>
      <c r="AE347">
        <v>10.38</v>
      </c>
      <c r="AF347">
        <v>0</v>
      </c>
      <c r="AG347">
        <v>2.92</v>
      </c>
      <c r="AH347">
        <v>8.6</v>
      </c>
      <c r="AI347">
        <v>16.59</v>
      </c>
      <c r="AJ347">
        <v>6.8</v>
      </c>
      <c r="AK347">
        <v>0</v>
      </c>
      <c r="AL347">
        <v>0</v>
      </c>
      <c r="AM347">
        <v>0.04</v>
      </c>
      <c r="AN347">
        <f t="shared" si="16"/>
        <v>4</v>
      </c>
      <c r="AO347" t="str">
        <f t="shared" si="17"/>
        <v>Wednesday</v>
      </c>
    </row>
    <row r="348" spans="1:41" x14ac:dyDescent="0.2">
      <c r="A348" t="s">
        <v>41</v>
      </c>
      <c r="B348" s="1">
        <v>45959</v>
      </c>
      <c r="C348" s="1">
        <f t="shared" si="15"/>
        <v>45961</v>
      </c>
      <c r="D348">
        <v>119</v>
      </c>
      <c r="E348">
        <v>170</v>
      </c>
      <c r="F348">
        <v>3</v>
      </c>
      <c r="G348">
        <v>16</v>
      </c>
      <c r="H348">
        <v>16</v>
      </c>
      <c r="I348">
        <v>1</v>
      </c>
      <c r="J348">
        <v>1</v>
      </c>
      <c r="K348">
        <v>31</v>
      </c>
      <c r="L348" t="s">
        <v>41</v>
      </c>
      <c r="M348" t="s">
        <v>38</v>
      </c>
      <c r="N348" s="1">
        <v>45959</v>
      </c>
      <c r="O348" s="2">
        <v>0.5423958333333333</v>
      </c>
      <c r="P348" s="2">
        <v>0.91578703703703701</v>
      </c>
      <c r="Q348">
        <v>8.9499999999999993</v>
      </c>
      <c r="R348">
        <v>8.9600000000000009</v>
      </c>
      <c r="S348">
        <v>3.61</v>
      </c>
      <c r="T348">
        <v>0.39</v>
      </c>
      <c r="U348">
        <v>0</v>
      </c>
      <c r="V348">
        <v>0.38</v>
      </c>
      <c r="W348">
        <v>3.14</v>
      </c>
      <c r="X348">
        <v>1.43</v>
      </c>
      <c r="Y348">
        <v>0</v>
      </c>
      <c r="Z348">
        <v>0</v>
      </c>
      <c r="AA348">
        <v>0</v>
      </c>
      <c r="AB348">
        <v>0.01</v>
      </c>
      <c r="AC348">
        <v>8.9600000000000009</v>
      </c>
      <c r="AD348">
        <v>40.29</v>
      </c>
      <c r="AE348">
        <v>4.32</v>
      </c>
      <c r="AF348">
        <v>0</v>
      </c>
      <c r="AG348">
        <v>4.25</v>
      </c>
      <c r="AH348">
        <v>35.090000000000003</v>
      </c>
      <c r="AI348">
        <v>15.91</v>
      </c>
      <c r="AJ348">
        <v>0</v>
      </c>
      <c r="AK348">
        <v>0</v>
      </c>
      <c r="AL348">
        <v>0</v>
      </c>
      <c r="AM348">
        <v>0.14000000000000001</v>
      </c>
      <c r="AN348">
        <f t="shared" si="16"/>
        <v>4</v>
      </c>
      <c r="AO348" t="str">
        <f t="shared" si="17"/>
        <v>Wednesday</v>
      </c>
    </row>
    <row r="349" spans="1:41" x14ac:dyDescent="0.2">
      <c r="A349" t="s">
        <v>48</v>
      </c>
      <c r="B349" s="1">
        <v>45959</v>
      </c>
      <c r="C349" s="1">
        <f t="shared" si="15"/>
        <v>45961</v>
      </c>
      <c r="D349">
        <v>1</v>
      </c>
      <c r="E349">
        <v>1</v>
      </c>
      <c r="F349">
        <v>0</v>
      </c>
      <c r="G349">
        <v>0</v>
      </c>
      <c r="H349">
        <v>0</v>
      </c>
      <c r="I349">
        <v>0</v>
      </c>
      <c r="J349">
        <v>0</v>
      </c>
      <c r="K349">
        <v>0</v>
      </c>
      <c r="AN349">
        <f t="shared" si="16"/>
        <v>4</v>
      </c>
      <c r="AO349" t="str">
        <f t="shared" si="17"/>
        <v>Wednesday</v>
      </c>
    </row>
    <row r="350" spans="1:41" x14ac:dyDescent="0.2">
      <c r="A350" t="s">
        <v>43</v>
      </c>
      <c r="B350" s="1">
        <v>45959</v>
      </c>
      <c r="C350" s="1">
        <f t="shared" si="15"/>
        <v>45961</v>
      </c>
      <c r="D350">
        <v>106</v>
      </c>
      <c r="E350">
        <v>148</v>
      </c>
      <c r="F350">
        <v>10</v>
      </c>
      <c r="G350">
        <v>1</v>
      </c>
      <c r="H350">
        <v>4</v>
      </c>
      <c r="I350">
        <v>1</v>
      </c>
      <c r="J350">
        <v>0</v>
      </c>
      <c r="K350">
        <v>34</v>
      </c>
      <c r="L350" t="s">
        <v>43</v>
      </c>
      <c r="M350" t="s">
        <v>38</v>
      </c>
      <c r="N350" s="1">
        <v>45959</v>
      </c>
      <c r="O350" s="2">
        <v>0.54162037037037036</v>
      </c>
      <c r="P350" s="2">
        <v>0.91763888888888889</v>
      </c>
      <c r="Q350">
        <v>9.0299999999999994</v>
      </c>
      <c r="R350">
        <v>8.16</v>
      </c>
      <c r="S350">
        <v>5.52</v>
      </c>
      <c r="T350">
        <v>0.28000000000000003</v>
      </c>
      <c r="U350">
        <v>0</v>
      </c>
      <c r="V350">
        <v>0.42</v>
      </c>
      <c r="W350">
        <v>1.29</v>
      </c>
      <c r="X350">
        <v>0.6</v>
      </c>
      <c r="Y350">
        <v>0</v>
      </c>
      <c r="Z350">
        <v>0</v>
      </c>
      <c r="AA350">
        <v>0.05</v>
      </c>
      <c r="AB350">
        <v>0.01</v>
      </c>
      <c r="AC350">
        <v>8.16</v>
      </c>
      <c r="AD350">
        <v>67.650000000000006</v>
      </c>
      <c r="AE350">
        <v>3.37</v>
      </c>
      <c r="AF350">
        <v>0</v>
      </c>
      <c r="AG350">
        <v>5.19</v>
      </c>
      <c r="AH350">
        <v>15.82</v>
      </c>
      <c r="AI350">
        <v>7.31</v>
      </c>
      <c r="AJ350">
        <v>0</v>
      </c>
      <c r="AK350">
        <v>0</v>
      </c>
      <c r="AL350">
        <v>0.59</v>
      </c>
      <c r="AM350">
        <v>7.0000000000000007E-2</v>
      </c>
      <c r="AN350">
        <f t="shared" si="16"/>
        <v>4</v>
      </c>
      <c r="AO350" t="str">
        <f t="shared" si="17"/>
        <v>Wednesday</v>
      </c>
    </row>
    <row r="351" spans="1:41" x14ac:dyDescent="0.2">
      <c r="B351" s="1">
        <v>45959</v>
      </c>
      <c r="C351" s="1">
        <f t="shared" si="15"/>
        <v>45961</v>
      </c>
      <c r="D351">
        <v>684</v>
      </c>
      <c r="E351">
        <v>0</v>
      </c>
      <c r="F351">
        <v>0</v>
      </c>
      <c r="G351">
        <v>0</v>
      </c>
      <c r="H351">
        <v>0</v>
      </c>
      <c r="I351">
        <v>0</v>
      </c>
      <c r="J351">
        <v>0</v>
      </c>
      <c r="K351">
        <v>0</v>
      </c>
      <c r="AN351">
        <f t="shared" si="16"/>
        <v>4</v>
      </c>
      <c r="AO351" t="str">
        <f t="shared" si="17"/>
        <v>Wednesday</v>
      </c>
    </row>
    <row r="352" spans="1:41" x14ac:dyDescent="0.2">
      <c r="A352" t="s">
        <v>37</v>
      </c>
      <c r="B352" s="1">
        <v>45958</v>
      </c>
      <c r="C352" s="1">
        <f t="shared" si="15"/>
        <v>45961</v>
      </c>
      <c r="D352">
        <v>60</v>
      </c>
      <c r="E352">
        <v>77</v>
      </c>
      <c r="F352">
        <v>9</v>
      </c>
      <c r="G352">
        <v>4</v>
      </c>
      <c r="H352">
        <v>3</v>
      </c>
      <c r="I352">
        <v>0</v>
      </c>
      <c r="J352">
        <v>0</v>
      </c>
      <c r="K352">
        <v>17</v>
      </c>
      <c r="L352" t="s">
        <v>37</v>
      </c>
      <c r="M352" t="s">
        <v>38</v>
      </c>
      <c r="N352" s="1">
        <v>45958</v>
      </c>
      <c r="O352" s="2">
        <v>0.54313657407407412</v>
      </c>
      <c r="P352" s="2">
        <v>0.91670138888888886</v>
      </c>
      <c r="Q352">
        <v>8.9700000000000006</v>
      </c>
      <c r="R352">
        <v>8.0299999999999994</v>
      </c>
      <c r="S352">
        <v>5.48</v>
      </c>
      <c r="T352">
        <v>0.62</v>
      </c>
      <c r="U352">
        <v>0</v>
      </c>
      <c r="V352">
        <v>0.28000000000000003</v>
      </c>
      <c r="W352">
        <v>1.31</v>
      </c>
      <c r="X352">
        <v>0.33</v>
      </c>
      <c r="Y352">
        <v>0</v>
      </c>
      <c r="Z352">
        <v>0</v>
      </c>
      <c r="AA352">
        <v>0</v>
      </c>
      <c r="AB352">
        <v>0.02</v>
      </c>
      <c r="AC352">
        <v>8.0299999999999994</v>
      </c>
      <c r="AD352">
        <v>68.260000000000005</v>
      </c>
      <c r="AE352">
        <v>7.67</v>
      </c>
      <c r="AF352">
        <v>0</v>
      </c>
      <c r="AG352">
        <v>3.46</v>
      </c>
      <c r="AH352">
        <v>16.29</v>
      </c>
      <c r="AI352">
        <v>4.0999999999999996</v>
      </c>
      <c r="AJ352">
        <v>0</v>
      </c>
      <c r="AK352">
        <v>0</v>
      </c>
      <c r="AL352">
        <v>0</v>
      </c>
      <c r="AM352">
        <v>0.23</v>
      </c>
      <c r="AN352">
        <f t="shared" si="16"/>
        <v>3</v>
      </c>
      <c r="AO352" t="str">
        <f t="shared" si="17"/>
        <v>Tuesday</v>
      </c>
    </row>
    <row r="353" spans="1:41" x14ac:dyDescent="0.2">
      <c r="A353" t="s">
        <v>39</v>
      </c>
      <c r="B353" s="1">
        <v>45958</v>
      </c>
      <c r="C353" s="1">
        <f t="shared" si="15"/>
        <v>45961</v>
      </c>
      <c r="D353">
        <v>87</v>
      </c>
      <c r="E353">
        <v>117</v>
      </c>
      <c r="F353">
        <v>18</v>
      </c>
      <c r="G353">
        <v>6</v>
      </c>
      <c r="H353">
        <v>16</v>
      </c>
      <c r="I353">
        <v>0</v>
      </c>
      <c r="J353">
        <v>0</v>
      </c>
      <c r="K353">
        <v>15</v>
      </c>
      <c r="L353" t="s">
        <v>39</v>
      </c>
      <c r="M353" t="s">
        <v>38</v>
      </c>
      <c r="N353" s="1">
        <v>45958</v>
      </c>
      <c r="O353" s="2">
        <v>0.54201388888888891</v>
      </c>
      <c r="P353" s="2">
        <v>0.92706018518518518</v>
      </c>
      <c r="Q353">
        <v>9.23</v>
      </c>
      <c r="R353">
        <v>9.24</v>
      </c>
      <c r="S353">
        <v>6.19</v>
      </c>
      <c r="T353">
        <v>0.09</v>
      </c>
      <c r="U353">
        <v>0</v>
      </c>
      <c r="V353">
        <v>0.09</v>
      </c>
      <c r="W353">
        <v>1.36</v>
      </c>
      <c r="X353">
        <v>1.51</v>
      </c>
      <c r="Y353">
        <v>0</v>
      </c>
      <c r="Z353">
        <v>0</v>
      </c>
      <c r="AA353">
        <v>0</v>
      </c>
      <c r="AB353">
        <v>0.01</v>
      </c>
      <c r="AC353">
        <v>9.24</v>
      </c>
      <c r="AD353">
        <v>66.989999999999995</v>
      </c>
      <c r="AE353">
        <v>0.93</v>
      </c>
      <c r="AF353">
        <v>0</v>
      </c>
      <c r="AG353">
        <v>0.95</v>
      </c>
      <c r="AH353">
        <v>14.76</v>
      </c>
      <c r="AI353">
        <v>16.29</v>
      </c>
      <c r="AJ353">
        <v>0</v>
      </c>
      <c r="AK353">
        <v>0</v>
      </c>
      <c r="AL353">
        <v>0</v>
      </c>
      <c r="AM353">
        <v>0.08</v>
      </c>
      <c r="AN353">
        <f t="shared" si="16"/>
        <v>3</v>
      </c>
      <c r="AO353" t="str">
        <f t="shared" si="17"/>
        <v>Tuesday</v>
      </c>
    </row>
    <row r="354" spans="1:41" x14ac:dyDescent="0.2">
      <c r="A354" t="s">
        <v>40</v>
      </c>
      <c r="B354" s="1">
        <v>45958</v>
      </c>
      <c r="C354" s="1">
        <f t="shared" si="15"/>
        <v>45961</v>
      </c>
      <c r="D354">
        <v>84</v>
      </c>
      <c r="E354">
        <v>107</v>
      </c>
      <c r="F354">
        <v>5</v>
      </c>
      <c r="G354">
        <v>6</v>
      </c>
      <c r="H354">
        <v>1</v>
      </c>
      <c r="I354">
        <v>1</v>
      </c>
      <c r="J354">
        <v>3</v>
      </c>
      <c r="K354">
        <v>12</v>
      </c>
      <c r="L354" t="s">
        <v>40</v>
      </c>
      <c r="M354" t="s">
        <v>38</v>
      </c>
      <c r="N354" s="1">
        <v>45958</v>
      </c>
      <c r="O354" s="2">
        <v>0.54351851851851851</v>
      </c>
      <c r="P354" s="2">
        <v>0.91678240740740746</v>
      </c>
      <c r="Q354">
        <v>8.9700000000000006</v>
      </c>
      <c r="R354">
        <v>8.9499999999999993</v>
      </c>
      <c r="S354">
        <v>6.62</v>
      </c>
      <c r="T354">
        <v>0.45</v>
      </c>
      <c r="U354">
        <v>0</v>
      </c>
      <c r="V354">
        <v>0.09</v>
      </c>
      <c r="W354">
        <v>0.28000000000000003</v>
      </c>
      <c r="X354">
        <v>1.51</v>
      </c>
      <c r="Y354">
        <v>0</v>
      </c>
      <c r="Z354">
        <v>0</v>
      </c>
      <c r="AA354">
        <v>0</v>
      </c>
      <c r="AB354">
        <v>0.01</v>
      </c>
      <c r="AC354">
        <v>8.9499999999999993</v>
      </c>
      <c r="AD354">
        <v>73.94</v>
      </c>
      <c r="AE354">
        <v>4.99</v>
      </c>
      <c r="AF354">
        <v>0</v>
      </c>
      <c r="AG354">
        <v>0.99</v>
      </c>
      <c r="AH354">
        <v>3.13</v>
      </c>
      <c r="AI354">
        <v>16.850000000000001</v>
      </c>
      <c r="AJ354">
        <v>0.01</v>
      </c>
      <c r="AK354">
        <v>0</v>
      </c>
      <c r="AL354">
        <v>0</v>
      </c>
      <c r="AM354">
        <v>0.11</v>
      </c>
      <c r="AN354">
        <f t="shared" si="16"/>
        <v>3</v>
      </c>
      <c r="AO354" t="str">
        <f t="shared" si="17"/>
        <v>Tuesday</v>
      </c>
    </row>
    <row r="355" spans="1:41" x14ac:dyDescent="0.2">
      <c r="A355" t="s">
        <v>41</v>
      </c>
      <c r="B355" s="1">
        <v>45958</v>
      </c>
      <c r="C355" s="1">
        <f t="shared" si="15"/>
        <v>45961</v>
      </c>
      <c r="D355">
        <v>119</v>
      </c>
      <c r="E355">
        <v>146</v>
      </c>
      <c r="F355">
        <v>11</v>
      </c>
      <c r="G355">
        <v>7</v>
      </c>
      <c r="H355">
        <v>5</v>
      </c>
      <c r="I355">
        <v>0</v>
      </c>
      <c r="J355">
        <v>2</v>
      </c>
      <c r="K355">
        <v>24</v>
      </c>
      <c r="L355" t="s">
        <v>41</v>
      </c>
      <c r="M355" t="s">
        <v>38</v>
      </c>
      <c r="N355" s="1">
        <v>45958</v>
      </c>
      <c r="O355" s="2">
        <v>0.54281250000000003</v>
      </c>
      <c r="P355" s="2">
        <v>0.93179398148148151</v>
      </c>
      <c r="Q355">
        <v>9.33</v>
      </c>
      <c r="R355">
        <v>9.34</v>
      </c>
      <c r="S355">
        <v>6.12</v>
      </c>
      <c r="T355">
        <v>0.4</v>
      </c>
      <c r="U355">
        <v>0</v>
      </c>
      <c r="V355">
        <v>0.35</v>
      </c>
      <c r="W355">
        <v>1.02</v>
      </c>
      <c r="X355">
        <v>1.44</v>
      </c>
      <c r="Y355">
        <v>0</v>
      </c>
      <c r="Z355">
        <v>0</v>
      </c>
      <c r="AA355">
        <v>0</v>
      </c>
      <c r="AB355">
        <v>0</v>
      </c>
      <c r="AC355">
        <v>9.34</v>
      </c>
      <c r="AD355">
        <v>65.510000000000005</v>
      </c>
      <c r="AE355">
        <v>4.3099999999999996</v>
      </c>
      <c r="AF355">
        <v>0</v>
      </c>
      <c r="AG355">
        <v>3.74</v>
      </c>
      <c r="AH355">
        <v>10.95</v>
      </c>
      <c r="AI355">
        <v>15.45</v>
      </c>
      <c r="AJ355">
        <v>0</v>
      </c>
      <c r="AK355">
        <v>0</v>
      </c>
      <c r="AL355">
        <v>0</v>
      </c>
      <c r="AM355">
        <v>0.04</v>
      </c>
      <c r="AN355">
        <f t="shared" si="16"/>
        <v>3</v>
      </c>
      <c r="AO355" t="str">
        <f t="shared" si="17"/>
        <v>Tuesday</v>
      </c>
    </row>
    <row r="356" spans="1:41" x14ac:dyDescent="0.2">
      <c r="A356" t="s">
        <v>43</v>
      </c>
      <c r="B356" s="1">
        <v>45958</v>
      </c>
      <c r="C356" s="1">
        <f t="shared" si="15"/>
        <v>45961</v>
      </c>
      <c r="D356">
        <v>102</v>
      </c>
      <c r="E356">
        <v>158</v>
      </c>
      <c r="F356">
        <v>9</v>
      </c>
      <c r="G356">
        <v>7</v>
      </c>
      <c r="H356">
        <v>8</v>
      </c>
      <c r="I356">
        <v>0</v>
      </c>
      <c r="J356">
        <v>0</v>
      </c>
      <c r="K356">
        <v>37</v>
      </c>
      <c r="L356" t="s">
        <v>43</v>
      </c>
      <c r="M356" t="s">
        <v>38</v>
      </c>
      <c r="N356" s="1">
        <v>45958</v>
      </c>
      <c r="O356" s="2">
        <v>0.54177083333333331</v>
      </c>
      <c r="P356" s="2">
        <v>0.9228587962962963</v>
      </c>
      <c r="Q356">
        <v>9.1300000000000008</v>
      </c>
      <c r="R356">
        <v>9.15</v>
      </c>
      <c r="S356">
        <v>5.58</v>
      </c>
      <c r="T356">
        <v>0.45</v>
      </c>
      <c r="U356">
        <v>0</v>
      </c>
      <c r="V356">
        <v>0.44</v>
      </c>
      <c r="W356">
        <v>1.04</v>
      </c>
      <c r="X356">
        <v>1.64</v>
      </c>
      <c r="Y356">
        <v>0</v>
      </c>
      <c r="Z356">
        <v>0</v>
      </c>
      <c r="AA356">
        <v>0</v>
      </c>
      <c r="AB356">
        <v>0</v>
      </c>
      <c r="AC356">
        <v>9.15</v>
      </c>
      <c r="AD356">
        <v>60.99</v>
      </c>
      <c r="AE356">
        <v>4.9000000000000004</v>
      </c>
      <c r="AF356">
        <v>0</v>
      </c>
      <c r="AG356">
        <v>4.8499999999999996</v>
      </c>
      <c r="AH356">
        <v>11.32</v>
      </c>
      <c r="AI356">
        <v>17.899999999999999</v>
      </c>
      <c r="AJ356">
        <v>0</v>
      </c>
      <c r="AK356">
        <v>0</v>
      </c>
      <c r="AL356">
        <v>0</v>
      </c>
      <c r="AM356">
        <v>0.04</v>
      </c>
      <c r="AN356">
        <f t="shared" si="16"/>
        <v>3</v>
      </c>
      <c r="AO356" t="str">
        <f t="shared" si="17"/>
        <v>Tuesday</v>
      </c>
    </row>
    <row r="357" spans="1:41" x14ac:dyDescent="0.2">
      <c r="B357" s="1">
        <v>45958</v>
      </c>
      <c r="C357" s="1">
        <f t="shared" si="15"/>
        <v>45961</v>
      </c>
      <c r="D357">
        <v>352</v>
      </c>
      <c r="E357">
        <v>0</v>
      </c>
      <c r="F357">
        <v>0</v>
      </c>
      <c r="G357">
        <v>0</v>
      </c>
      <c r="H357">
        <v>0</v>
      </c>
      <c r="I357">
        <v>0</v>
      </c>
      <c r="J357">
        <v>0</v>
      </c>
      <c r="K357">
        <v>0</v>
      </c>
      <c r="AN357">
        <f t="shared" si="16"/>
        <v>3</v>
      </c>
      <c r="AO357" t="str">
        <f t="shared" si="17"/>
        <v>Tuesday</v>
      </c>
    </row>
    <row r="358" spans="1:41" x14ac:dyDescent="0.2">
      <c r="A358" t="s">
        <v>37</v>
      </c>
      <c r="B358" s="1">
        <v>45957</v>
      </c>
      <c r="C358" s="1">
        <f t="shared" si="15"/>
        <v>45961</v>
      </c>
      <c r="D358">
        <v>73</v>
      </c>
      <c r="E358">
        <v>80</v>
      </c>
      <c r="F358">
        <v>5</v>
      </c>
      <c r="G358">
        <v>4</v>
      </c>
      <c r="H358">
        <v>4</v>
      </c>
      <c r="I358">
        <v>0</v>
      </c>
      <c r="J358">
        <v>3</v>
      </c>
      <c r="K358">
        <v>15</v>
      </c>
      <c r="L358" t="s">
        <v>37</v>
      </c>
      <c r="M358" t="s">
        <v>38</v>
      </c>
      <c r="N358" s="1">
        <v>45957</v>
      </c>
      <c r="O358" s="2">
        <v>0.5435416666666667</v>
      </c>
      <c r="P358" s="2">
        <v>0.91707175925925921</v>
      </c>
      <c r="Q358">
        <v>8.9700000000000006</v>
      </c>
      <c r="R358">
        <v>8.09</v>
      </c>
      <c r="S358">
        <v>4.8099999999999996</v>
      </c>
      <c r="T358">
        <v>0.32</v>
      </c>
      <c r="U358">
        <v>0</v>
      </c>
      <c r="V358">
        <v>0.28999999999999998</v>
      </c>
      <c r="W358">
        <v>1.5</v>
      </c>
      <c r="X358">
        <v>0.64</v>
      </c>
      <c r="Y358">
        <v>0.52</v>
      </c>
      <c r="Z358">
        <v>0</v>
      </c>
      <c r="AA358">
        <v>0</v>
      </c>
      <c r="AB358">
        <v>0.01</v>
      </c>
      <c r="AC358">
        <v>8.09</v>
      </c>
      <c r="AD358">
        <v>59.49</v>
      </c>
      <c r="AE358">
        <v>3.9</v>
      </c>
      <c r="AF358">
        <v>0</v>
      </c>
      <c r="AG358">
        <v>3.56</v>
      </c>
      <c r="AH358">
        <v>18.57</v>
      </c>
      <c r="AI358">
        <v>7.96</v>
      </c>
      <c r="AJ358">
        <v>6.37</v>
      </c>
      <c r="AK358">
        <v>0</v>
      </c>
      <c r="AL358">
        <v>0</v>
      </c>
      <c r="AM358">
        <v>0.16</v>
      </c>
      <c r="AN358">
        <f t="shared" si="16"/>
        <v>2</v>
      </c>
      <c r="AO358" t="str">
        <f t="shared" si="17"/>
        <v>Monday</v>
      </c>
    </row>
    <row r="359" spans="1:41" x14ac:dyDescent="0.2">
      <c r="A359" t="s">
        <v>39</v>
      </c>
      <c r="B359" s="1">
        <v>45957</v>
      </c>
      <c r="C359" s="1">
        <f t="shared" si="15"/>
        <v>45961</v>
      </c>
      <c r="D359">
        <v>103</v>
      </c>
      <c r="E359">
        <v>121</v>
      </c>
      <c r="F359">
        <v>13</v>
      </c>
      <c r="G359">
        <v>12</v>
      </c>
      <c r="H359">
        <v>6</v>
      </c>
      <c r="I359">
        <v>0</v>
      </c>
      <c r="J359">
        <v>0</v>
      </c>
      <c r="K359">
        <v>19</v>
      </c>
      <c r="L359" t="s">
        <v>39</v>
      </c>
      <c r="M359" t="s">
        <v>38</v>
      </c>
      <c r="N359" s="1">
        <v>45957</v>
      </c>
      <c r="O359" s="2">
        <v>0.54153935185185187</v>
      </c>
      <c r="P359" s="2">
        <v>0.91678240740740746</v>
      </c>
      <c r="Q359">
        <v>9.02</v>
      </c>
      <c r="R359">
        <v>9</v>
      </c>
      <c r="S359">
        <v>5.77</v>
      </c>
      <c r="T359">
        <v>0.09</v>
      </c>
      <c r="U359">
        <v>0</v>
      </c>
      <c r="V359">
        <v>0.09</v>
      </c>
      <c r="W359">
        <v>1.55</v>
      </c>
      <c r="X359">
        <v>1.5</v>
      </c>
      <c r="Y359">
        <v>0</v>
      </c>
      <c r="Z359">
        <v>0</v>
      </c>
      <c r="AA359">
        <v>0</v>
      </c>
      <c r="AB359">
        <v>0.01</v>
      </c>
      <c r="AC359">
        <v>9</v>
      </c>
      <c r="AD359">
        <v>64.099999999999994</v>
      </c>
      <c r="AE359">
        <v>0.97</v>
      </c>
      <c r="AF359">
        <v>0</v>
      </c>
      <c r="AG359">
        <v>0.97</v>
      </c>
      <c r="AH359">
        <v>17.170000000000002</v>
      </c>
      <c r="AI359">
        <v>16.63</v>
      </c>
      <c r="AJ359">
        <v>0</v>
      </c>
      <c r="AK359">
        <v>0</v>
      </c>
      <c r="AL359">
        <v>0</v>
      </c>
      <c r="AM359">
        <v>0.16</v>
      </c>
      <c r="AN359">
        <f t="shared" si="16"/>
        <v>2</v>
      </c>
      <c r="AO359" t="str">
        <f t="shared" si="17"/>
        <v>Monday</v>
      </c>
    </row>
    <row r="360" spans="1:41" x14ac:dyDescent="0.2">
      <c r="A360" t="s">
        <v>41</v>
      </c>
      <c r="B360" s="1">
        <v>45957</v>
      </c>
      <c r="C360" s="1">
        <f t="shared" si="15"/>
        <v>45961</v>
      </c>
      <c r="D360">
        <v>138</v>
      </c>
      <c r="E360">
        <v>167</v>
      </c>
      <c r="F360">
        <v>12</v>
      </c>
      <c r="G360">
        <v>12</v>
      </c>
      <c r="H360">
        <v>2</v>
      </c>
      <c r="I360">
        <v>0</v>
      </c>
      <c r="J360">
        <v>3</v>
      </c>
      <c r="K360">
        <v>30</v>
      </c>
      <c r="L360" t="s">
        <v>41</v>
      </c>
      <c r="M360" t="s">
        <v>38</v>
      </c>
      <c r="N360" s="1">
        <v>45957</v>
      </c>
      <c r="O360" s="2">
        <v>0.54240740740740745</v>
      </c>
      <c r="P360" s="2">
        <v>0.92153935185185187</v>
      </c>
      <c r="Q360">
        <v>9.1</v>
      </c>
      <c r="R360">
        <v>9.1</v>
      </c>
      <c r="S360">
        <v>5.47</v>
      </c>
      <c r="T360">
        <v>0.39</v>
      </c>
      <c r="U360">
        <v>0</v>
      </c>
      <c r="V360">
        <v>0.18</v>
      </c>
      <c r="W360">
        <v>1.61</v>
      </c>
      <c r="X360">
        <v>1.44</v>
      </c>
      <c r="Y360">
        <v>0</v>
      </c>
      <c r="Z360">
        <v>0</v>
      </c>
      <c r="AA360">
        <v>0</v>
      </c>
      <c r="AB360">
        <v>0</v>
      </c>
      <c r="AC360">
        <v>9.1</v>
      </c>
      <c r="AD360">
        <v>60.17</v>
      </c>
      <c r="AE360">
        <v>4.3099999999999996</v>
      </c>
      <c r="AF360">
        <v>0</v>
      </c>
      <c r="AG360">
        <v>1.93</v>
      </c>
      <c r="AH360">
        <v>17.68</v>
      </c>
      <c r="AI360">
        <v>15.87</v>
      </c>
      <c r="AJ360">
        <v>0</v>
      </c>
      <c r="AK360">
        <v>0</v>
      </c>
      <c r="AL360">
        <v>0</v>
      </c>
      <c r="AM360">
        <v>0.04</v>
      </c>
      <c r="AN360">
        <f t="shared" si="16"/>
        <v>2</v>
      </c>
      <c r="AO360" t="str">
        <f t="shared" si="17"/>
        <v>Monday</v>
      </c>
    </row>
    <row r="361" spans="1:41" x14ac:dyDescent="0.2">
      <c r="A361" t="s">
        <v>43</v>
      </c>
      <c r="B361" s="1">
        <v>45957</v>
      </c>
      <c r="C361" s="1">
        <f t="shared" si="15"/>
        <v>45961</v>
      </c>
      <c r="D361">
        <v>114</v>
      </c>
      <c r="E361">
        <v>142</v>
      </c>
      <c r="F361">
        <v>5</v>
      </c>
      <c r="G361">
        <v>3</v>
      </c>
      <c r="H361">
        <v>4</v>
      </c>
      <c r="I361">
        <v>0</v>
      </c>
      <c r="J361">
        <v>0</v>
      </c>
      <c r="K361">
        <v>21</v>
      </c>
      <c r="L361" t="s">
        <v>43</v>
      </c>
      <c r="M361" t="s">
        <v>38</v>
      </c>
      <c r="N361" s="1">
        <v>45957</v>
      </c>
      <c r="O361" s="2">
        <v>0.54174768518518523</v>
      </c>
      <c r="P361" s="2">
        <v>0.9238425925925926</v>
      </c>
      <c r="Q361">
        <v>9.17</v>
      </c>
      <c r="R361">
        <v>9.1</v>
      </c>
      <c r="S361">
        <v>5.87</v>
      </c>
      <c r="T361">
        <v>0.25</v>
      </c>
      <c r="U361">
        <v>0</v>
      </c>
      <c r="V361">
        <v>0.38</v>
      </c>
      <c r="W361">
        <v>1.1299999999999999</v>
      </c>
      <c r="X361">
        <v>1.46</v>
      </c>
      <c r="Y361">
        <v>0</v>
      </c>
      <c r="Z361">
        <v>0</v>
      </c>
      <c r="AA361">
        <v>0</v>
      </c>
      <c r="AB361">
        <v>0.01</v>
      </c>
      <c r="AC361">
        <v>9.1</v>
      </c>
      <c r="AD361">
        <v>64.489999999999995</v>
      </c>
      <c r="AE361">
        <v>2.76</v>
      </c>
      <c r="AF361">
        <v>0</v>
      </c>
      <c r="AG361">
        <v>4.17</v>
      </c>
      <c r="AH361">
        <v>12.41</v>
      </c>
      <c r="AI361">
        <v>16.079999999999998</v>
      </c>
      <c r="AJ361">
        <v>0</v>
      </c>
      <c r="AK361">
        <v>0</v>
      </c>
      <c r="AL361">
        <v>0</v>
      </c>
      <c r="AM361">
        <v>0.09</v>
      </c>
      <c r="AN361">
        <f t="shared" si="16"/>
        <v>2</v>
      </c>
      <c r="AO361" t="str">
        <f t="shared" si="17"/>
        <v>Monday</v>
      </c>
    </row>
    <row r="362" spans="1:41" x14ac:dyDescent="0.2">
      <c r="B362" s="1">
        <v>45957</v>
      </c>
      <c r="C362" s="1">
        <f t="shared" si="15"/>
        <v>45961</v>
      </c>
      <c r="D362">
        <v>529</v>
      </c>
      <c r="E362">
        <v>0</v>
      </c>
      <c r="F362">
        <v>0</v>
      </c>
      <c r="G362">
        <v>0</v>
      </c>
      <c r="H362">
        <v>0</v>
      </c>
      <c r="I362">
        <v>0</v>
      </c>
      <c r="J362">
        <v>0</v>
      </c>
      <c r="K362">
        <v>0</v>
      </c>
      <c r="AN362">
        <f t="shared" si="16"/>
        <v>2</v>
      </c>
      <c r="AO362" t="str">
        <f t="shared" si="17"/>
        <v>Monday</v>
      </c>
    </row>
    <row r="363" spans="1:41" x14ac:dyDescent="0.2">
      <c r="A363" t="s">
        <v>39</v>
      </c>
      <c r="B363" s="1">
        <v>45954</v>
      </c>
      <c r="C363" s="1">
        <f t="shared" si="15"/>
        <v>45961</v>
      </c>
      <c r="D363">
        <v>22</v>
      </c>
      <c r="E363">
        <v>41</v>
      </c>
      <c r="F363">
        <v>12</v>
      </c>
      <c r="G363">
        <v>0</v>
      </c>
      <c r="H363">
        <v>7</v>
      </c>
      <c r="I363">
        <v>0</v>
      </c>
      <c r="J363">
        <v>3</v>
      </c>
      <c r="K363">
        <v>14</v>
      </c>
      <c r="L363" t="s">
        <v>39</v>
      </c>
      <c r="M363" t="s">
        <v>38</v>
      </c>
      <c r="N363" s="1">
        <v>45954</v>
      </c>
      <c r="O363" s="2">
        <v>0.54254629629629625</v>
      </c>
      <c r="P363" s="2">
        <v>0.91668981481481482</v>
      </c>
      <c r="Q363">
        <v>8.98</v>
      </c>
      <c r="R363">
        <v>8.98</v>
      </c>
      <c r="S363">
        <v>1.81</v>
      </c>
      <c r="T363">
        <v>0.08</v>
      </c>
      <c r="U363">
        <v>0</v>
      </c>
      <c r="V363">
        <v>0.05</v>
      </c>
      <c r="W363">
        <v>5.54</v>
      </c>
      <c r="X363">
        <v>1.49</v>
      </c>
      <c r="Y363">
        <v>0</v>
      </c>
      <c r="Z363">
        <v>0</v>
      </c>
      <c r="AA363">
        <v>0</v>
      </c>
      <c r="AB363">
        <v>0</v>
      </c>
      <c r="AC363">
        <v>8.98</v>
      </c>
      <c r="AD363">
        <v>20.21</v>
      </c>
      <c r="AE363">
        <v>0.9</v>
      </c>
      <c r="AF363">
        <v>0</v>
      </c>
      <c r="AG363">
        <v>0.56999999999999995</v>
      </c>
      <c r="AH363">
        <v>61.73</v>
      </c>
      <c r="AI363">
        <v>16.559999999999999</v>
      </c>
      <c r="AJ363">
        <v>0</v>
      </c>
      <c r="AK363">
        <v>0</v>
      </c>
      <c r="AL363">
        <v>0</v>
      </c>
      <c r="AM363">
        <v>0.03</v>
      </c>
      <c r="AN363">
        <f t="shared" si="16"/>
        <v>6</v>
      </c>
      <c r="AO363" t="str">
        <f t="shared" si="17"/>
        <v>Friday</v>
      </c>
    </row>
    <row r="364" spans="1:41" x14ac:dyDescent="0.2">
      <c r="A364" t="s">
        <v>40</v>
      </c>
      <c r="B364" s="1">
        <v>45954</v>
      </c>
      <c r="C364" s="1">
        <f t="shared" si="15"/>
        <v>45961</v>
      </c>
      <c r="D364">
        <v>25</v>
      </c>
      <c r="E364">
        <v>50</v>
      </c>
      <c r="F364">
        <v>2</v>
      </c>
      <c r="G364">
        <v>0</v>
      </c>
      <c r="H364">
        <v>15</v>
      </c>
      <c r="I364">
        <v>0</v>
      </c>
      <c r="J364">
        <v>0</v>
      </c>
      <c r="K364">
        <v>25</v>
      </c>
      <c r="L364" t="s">
        <v>40</v>
      </c>
      <c r="M364" t="s">
        <v>38</v>
      </c>
      <c r="N364" s="1">
        <v>45954</v>
      </c>
      <c r="O364" s="2">
        <v>0.54288194444444449</v>
      </c>
      <c r="P364" s="2">
        <v>0.91667824074074078</v>
      </c>
      <c r="Q364">
        <v>8.98</v>
      </c>
      <c r="R364">
        <v>8.9700000000000006</v>
      </c>
      <c r="S364">
        <v>1.78</v>
      </c>
      <c r="T364">
        <v>0.98</v>
      </c>
      <c r="U364">
        <v>0</v>
      </c>
      <c r="V364">
        <v>0.1</v>
      </c>
      <c r="W364">
        <v>4.5999999999999996</v>
      </c>
      <c r="X364">
        <v>1.51</v>
      </c>
      <c r="Y364">
        <v>0</v>
      </c>
      <c r="Z364">
        <v>0</v>
      </c>
      <c r="AA364">
        <v>0</v>
      </c>
      <c r="AB364">
        <v>0</v>
      </c>
      <c r="AC364">
        <v>8.9700000000000006</v>
      </c>
      <c r="AD364">
        <v>19.829999999999998</v>
      </c>
      <c r="AE364">
        <v>10.93</v>
      </c>
      <c r="AF364">
        <v>0</v>
      </c>
      <c r="AG364">
        <v>1.07</v>
      </c>
      <c r="AH364">
        <v>51.25</v>
      </c>
      <c r="AI364">
        <v>16.88</v>
      </c>
      <c r="AJ364">
        <v>0</v>
      </c>
      <c r="AK364">
        <v>0</v>
      </c>
      <c r="AL364">
        <v>0</v>
      </c>
      <c r="AM364">
        <v>0.05</v>
      </c>
      <c r="AN364">
        <f t="shared" si="16"/>
        <v>6</v>
      </c>
      <c r="AO364" t="str">
        <f t="shared" si="17"/>
        <v>Friday</v>
      </c>
    </row>
    <row r="365" spans="1:41" x14ac:dyDescent="0.2">
      <c r="A365" t="s">
        <v>41</v>
      </c>
      <c r="B365" s="1">
        <v>45954</v>
      </c>
      <c r="C365" s="1">
        <f t="shared" si="15"/>
        <v>45961</v>
      </c>
      <c r="D365">
        <v>31</v>
      </c>
      <c r="E365">
        <v>57</v>
      </c>
      <c r="F365">
        <v>5</v>
      </c>
      <c r="G365">
        <v>3</v>
      </c>
      <c r="H365">
        <v>2</v>
      </c>
      <c r="I365">
        <v>0</v>
      </c>
      <c r="J365">
        <v>2</v>
      </c>
      <c r="K365">
        <v>31</v>
      </c>
      <c r="L365" t="s">
        <v>41</v>
      </c>
      <c r="M365" t="s">
        <v>38</v>
      </c>
      <c r="N365" s="1">
        <v>45954</v>
      </c>
      <c r="O365" s="2">
        <v>0.54181712962962958</v>
      </c>
      <c r="P365" s="2">
        <v>0.9160300925925926</v>
      </c>
      <c r="Q365">
        <v>8.98</v>
      </c>
      <c r="R365">
        <v>8.98</v>
      </c>
      <c r="S365">
        <v>1.33</v>
      </c>
      <c r="T365">
        <v>0.53</v>
      </c>
      <c r="U365">
        <v>0</v>
      </c>
      <c r="V365">
        <v>0.03</v>
      </c>
      <c r="W365">
        <v>5.6</v>
      </c>
      <c r="X365">
        <v>1.48</v>
      </c>
      <c r="Y365">
        <v>0</v>
      </c>
      <c r="Z365">
        <v>0</v>
      </c>
      <c r="AA365">
        <v>0</v>
      </c>
      <c r="AB365">
        <v>0.01</v>
      </c>
      <c r="AC365">
        <v>8.98</v>
      </c>
      <c r="AD365">
        <v>14.84</v>
      </c>
      <c r="AE365">
        <v>5.95</v>
      </c>
      <c r="AF365">
        <v>0</v>
      </c>
      <c r="AG365">
        <v>0.3</v>
      </c>
      <c r="AH365">
        <v>62.37</v>
      </c>
      <c r="AI365">
        <v>16.48</v>
      </c>
      <c r="AJ365">
        <v>0</v>
      </c>
      <c r="AK365">
        <v>0</v>
      </c>
      <c r="AL365">
        <v>0</v>
      </c>
      <c r="AM365">
        <v>7.0000000000000007E-2</v>
      </c>
      <c r="AN365">
        <f t="shared" si="16"/>
        <v>6</v>
      </c>
      <c r="AO365" t="str">
        <f t="shared" si="17"/>
        <v>Friday</v>
      </c>
    </row>
    <row r="366" spans="1:41" x14ac:dyDescent="0.2">
      <c r="A366" t="s">
        <v>43</v>
      </c>
      <c r="B366" s="1">
        <v>45954</v>
      </c>
      <c r="C366" s="1">
        <f t="shared" si="15"/>
        <v>45961</v>
      </c>
      <c r="D366">
        <v>30</v>
      </c>
      <c r="E366">
        <v>78</v>
      </c>
      <c r="F366">
        <v>12</v>
      </c>
      <c r="G366">
        <v>0</v>
      </c>
      <c r="H366">
        <v>4</v>
      </c>
      <c r="I366">
        <v>0</v>
      </c>
      <c r="J366">
        <v>0</v>
      </c>
      <c r="K366">
        <v>31</v>
      </c>
      <c r="L366" t="s">
        <v>43</v>
      </c>
      <c r="M366" t="s">
        <v>38</v>
      </c>
      <c r="N366" s="1">
        <v>45954</v>
      </c>
      <c r="O366" s="2">
        <v>0.54142361111111115</v>
      </c>
      <c r="P366" s="2">
        <v>0.91732638888888884</v>
      </c>
      <c r="Q366">
        <v>9.02</v>
      </c>
      <c r="R366">
        <v>9.02</v>
      </c>
      <c r="S366">
        <v>1.99</v>
      </c>
      <c r="T366">
        <v>0.31</v>
      </c>
      <c r="U366">
        <v>0</v>
      </c>
      <c r="V366">
        <v>0.28999999999999998</v>
      </c>
      <c r="W366">
        <v>4.4800000000000004</v>
      </c>
      <c r="X366">
        <v>1.95</v>
      </c>
      <c r="Y366">
        <v>0</v>
      </c>
      <c r="Z366">
        <v>0</v>
      </c>
      <c r="AA366">
        <v>0</v>
      </c>
      <c r="AB366">
        <v>0</v>
      </c>
      <c r="AC366">
        <v>9.02</v>
      </c>
      <c r="AD366">
        <v>22.03</v>
      </c>
      <c r="AE366">
        <v>3.48</v>
      </c>
      <c r="AF366">
        <v>0</v>
      </c>
      <c r="AG366">
        <v>3.24</v>
      </c>
      <c r="AH366">
        <v>49.66</v>
      </c>
      <c r="AI366">
        <v>21.56</v>
      </c>
      <c r="AJ366">
        <v>0</v>
      </c>
      <c r="AK366">
        <v>0</v>
      </c>
      <c r="AL366">
        <v>0</v>
      </c>
      <c r="AM366">
        <v>0.04</v>
      </c>
      <c r="AN366">
        <f t="shared" si="16"/>
        <v>6</v>
      </c>
      <c r="AO366" t="str">
        <f t="shared" si="17"/>
        <v>Friday</v>
      </c>
    </row>
    <row r="367" spans="1:41" x14ac:dyDescent="0.2">
      <c r="B367" s="1">
        <v>45954</v>
      </c>
      <c r="C367" s="1">
        <f t="shared" si="15"/>
        <v>45961</v>
      </c>
      <c r="D367">
        <v>450</v>
      </c>
      <c r="E367">
        <v>0</v>
      </c>
      <c r="F367">
        <v>0</v>
      </c>
      <c r="G367">
        <v>0</v>
      </c>
      <c r="H367">
        <v>0</v>
      </c>
      <c r="I367">
        <v>0</v>
      </c>
      <c r="J367">
        <v>0</v>
      </c>
      <c r="K367">
        <v>0</v>
      </c>
      <c r="AN367">
        <f t="shared" si="16"/>
        <v>6</v>
      </c>
      <c r="AO367" t="str">
        <f t="shared" si="17"/>
        <v>Friday</v>
      </c>
    </row>
    <row r="368" spans="1:41" x14ac:dyDescent="0.2">
      <c r="A368" t="s">
        <v>37</v>
      </c>
      <c r="B368" s="1">
        <v>45953</v>
      </c>
      <c r="C368" s="1">
        <f t="shared" si="15"/>
        <v>45961</v>
      </c>
      <c r="D368">
        <v>27</v>
      </c>
      <c r="E368">
        <v>57</v>
      </c>
      <c r="F368">
        <v>2</v>
      </c>
      <c r="G368">
        <v>3</v>
      </c>
      <c r="H368">
        <v>6</v>
      </c>
      <c r="I368">
        <v>0</v>
      </c>
      <c r="J368">
        <v>8</v>
      </c>
      <c r="K368">
        <v>23</v>
      </c>
      <c r="L368" t="s">
        <v>37</v>
      </c>
      <c r="M368" t="s">
        <v>38</v>
      </c>
      <c r="N368" s="1">
        <v>45953</v>
      </c>
      <c r="O368" s="2">
        <v>0.54089120370370369</v>
      </c>
      <c r="P368" s="2">
        <v>0.91670138888888886</v>
      </c>
      <c r="Q368">
        <v>9.0299999999999994</v>
      </c>
      <c r="R368">
        <v>7.33</v>
      </c>
      <c r="S368">
        <v>1.03</v>
      </c>
      <c r="T368">
        <v>0.25</v>
      </c>
      <c r="U368">
        <v>0</v>
      </c>
      <c r="V368">
        <v>0.12</v>
      </c>
      <c r="W368">
        <v>5.49</v>
      </c>
      <c r="X368">
        <v>0.41</v>
      </c>
      <c r="Y368">
        <v>0</v>
      </c>
      <c r="Z368">
        <v>0</v>
      </c>
      <c r="AA368">
        <v>0</v>
      </c>
      <c r="AB368">
        <v>0.03</v>
      </c>
      <c r="AC368">
        <v>7.33</v>
      </c>
      <c r="AD368">
        <v>14.01</v>
      </c>
      <c r="AE368">
        <v>3.4</v>
      </c>
      <c r="AF368">
        <v>0</v>
      </c>
      <c r="AG368">
        <v>1.63</v>
      </c>
      <c r="AH368">
        <v>74.98</v>
      </c>
      <c r="AI368">
        <v>5.53</v>
      </c>
      <c r="AJ368">
        <v>0</v>
      </c>
      <c r="AK368">
        <v>0</v>
      </c>
      <c r="AL368">
        <v>0</v>
      </c>
      <c r="AM368">
        <v>0.44</v>
      </c>
      <c r="AN368">
        <f t="shared" si="16"/>
        <v>5</v>
      </c>
      <c r="AO368" t="str">
        <f t="shared" si="17"/>
        <v>Thursday</v>
      </c>
    </row>
    <row r="369" spans="1:41" x14ac:dyDescent="0.2">
      <c r="A369" t="s">
        <v>39</v>
      </c>
      <c r="B369" s="1">
        <v>45953</v>
      </c>
      <c r="C369" s="1">
        <f t="shared" si="15"/>
        <v>45961</v>
      </c>
      <c r="D369">
        <v>34</v>
      </c>
      <c r="E369">
        <v>67</v>
      </c>
      <c r="F369">
        <v>4</v>
      </c>
      <c r="G369">
        <v>2</v>
      </c>
      <c r="H369">
        <v>4</v>
      </c>
      <c r="I369">
        <v>2</v>
      </c>
      <c r="J369">
        <v>2</v>
      </c>
      <c r="K369">
        <v>21</v>
      </c>
      <c r="L369" t="s">
        <v>39</v>
      </c>
      <c r="M369" t="s">
        <v>38</v>
      </c>
      <c r="N369" s="1">
        <v>45953</v>
      </c>
      <c r="O369" s="2">
        <v>0.54182870370370373</v>
      </c>
      <c r="P369" s="2">
        <v>0.91672453703703705</v>
      </c>
      <c r="Q369">
        <v>9</v>
      </c>
      <c r="R369">
        <v>9</v>
      </c>
      <c r="S369">
        <v>1.59</v>
      </c>
      <c r="T369">
        <v>0.1</v>
      </c>
      <c r="U369">
        <v>0</v>
      </c>
      <c r="V369">
        <v>0.09</v>
      </c>
      <c r="W369">
        <v>5.59</v>
      </c>
      <c r="X369">
        <v>1.5</v>
      </c>
      <c r="Y369">
        <v>0.14000000000000001</v>
      </c>
      <c r="Z369">
        <v>0</v>
      </c>
      <c r="AA369">
        <v>0</v>
      </c>
      <c r="AB369">
        <v>0</v>
      </c>
      <c r="AC369">
        <v>9</v>
      </c>
      <c r="AD369">
        <v>17.64</v>
      </c>
      <c r="AE369">
        <v>1.07</v>
      </c>
      <c r="AF369">
        <v>0</v>
      </c>
      <c r="AG369">
        <v>0.97</v>
      </c>
      <c r="AH369">
        <v>62.09</v>
      </c>
      <c r="AI369">
        <v>16.66</v>
      </c>
      <c r="AJ369">
        <v>1.54</v>
      </c>
      <c r="AK369">
        <v>0</v>
      </c>
      <c r="AL369">
        <v>0</v>
      </c>
      <c r="AM369">
        <v>0.04</v>
      </c>
      <c r="AN369">
        <f t="shared" si="16"/>
        <v>5</v>
      </c>
      <c r="AO369" t="str">
        <f t="shared" si="17"/>
        <v>Thursday</v>
      </c>
    </row>
    <row r="370" spans="1:41" x14ac:dyDescent="0.2">
      <c r="A370" t="s">
        <v>40</v>
      </c>
      <c r="B370" s="1">
        <v>45953</v>
      </c>
      <c r="C370" s="1">
        <f t="shared" si="15"/>
        <v>45961</v>
      </c>
      <c r="D370">
        <v>13</v>
      </c>
      <c r="E370">
        <v>30</v>
      </c>
      <c r="F370">
        <v>2</v>
      </c>
      <c r="G370">
        <v>0</v>
      </c>
      <c r="H370">
        <v>4</v>
      </c>
      <c r="I370">
        <v>0</v>
      </c>
      <c r="J370">
        <v>0</v>
      </c>
      <c r="K370">
        <v>10</v>
      </c>
      <c r="L370" t="s">
        <v>40</v>
      </c>
      <c r="M370" t="s">
        <v>38</v>
      </c>
      <c r="N370" s="1">
        <v>45953</v>
      </c>
      <c r="O370" s="2">
        <v>0.54251157407407402</v>
      </c>
      <c r="P370" s="2">
        <v>0.91670138888888886</v>
      </c>
      <c r="Q370">
        <v>8.98</v>
      </c>
      <c r="R370">
        <v>8.98</v>
      </c>
      <c r="S370">
        <v>1.49</v>
      </c>
      <c r="T370">
        <v>0.71</v>
      </c>
      <c r="U370">
        <v>0</v>
      </c>
      <c r="V370">
        <v>0.04</v>
      </c>
      <c r="W370">
        <v>4.32</v>
      </c>
      <c r="X370">
        <v>1.48</v>
      </c>
      <c r="Y370">
        <v>0.93</v>
      </c>
      <c r="Z370">
        <v>0</v>
      </c>
      <c r="AA370">
        <v>0</v>
      </c>
      <c r="AB370">
        <v>0</v>
      </c>
      <c r="AC370">
        <v>8.98</v>
      </c>
      <c r="AD370">
        <v>16.57</v>
      </c>
      <c r="AE370">
        <v>7.9</v>
      </c>
      <c r="AF370">
        <v>0</v>
      </c>
      <c r="AG370">
        <v>0.45</v>
      </c>
      <c r="AH370">
        <v>48.11</v>
      </c>
      <c r="AI370">
        <v>16.53</v>
      </c>
      <c r="AJ370">
        <v>10.4</v>
      </c>
      <c r="AK370">
        <v>0</v>
      </c>
      <c r="AL370">
        <v>0</v>
      </c>
      <c r="AM370">
        <v>0.03</v>
      </c>
      <c r="AN370">
        <f t="shared" si="16"/>
        <v>5</v>
      </c>
      <c r="AO370" t="str">
        <f t="shared" si="17"/>
        <v>Thursday</v>
      </c>
    </row>
    <row r="371" spans="1:41" x14ac:dyDescent="0.2">
      <c r="A371" t="s">
        <v>41</v>
      </c>
      <c r="B371" s="1">
        <v>45953</v>
      </c>
      <c r="C371" s="1">
        <f t="shared" si="15"/>
        <v>45961</v>
      </c>
      <c r="D371">
        <v>31</v>
      </c>
      <c r="E371">
        <v>63</v>
      </c>
      <c r="F371">
        <v>4</v>
      </c>
      <c r="G371">
        <v>8</v>
      </c>
      <c r="H371">
        <v>6</v>
      </c>
      <c r="I371">
        <v>0</v>
      </c>
      <c r="J371">
        <v>0</v>
      </c>
      <c r="K371">
        <v>27</v>
      </c>
      <c r="L371" t="s">
        <v>41</v>
      </c>
      <c r="M371" t="s">
        <v>38</v>
      </c>
      <c r="N371" s="1">
        <v>45953</v>
      </c>
      <c r="O371" s="2">
        <v>0.54259259259259263</v>
      </c>
      <c r="P371" s="2">
        <v>0.91716435185185186</v>
      </c>
      <c r="Q371">
        <v>8.98</v>
      </c>
      <c r="R371">
        <v>8.99</v>
      </c>
      <c r="S371">
        <v>1.63</v>
      </c>
      <c r="T371">
        <v>0.68</v>
      </c>
      <c r="U371">
        <v>0</v>
      </c>
      <c r="V371">
        <v>0.02</v>
      </c>
      <c r="W371">
        <v>5.17</v>
      </c>
      <c r="X371">
        <v>1.43</v>
      </c>
      <c r="Y371">
        <v>0.05</v>
      </c>
      <c r="Z371">
        <v>0</v>
      </c>
      <c r="AA371">
        <v>0</v>
      </c>
      <c r="AB371">
        <v>0.01</v>
      </c>
      <c r="AC371">
        <v>8.99</v>
      </c>
      <c r="AD371">
        <v>18.18</v>
      </c>
      <c r="AE371">
        <v>7.53</v>
      </c>
      <c r="AF371">
        <v>0</v>
      </c>
      <c r="AG371">
        <v>0.22</v>
      </c>
      <c r="AH371">
        <v>57.48</v>
      </c>
      <c r="AI371">
        <v>15.92</v>
      </c>
      <c r="AJ371">
        <v>0.56999999999999995</v>
      </c>
      <c r="AK371">
        <v>0</v>
      </c>
      <c r="AL371">
        <v>0</v>
      </c>
      <c r="AM371">
        <v>0.11</v>
      </c>
      <c r="AN371">
        <f t="shared" si="16"/>
        <v>5</v>
      </c>
      <c r="AO371" t="str">
        <f t="shared" si="17"/>
        <v>Thursday</v>
      </c>
    </row>
    <row r="372" spans="1:41" x14ac:dyDescent="0.2">
      <c r="A372" t="s">
        <v>43</v>
      </c>
      <c r="B372" s="1">
        <v>45953</v>
      </c>
      <c r="C372" s="1">
        <f t="shared" si="15"/>
        <v>45961</v>
      </c>
      <c r="D372">
        <v>39</v>
      </c>
      <c r="E372">
        <v>102</v>
      </c>
      <c r="F372">
        <v>7</v>
      </c>
      <c r="G372">
        <v>6</v>
      </c>
      <c r="H372">
        <v>3</v>
      </c>
      <c r="I372">
        <v>1</v>
      </c>
      <c r="J372">
        <v>2</v>
      </c>
      <c r="K372">
        <v>29</v>
      </c>
      <c r="L372" t="s">
        <v>43</v>
      </c>
      <c r="M372" t="s">
        <v>38</v>
      </c>
      <c r="N372" s="1">
        <v>45953</v>
      </c>
      <c r="O372" s="2">
        <v>0.54153935185185187</v>
      </c>
      <c r="P372" s="2">
        <v>0.91729166666666662</v>
      </c>
      <c r="Q372">
        <v>9.02</v>
      </c>
      <c r="R372">
        <v>9.02</v>
      </c>
      <c r="S372">
        <v>2.74</v>
      </c>
      <c r="T372">
        <v>0.26</v>
      </c>
      <c r="U372">
        <v>0</v>
      </c>
      <c r="V372">
        <v>0.44</v>
      </c>
      <c r="W372">
        <v>3.76</v>
      </c>
      <c r="X372">
        <v>1.48</v>
      </c>
      <c r="Y372">
        <v>0.34</v>
      </c>
      <c r="Z372">
        <v>0</v>
      </c>
      <c r="AA372">
        <v>0</v>
      </c>
      <c r="AB372">
        <v>0</v>
      </c>
      <c r="AC372">
        <v>9.02</v>
      </c>
      <c r="AD372">
        <v>30.38</v>
      </c>
      <c r="AE372">
        <v>2.89</v>
      </c>
      <c r="AF372">
        <v>0</v>
      </c>
      <c r="AG372">
        <v>4.84</v>
      </c>
      <c r="AH372">
        <v>41.66</v>
      </c>
      <c r="AI372">
        <v>16.45</v>
      </c>
      <c r="AJ372">
        <v>3.75</v>
      </c>
      <c r="AK372">
        <v>0</v>
      </c>
      <c r="AL372">
        <v>0</v>
      </c>
      <c r="AM372">
        <v>0.03</v>
      </c>
      <c r="AN372">
        <f t="shared" si="16"/>
        <v>5</v>
      </c>
      <c r="AO372" t="str">
        <f t="shared" si="17"/>
        <v>Thursday</v>
      </c>
    </row>
    <row r="373" spans="1:41" x14ac:dyDescent="0.2">
      <c r="B373" s="1">
        <v>45953</v>
      </c>
      <c r="C373" s="1">
        <f t="shared" si="15"/>
        <v>45961</v>
      </c>
      <c r="D373">
        <v>451</v>
      </c>
      <c r="E373">
        <v>0</v>
      </c>
      <c r="F373">
        <v>0</v>
      </c>
      <c r="G373">
        <v>0</v>
      </c>
      <c r="H373">
        <v>0</v>
      </c>
      <c r="I373">
        <v>0</v>
      </c>
      <c r="J373">
        <v>0</v>
      </c>
      <c r="K373">
        <v>0</v>
      </c>
      <c r="AN373">
        <f t="shared" si="16"/>
        <v>5</v>
      </c>
      <c r="AO373" t="str">
        <f t="shared" si="17"/>
        <v>Thursday</v>
      </c>
    </row>
    <row r="374" spans="1:41" x14ac:dyDescent="0.2">
      <c r="A374" t="s">
        <v>37</v>
      </c>
      <c r="B374" s="1">
        <v>45952</v>
      </c>
      <c r="C374" s="1">
        <f t="shared" si="15"/>
        <v>45961</v>
      </c>
      <c r="D374">
        <v>73</v>
      </c>
      <c r="E374">
        <v>115</v>
      </c>
      <c r="F374">
        <v>4</v>
      </c>
      <c r="G374">
        <v>12</v>
      </c>
      <c r="H374">
        <v>4</v>
      </c>
      <c r="I374">
        <v>0</v>
      </c>
      <c r="J374">
        <v>0</v>
      </c>
      <c r="K374">
        <v>31</v>
      </c>
      <c r="L374" t="s">
        <v>37</v>
      </c>
      <c r="M374" t="s">
        <v>38</v>
      </c>
      <c r="N374" s="1">
        <v>45952</v>
      </c>
      <c r="O374" s="2">
        <v>0.54201388888888891</v>
      </c>
      <c r="P374" s="2">
        <v>0.91677083333333331</v>
      </c>
      <c r="Q374">
        <v>9</v>
      </c>
      <c r="R374">
        <v>8.14</v>
      </c>
      <c r="S374">
        <v>4.2699999999999996</v>
      </c>
      <c r="T374">
        <v>0.61</v>
      </c>
      <c r="U374">
        <v>0</v>
      </c>
      <c r="V374">
        <v>0.15</v>
      </c>
      <c r="W374">
        <v>2.4500000000000002</v>
      </c>
      <c r="X374">
        <v>0.59</v>
      </c>
      <c r="Y374">
        <v>0</v>
      </c>
      <c r="Z374">
        <v>0</v>
      </c>
      <c r="AA374">
        <v>0</v>
      </c>
      <c r="AB374">
        <v>0.06</v>
      </c>
      <c r="AC374">
        <v>8.14</v>
      </c>
      <c r="AD374">
        <v>52.49</v>
      </c>
      <c r="AE374">
        <v>7.53</v>
      </c>
      <c r="AF374">
        <v>0</v>
      </c>
      <c r="AG374">
        <v>1.87</v>
      </c>
      <c r="AH374">
        <v>30.07</v>
      </c>
      <c r="AI374">
        <v>7.28</v>
      </c>
      <c r="AJ374">
        <v>0</v>
      </c>
      <c r="AK374">
        <v>0</v>
      </c>
      <c r="AL374">
        <v>0</v>
      </c>
      <c r="AM374">
        <v>0.76</v>
      </c>
      <c r="AN374">
        <f t="shared" si="16"/>
        <v>4</v>
      </c>
      <c r="AO374" t="str">
        <f t="shared" si="17"/>
        <v>Wednesday</v>
      </c>
    </row>
    <row r="375" spans="1:41" x14ac:dyDescent="0.2">
      <c r="A375" t="s">
        <v>39</v>
      </c>
      <c r="B375" s="1">
        <v>45952</v>
      </c>
      <c r="C375" s="1">
        <f t="shared" si="15"/>
        <v>45961</v>
      </c>
      <c r="D375">
        <v>59</v>
      </c>
      <c r="E375">
        <v>136</v>
      </c>
      <c r="F375">
        <v>12</v>
      </c>
      <c r="G375">
        <v>5</v>
      </c>
      <c r="H375">
        <v>12</v>
      </c>
      <c r="I375">
        <v>1</v>
      </c>
      <c r="J375">
        <v>0</v>
      </c>
      <c r="K375">
        <v>65</v>
      </c>
      <c r="L375" t="s">
        <v>39</v>
      </c>
      <c r="M375" t="s">
        <v>38</v>
      </c>
      <c r="N375" s="1">
        <v>45952</v>
      </c>
      <c r="O375" s="2">
        <v>0.54201388888888891</v>
      </c>
      <c r="P375" s="2">
        <v>0.91673611111111108</v>
      </c>
      <c r="Q375">
        <v>9</v>
      </c>
      <c r="R375">
        <v>8.99</v>
      </c>
      <c r="S375">
        <v>3.31</v>
      </c>
      <c r="T375">
        <v>0.12</v>
      </c>
      <c r="U375">
        <v>0</v>
      </c>
      <c r="V375">
        <v>0.1</v>
      </c>
      <c r="W375">
        <v>3.97</v>
      </c>
      <c r="X375">
        <v>1.5</v>
      </c>
      <c r="Y375">
        <v>0</v>
      </c>
      <c r="Z375">
        <v>0</v>
      </c>
      <c r="AA375">
        <v>0</v>
      </c>
      <c r="AB375">
        <v>0</v>
      </c>
      <c r="AC375">
        <v>8.99</v>
      </c>
      <c r="AD375">
        <v>36.799999999999997</v>
      </c>
      <c r="AE375">
        <v>1.37</v>
      </c>
      <c r="AF375">
        <v>0</v>
      </c>
      <c r="AG375">
        <v>1.07</v>
      </c>
      <c r="AH375">
        <v>44.09</v>
      </c>
      <c r="AI375">
        <v>16.63</v>
      </c>
      <c r="AJ375">
        <v>0</v>
      </c>
      <c r="AK375">
        <v>0</v>
      </c>
      <c r="AL375">
        <v>0</v>
      </c>
      <c r="AM375">
        <v>0.03</v>
      </c>
      <c r="AN375">
        <f t="shared" si="16"/>
        <v>4</v>
      </c>
      <c r="AO375" t="str">
        <f t="shared" si="17"/>
        <v>Wednesday</v>
      </c>
    </row>
    <row r="376" spans="1:41" x14ac:dyDescent="0.2">
      <c r="A376" t="s">
        <v>40</v>
      </c>
      <c r="B376" s="1">
        <v>45952</v>
      </c>
      <c r="C376" s="1">
        <f t="shared" si="15"/>
        <v>45961</v>
      </c>
      <c r="D376">
        <v>98</v>
      </c>
      <c r="E376">
        <v>116</v>
      </c>
      <c r="F376">
        <v>1</v>
      </c>
      <c r="G376">
        <v>1</v>
      </c>
      <c r="H376">
        <v>6</v>
      </c>
      <c r="I376">
        <v>0</v>
      </c>
      <c r="J376">
        <v>0</v>
      </c>
      <c r="K376">
        <v>16</v>
      </c>
      <c r="L376" t="s">
        <v>40</v>
      </c>
      <c r="M376" t="s">
        <v>38</v>
      </c>
      <c r="N376" s="1">
        <v>45952</v>
      </c>
      <c r="O376" s="2">
        <v>0.54329861111111111</v>
      </c>
      <c r="P376" s="2">
        <v>0.91670138888888886</v>
      </c>
      <c r="Q376">
        <v>8.9700000000000006</v>
      </c>
      <c r="R376">
        <v>8.9600000000000009</v>
      </c>
      <c r="S376">
        <v>5.24</v>
      </c>
      <c r="T376">
        <v>0.93</v>
      </c>
      <c r="U376">
        <v>0</v>
      </c>
      <c r="V376">
        <v>0.12</v>
      </c>
      <c r="W376">
        <v>1.1299999999999999</v>
      </c>
      <c r="X376">
        <v>1.54</v>
      </c>
      <c r="Y376">
        <v>0</v>
      </c>
      <c r="Z376">
        <v>0</v>
      </c>
      <c r="AA376">
        <v>0</v>
      </c>
      <c r="AB376">
        <v>0</v>
      </c>
      <c r="AC376">
        <v>8.9600000000000009</v>
      </c>
      <c r="AD376">
        <v>58.53</v>
      </c>
      <c r="AE376">
        <v>10.33</v>
      </c>
      <c r="AF376">
        <v>0</v>
      </c>
      <c r="AG376">
        <v>1.38</v>
      </c>
      <c r="AH376">
        <v>12.58</v>
      </c>
      <c r="AI376">
        <v>17.149999999999999</v>
      </c>
      <c r="AJ376">
        <v>0</v>
      </c>
      <c r="AK376">
        <v>0</v>
      </c>
      <c r="AL376">
        <v>0</v>
      </c>
      <c r="AM376">
        <v>0.04</v>
      </c>
      <c r="AN376">
        <f t="shared" si="16"/>
        <v>4</v>
      </c>
      <c r="AO376" t="str">
        <f t="shared" si="17"/>
        <v>Wednesday</v>
      </c>
    </row>
    <row r="377" spans="1:41" x14ac:dyDescent="0.2">
      <c r="A377" t="s">
        <v>41</v>
      </c>
      <c r="B377" s="1">
        <v>45952</v>
      </c>
      <c r="C377" s="1">
        <f t="shared" si="15"/>
        <v>45961</v>
      </c>
      <c r="D377">
        <v>109</v>
      </c>
      <c r="E377">
        <v>155</v>
      </c>
      <c r="F377">
        <v>2</v>
      </c>
      <c r="G377">
        <v>16</v>
      </c>
      <c r="H377">
        <v>1</v>
      </c>
      <c r="I377">
        <v>0</v>
      </c>
      <c r="J377">
        <v>1</v>
      </c>
      <c r="K377">
        <v>26</v>
      </c>
      <c r="L377" t="s">
        <v>41</v>
      </c>
      <c r="M377" t="s">
        <v>38</v>
      </c>
      <c r="N377" s="1">
        <v>45952</v>
      </c>
      <c r="O377" s="2">
        <v>0.54189814814814818</v>
      </c>
      <c r="P377" s="2">
        <v>0.91774305555555558</v>
      </c>
      <c r="Q377">
        <v>9.02</v>
      </c>
      <c r="R377">
        <v>8.65</v>
      </c>
      <c r="S377">
        <v>4.96</v>
      </c>
      <c r="T377">
        <v>0.75</v>
      </c>
      <c r="U377">
        <v>0</v>
      </c>
      <c r="V377">
        <v>0.18</v>
      </c>
      <c r="W377">
        <v>1.67</v>
      </c>
      <c r="X377">
        <v>1.08</v>
      </c>
      <c r="Y377">
        <v>0</v>
      </c>
      <c r="Z377">
        <v>0</v>
      </c>
      <c r="AA377">
        <v>0</v>
      </c>
      <c r="AB377">
        <v>0.01</v>
      </c>
      <c r="AC377">
        <v>8.65</v>
      </c>
      <c r="AD377">
        <v>57.3</v>
      </c>
      <c r="AE377">
        <v>8.67</v>
      </c>
      <c r="AF377">
        <v>0</v>
      </c>
      <c r="AG377">
        <v>2.13</v>
      </c>
      <c r="AH377">
        <v>19.29</v>
      </c>
      <c r="AI377">
        <v>12.53</v>
      </c>
      <c r="AJ377">
        <v>0</v>
      </c>
      <c r="AK377">
        <v>0</v>
      </c>
      <c r="AL377">
        <v>0</v>
      </c>
      <c r="AM377">
        <v>0.09</v>
      </c>
      <c r="AN377">
        <f t="shared" si="16"/>
        <v>4</v>
      </c>
      <c r="AO377" t="str">
        <f t="shared" si="17"/>
        <v>Wednesday</v>
      </c>
    </row>
    <row r="378" spans="1:41" x14ac:dyDescent="0.2">
      <c r="A378" t="s">
        <v>43</v>
      </c>
      <c r="B378" s="1">
        <v>45952</v>
      </c>
      <c r="C378" s="1">
        <f t="shared" si="15"/>
        <v>45961</v>
      </c>
      <c r="D378">
        <v>107</v>
      </c>
      <c r="E378">
        <v>153</v>
      </c>
      <c r="F378">
        <v>4</v>
      </c>
      <c r="G378">
        <v>6</v>
      </c>
      <c r="H378">
        <v>1</v>
      </c>
      <c r="I378">
        <v>1</v>
      </c>
      <c r="J378">
        <v>1</v>
      </c>
      <c r="K378">
        <v>37</v>
      </c>
      <c r="L378" t="s">
        <v>43</v>
      </c>
      <c r="M378" t="s">
        <v>38</v>
      </c>
      <c r="N378" s="1">
        <v>45952</v>
      </c>
      <c r="O378" s="2">
        <v>0.54200231481481487</v>
      </c>
      <c r="P378" s="2">
        <v>0.9208912037037037</v>
      </c>
      <c r="Q378">
        <v>9.1</v>
      </c>
      <c r="R378">
        <v>9.09</v>
      </c>
      <c r="S378">
        <v>4.37</v>
      </c>
      <c r="T378">
        <v>0.34</v>
      </c>
      <c r="U378">
        <v>0</v>
      </c>
      <c r="V378">
        <v>0.36</v>
      </c>
      <c r="W378">
        <v>2.6</v>
      </c>
      <c r="X378">
        <v>1.42</v>
      </c>
      <c r="Y378">
        <v>0.01</v>
      </c>
      <c r="Z378">
        <v>0</v>
      </c>
      <c r="AA378">
        <v>0</v>
      </c>
      <c r="AB378">
        <v>0.01</v>
      </c>
      <c r="AC378">
        <v>9.09</v>
      </c>
      <c r="AD378">
        <v>48.01</v>
      </c>
      <c r="AE378">
        <v>3.7</v>
      </c>
      <c r="AF378">
        <v>0</v>
      </c>
      <c r="AG378">
        <v>3.9</v>
      </c>
      <c r="AH378">
        <v>28.62</v>
      </c>
      <c r="AI378">
        <v>15.58</v>
      </c>
      <c r="AJ378">
        <v>0.13</v>
      </c>
      <c r="AK378">
        <v>0</v>
      </c>
      <c r="AL378">
        <v>0</v>
      </c>
      <c r="AM378">
        <v>0.06</v>
      </c>
      <c r="AN378">
        <f t="shared" si="16"/>
        <v>4</v>
      </c>
      <c r="AO378" t="str">
        <f t="shared" si="17"/>
        <v>Wednesday</v>
      </c>
    </row>
    <row r="379" spans="1:41" x14ac:dyDescent="0.2">
      <c r="B379" s="1">
        <v>45952</v>
      </c>
      <c r="C379" s="1">
        <f t="shared" si="15"/>
        <v>45961</v>
      </c>
      <c r="D379">
        <v>390</v>
      </c>
      <c r="E379">
        <v>0</v>
      </c>
      <c r="F379">
        <v>0</v>
      </c>
      <c r="G379">
        <v>0</v>
      </c>
      <c r="H379">
        <v>0</v>
      </c>
      <c r="I379">
        <v>0</v>
      </c>
      <c r="J379">
        <v>0</v>
      </c>
      <c r="K379">
        <v>0</v>
      </c>
      <c r="AN379">
        <f t="shared" si="16"/>
        <v>4</v>
      </c>
      <c r="AO379" t="str">
        <f t="shared" si="17"/>
        <v>Wednesday</v>
      </c>
    </row>
    <row r="380" spans="1:41" x14ac:dyDescent="0.2">
      <c r="A380" t="s">
        <v>37</v>
      </c>
      <c r="B380" s="1">
        <v>45951</v>
      </c>
      <c r="C380" s="1">
        <f t="shared" si="15"/>
        <v>45961</v>
      </c>
      <c r="D380">
        <v>84</v>
      </c>
      <c r="E380">
        <v>127</v>
      </c>
      <c r="F380">
        <v>5</v>
      </c>
      <c r="G380">
        <v>7</v>
      </c>
      <c r="H380">
        <v>5</v>
      </c>
      <c r="I380">
        <v>0</v>
      </c>
      <c r="J380">
        <v>1</v>
      </c>
      <c r="K380">
        <v>28</v>
      </c>
      <c r="L380" t="s">
        <v>37</v>
      </c>
      <c r="M380" t="s">
        <v>38</v>
      </c>
      <c r="N380" s="1">
        <v>45951</v>
      </c>
      <c r="O380" s="2">
        <v>0.54232638888888884</v>
      </c>
      <c r="P380" s="2">
        <v>0.91928240740740741</v>
      </c>
      <c r="Q380">
        <v>9.0500000000000007</v>
      </c>
      <c r="R380">
        <v>8.07</v>
      </c>
      <c r="S380">
        <v>5.28</v>
      </c>
      <c r="T380">
        <v>0.24</v>
      </c>
      <c r="U380">
        <v>0</v>
      </c>
      <c r="V380">
        <v>0.14000000000000001</v>
      </c>
      <c r="W380">
        <v>1.85</v>
      </c>
      <c r="X380">
        <v>0.54</v>
      </c>
      <c r="Y380">
        <v>0</v>
      </c>
      <c r="Z380">
        <v>0</v>
      </c>
      <c r="AA380">
        <v>0</v>
      </c>
      <c r="AB380">
        <v>0.01</v>
      </c>
      <c r="AC380">
        <v>8.07</v>
      </c>
      <c r="AD380">
        <v>65.39</v>
      </c>
      <c r="AE380">
        <v>3.01</v>
      </c>
      <c r="AF380">
        <v>0</v>
      </c>
      <c r="AG380">
        <v>1.78</v>
      </c>
      <c r="AH380">
        <v>22.89</v>
      </c>
      <c r="AI380">
        <v>6.75</v>
      </c>
      <c r="AJ380">
        <v>0</v>
      </c>
      <c r="AK380">
        <v>0</v>
      </c>
      <c r="AL380">
        <v>0</v>
      </c>
      <c r="AM380">
        <v>0.18</v>
      </c>
      <c r="AN380">
        <f t="shared" si="16"/>
        <v>3</v>
      </c>
      <c r="AO380" t="str">
        <f t="shared" si="17"/>
        <v>Tuesday</v>
      </c>
    </row>
    <row r="381" spans="1:41" x14ac:dyDescent="0.2">
      <c r="A381" t="s">
        <v>39</v>
      </c>
      <c r="B381" s="1">
        <v>45951</v>
      </c>
      <c r="C381" s="1">
        <f t="shared" si="15"/>
        <v>45961</v>
      </c>
      <c r="D381">
        <v>143</v>
      </c>
      <c r="E381">
        <v>223</v>
      </c>
      <c r="F381">
        <v>15</v>
      </c>
      <c r="G381">
        <v>12</v>
      </c>
      <c r="H381">
        <v>13</v>
      </c>
      <c r="I381">
        <v>0</v>
      </c>
      <c r="J381">
        <v>0</v>
      </c>
      <c r="K381">
        <v>53</v>
      </c>
      <c r="L381" t="s">
        <v>39</v>
      </c>
      <c r="M381" t="s">
        <v>38</v>
      </c>
      <c r="N381" s="1">
        <v>45951</v>
      </c>
      <c r="O381" s="2">
        <v>0.54189814814814818</v>
      </c>
      <c r="P381" s="2">
        <v>0.91670138888888886</v>
      </c>
      <c r="Q381">
        <v>9</v>
      </c>
      <c r="R381">
        <v>8.99</v>
      </c>
      <c r="S381">
        <v>5.56</v>
      </c>
      <c r="T381">
        <v>0.05</v>
      </c>
      <c r="U381">
        <v>0</v>
      </c>
      <c r="V381">
        <v>0.1</v>
      </c>
      <c r="W381">
        <v>2.02</v>
      </c>
      <c r="X381">
        <v>1.24</v>
      </c>
      <c r="Y381">
        <v>0</v>
      </c>
      <c r="Z381">
        <v>0</v>
      </c>
      <c r="AA381">
        <v>0</v>
      </c>
      <c r="AB381">
        <v>0</v>
      </c>
      <c r="AC381">
        <v>8.99</v>
      </c>
      <c r="AD381">
        <v>61.85</v>
      </c>
      <c r="AE381">
        <v>0.61</v>
      </c>
      <c r="AF381">
        <v>0</v>
      </c>
      <c r="AG381">
        <v>1.1599999999999999</v>
      </c>
      <c r="AH381">
        <v>22.48</v>
      </c>
      <c r="AI381">
        <v>13.84</v>
      </c>
      <c r="AJ381">
        <v>0</v>
      </c>
      <c r="AK381">
        <v>0</v>
      </c>
      <c r="AL381">
        <v>0</v>
      </c>
      <c r="AM381">
        <v>0.05</v>
      </c>
      <c r="AN381">
        <f t="shared" si="16"/>
        <v>3</v>
      </c>
      <c r="AO381" t="str">
        <f t="shared" si="17"/>
        <v>Tuesday</v>
      </c>
    </row>
    <row r="382" spans="1:41" x14ac:dyDescent="0.2">
      <c r="A382" t="s">
        <v>40</v>
      </c>
      <c r="B382" s="1">
        <v>45951</v>
      </c>
      <c r="C382" s="1">
        <f t="shared" si="15"/>
        <v>45961</v>
      </c>
      <c r="D382">
        <v>96</v>
      </c>
      <c r="E382">
        <v>120</v>
      </c>
      <c r="F382">
        <v>7</v>
      </c>
      <c r="G382">
        <v>3</v>
      </c>
      <c r="H382">
        <v>5</v>
      </c>
      <c r="I382">
        <v>0</v>
      </c>
      <c r="J382">
        <v>1</v>
      </c>
      <c r="K382">
        <v>8</v>
      </c>
      <c r="L382" t="s">
        <v>40</v>
      </c>
      <c r="M382" t="s">
        <v>38</v>
      </c>
      <c r="N382" s="1">
        <v>45951</v>
      </c>
      <c r="O382" s="2">
        <v>0.54314814814814816</v>
      </c>
      <c r="P382" s="2">
        <v>0.91697916666666668</v>
      </c>
      <c r="Q382">
        <v>8.9700000000000006</v>
      </c>
      <c r="R382">
        <v>8.9700000000000006</v>
      </c>
      <c r="S382">
        <v>6.64</v>
      </c>
      <c r="T382">
        <v>0.26</v>
      </c>
      <c r="U382">
        <v>0</v>
      </c>
      <c r="V382">
        <v>0.12</v>
      </c>
      <c r="W382">
        <v>0</v>
      </c>
      <c r="X382">
        <v>1.48</v>
      </c>
      <c r="Y382">
        <v>0.45</v>
      </c>
      <c r="Z382">
        <v>0</v>
      </c>
      <c r="AA382">
        <v>0</v>
      </c>
      <c r="AB382">
        <v>0</v>
      </c>
      <c r="AC382">
        <v>8.9700000000000006</v>
      </c>
      <c r="AD382">
        <v>74.05</v>
      </c>
      <c r="AE382">
        <v>2.92</v>
      </c>
      <c r="AF382">
        <v>0</v>
      </c>
      <c r="AG382">
        <v>1.38</v>
      </c>
      <c r="AH382">
        <v>0.02</v>
      </c>
      <c r="AI382">
        <v>16.54</v>
      </c>
      <c r="AJ382">
        <v>5.0599999999999996</v>
      </c>
      <c r="AK382">
        <v>0</v>
      </c>
      <c r="AL382">
        <v>0</v>
      </c>
      <c r="AM382">
        <v>0.03</v>
      </c>
      <c r="AN382">
        <f t="shared" si="16"/>
        <v>3</v>
      </c>
      <c r="AO382" t="str">
        <f t="shared" si="17"/>
        <v>Tuesday</v>
      </c>
    </row>
    <row r="383" spans="1:41" x14ac:dyDescent="0.2">
      <c r="A383" t="s">
        <v>41</v>
      </c>
      <c r="B383" s="1">
        <v>45951</v>
      </c>
      <c r="C383" s="1">
        <f t="shared" si="15"/>
        <v>45961</v>
      </c>
      <c r="D383">
        <v>107</v>
      </c>
      <c r="E383">
        <v>149</v>
      </c>
      <c r="F383">
        <v>3</v>
      </c>
      <c r="G383">
        <v>14</v>
      </c>
      <c r="H383">
        <v>2</v>
      </c>
      <c r="I383">
        <v>0</v>
      </c>
      <c r="J383">
        <v>3</v>
      </c>
      <c r="K383">
        <v>24</v>
      </c>
      <c r="L383" t="s">
        <v>41</v>
      </c>
      <c r="M383" t="s">
        <v>38</v>
      </c>
      <c r="N383" s="1">
        <v>45951</v>
      </c>
      <c r="O383" s="2">
        <v>0.54186342592592596</v>
      </c>
      <c r="P383" s="2">
        <v>0.81251157407407404</v>
      </c>
      <c r="Q383">
        <v>6.5</v>
      </c>
      <c r="R383">
        <v>6.49</v>
      </c>
      <c r="S383">
        <v>3.21</v>
      </c>
      <c r="T383">
        <v>0.24</v>
      </c>
      <c r="U383">
        <v>0</v>
      </c>
      <c r="V383">
        <v>0.24</v>
      </c>
      <c r="W383">
        <v>1.36</v>
      </c>
      <c r="X383">
        <v>1.45</v>
      </c>
      <c r="Y383">
        <v>0</v>
      </c>
      <c r="Z383">
        <v>0</v>
      </c>
      <c r="AA383">
        <v>0</v>
      </c>
      <c r="AB383">
        <v>0</v>
      </c>
      <c r="AC383">
        <v>6.49</v>
      </c>
      <c r="AD383">
        <v>49.43</v>
      </c>
      <c r="AE383">
        <v>3.67</v>
      </c>
      <c r="AF383">
        <v>0</v>
      </c>
      <c r="AG383">
        <v>3.67</v>
      </c>
      <c r="AH383">
        <v>20.87</v>
      </c>
      <c r="AI383">
        <v>22.32</v>
      </c>
      <c r="AJ383">
        <v>0</v>
      </c>
      <c r="AK383">
        <v>0</v>
      </c>
      <c r="AL383">
        <v>0</v>
      </c>
      <c r="AM383">
        <v>0.05</v>
      </c>
      <c r="AN383">
        <f t="shared" si="16"/>
        <v>3</v>
      </c>
      <c r="AO383" t="str">
        <f t="shared" si="17"/>
        <v>Tuesday</v>
      </c>
    </row>
    <row r="384" spans="1:41" x14ac:dyDescent="0.2">
      <c r="A384" t="s">
        <v>43</v>
      </c>
      <c r="B384" s="1">
        <v>45951</v>
      </c>
      <c r="C384" s="1">
        <f t="shared" si="15"/>
        <v>45961</v>
      </c>
      <c r="D384">
        <v>92</v>
      </c>
      <c r="E384">
        <v>133</v>
      </c>
      <c r="F384">
        <v>11</v>
      </c>
      <c r="G384">
        <v>9</v>
      </c>
      <c r="H384">
        <v>11</v>
      </c>
      <c r="I384">
        <v>0</v>
      </c>
      <c r="J384">
        <v>2</v>
      </c>
      <c r="K384">
        <v>24</v>
      </c>
      <c r="L384" t="s">
        <v>43</v>
      </c>
      <c r="M384" t="s">
        <v>38</v>
      </c>
      <c r="N384" s="1">
        <v>45951</v>
      </c>
      <c r="O384" s="2">
        <v>0.54174768518518523</v>
      </c>
      <c r="P384" s="2">
        <v>0.91825231481481484</v>
      </c>
      <c r="Q384">
        <v>9.0299999999999994</v>
      </c>
      <c r="R384">
        <v>9.0399999999999991</v>
      </c>
      <c r="S384">
        <v>5.75</v>
      </c>
      <c r="T384">
        <v>0.31</v>
      </c>
      <c r="U384">
        <v>0</v>
      </c>
      <c r="V384">
        <v>0.44</v>
      </c>
      <c r="W384">
        <v>1.1000000000000001</v>
      </c>
      <c r="X384">
        <v>1.43</v>
      </c>
      <c r="Y384">
        <v>0</v>
      </c>
      <c r="Z384">
        <v>0</v>
      </c>
      <c r="AA384">
        <v>0</v>
      </c>
      <c r="AB384">
        <v>0</v>
      </c>
      <c r="AC384">
        <v>9.0399999999999991</v>
      </c>
      <c r="AD384">
        <v>63.63</v>
      </c>
      <c r="AE384">
        <v>3.4</v>
      </c>
      <c r="AF384">
        <v>0</v>
      </c>
      <c r="AG384">
        <v>4.88</v>
      </c>
      <c r="AH384">
        <v>12.21</v>
      </c>
      <c r="AI384">
        <v>15.84</v>
      </c>
      <c r="AJ384">
        <v>0</v>
      </c>
      <c r="AK384">
        <v>0</v>
      </c>
      <c r="AL384">
        <v>0</v>
      </c>
      <c r="AM384">
        <v>0.04</v>
      </c>
      <c r="AN384">
        <f t="shared" si="16"/>
        <v>3</v>
      </c>
      <c r="AO384" t="str">
        <f t="shared" si="17"/>
        <v>Tuesday</v>
      </c>
    </row>
    <row r="385" spans="1:41" x14ac:dyDescent="0.2">
      <c r="B385" s="1">
        <v>45951</v>
      </c>
      <c r="C385" s="1">
        <f t="shared" si="15"/>
        <v>45961</v>
      </c>
      <c r="D385">
        <v>371</v>
      </c>
      <c r="E385">
        <v>0</v>
      </c>
      <c r="F385">
        <v>0</v>
      </c>
      <c r="G385">
        <v>0</v>
      </c>
      <c r="H385">
        <v>0</v>
      </c>
      <c r="I385">
        <v>0</v>
      </c>
      <c r="J385">
        <v>0</v>
      </c>
      <c r="K385">
        <v>0</v>
      </c>
      <c r="AN385">
        <f t="shared" si="16"/>
        <v>3</v>
      </c>
      <c r="AO385" t="str">
        <f t="shared" si="17"/>
        <v>Tuesday</v>
      </c>
    </row>
    <row r="386" spans="1:41" x14ac:dyDescent="0.2">
      <c r="A386" t="s">
        <v>37</v>
      </c>
      <c r="B386" s="1">
        <v>45950</v>
      </c>
      <c r="C386" s="1">
        <f t="shared" si="15"/>
        <v>45961</v>
      </c>
      <c r="D386">
        <v>85</v>
      </c>
      <c r="E386">
        <v>98</v>
      </c>
      <c r="F386">
        <v>5</v>
      </c>
      <c r="G386">
        <v>5</v>
      </c>
      <c r="H386">
        <v>6</v>
      </c>
      <c r="I386">
        <v>0</v>
      </c>
      <c r="J386">
        <v>1</v>
      </c>
      <c r="K386">
        <v>11</v>
      </c>
      <c r="L386" t="s">
        <v>37</v>
      </c>
      <c r="M386" t="s">
        <v>38</v>
      </c>
      <c r="N386" s="1">
        <v>45950</v>
      </c>
      <c r="O386" s="2">
        <v>0.54233796296296299</v>
      </c>
      <c r="P386" s="2">
        <v>0.91684027777777777</v>
      </c>
      <c r="Q386">
        <v>9</v>
      </c>
      <c r="R386">
        <v>8.0500000000000007</v>
      </c>
      <c r="S386">
        <v>2.75</v>
      </c>
      <c r="T386">
        <v>0.32</v>
      </c>
      <c r="U386">
        <v>0</v>
      </c>
      <c r="V386">
        <v>0.08</v>
      </c>
      <c r="W386">
        <v>4.33</v>
      </c>
      <c r="X386">
        <v>0.55000000000000004</v>
      </c>
      <c r="Y386">
        <v>0</v>
      </c>
      <c r="Z386">
        <v>0</v>
      </c>
      <c r="AA386">
        <v>0</v>
      </c>
      <c r="AB386">
        <v>0.02</v>
      </c>
      <c r="AC386">
        <v>8.0500000000000007</v>
      </c>
      <c r="AD386">
        <v>34.119999999999997</v>
      </c>
      <c r="AE386">
        <v>3.99</v>
      </c>
      <c r="AF386">
        <v>0</v>
      </c>
      <c r="AG386">
        <v>1.01</v>
      </c>
      <c r="AH386">
        <v>53.72</v>
      </c>
      <c r="AI386">
        <v>6.88</v>
      </c>
      <c r="AJ386">
        <v>0</v>
      </c>
      <c r="AK386">
        <v>0</v>
      </c>
      <c r="AL386">
        <v>0</v>
      </c>
      <c r="AM386">
        <v>0.27</v>
      </c>
      <c r="AN386">
        <f t="shared" si="16"/>
        <v>2</v>
      </c>
      <c r="AO386" t="str">
        <f t="shared" si="17"/>
        <v>Monday</v>
      </c>
    </row>
    <row r="387" spans="1:41" x14ac:dyDescent="0.2">
      <c r="A387" t="s">
        <v>39</v>
      </c>
      <c r="B387" s="1">
        <v>45950</v>
      </c>
      <c r="C387" s="1">
        <f t="shared" ref="C387:C450" si="18">EOMONTH(B387,0)</f>
        <v>45961</v>
      </c>
      <c r="D387">
        <v>100</v>
      </c>
      <c r="E387">
        <v>123</v>
      </c>
      <c r="F387">
        <v>4</v>
      </c>
      <c r="G387">
        <v>7</v>
      </c>
      <c r="H387">
        <v>6</v>
      </c>
      <c r="I387">
        <v>1</v>
      </c>
      <c r="J387">
        <v>0</v>
      </c>
      <c r="K387">
        <v>23</v>
      </c>
      <c r="L387" t="s">
        <v>39</v>
      </c>
      <c r="M387" t="s">
        <v>38</v>
      </c>
      <c r="N387" s="1">
        <v>45950</v>
      </c>
      <c r="O387" s="2">
        <v>0.54193287037037041</v>
      </c>
      <c r="P387" s="2">
        <v>0.91670138888888886</v>
      </c>
      <c r="Q387">
        <v>9</v>
      </c>
      <c r="R387">
        <v>8.99</v>
      </c>
      <c r="S387">
        <v>2.96</v>
      </c>
      <c r="T387">
        <v>0.17</v>
      </c>
      <c r="U387">
        <v>0</v>
      </c>
      <c r="V387">
        <v>7.0000000000000007E-2</v>
      </c>
      <c r="W387">
        <v>4.32</v>
      </c>
      <c r="X387">
        <v>1.47</v>
      </c>
      <c r="Y387">
        <v>0</v>
      </c>
      <c r="Z387">
        <v>0</v>
      </c>
      <c r="AA387">
        <v>0</v>
      </c>
      <c r="AB387">
        <v>0.01</v>
      </c>
      <c r="AC387">
        <v>8.99</v>
      </c>
      <c r="AD387">
        <v>32.9</v>
      </c>
      <c r="AE387">
        <v>1.88</v>
      </c>
      <c r="AF387">
        <v>0</v>
      </c>
      <c r="AG387">
        <v>0.8</v>
      </c>
      <c r="AH387">
        <v>48.03</v>
      </c>
      <c r="AI387">
        <v>16.29</v>
      </c>
      <c r="AJ387">
        <v>0</v>
      </c>
      <c r="AK387">
        <v>0</v>
      </c>
      <c r="AL387">
        <v>0</v>
      </c>
      <c r="AM387">
        <v>0.1</v>
      </c>
      <c r="AN387">
        <f t="shared" ref="AN387:AN450" si="19">WEEKDAY(B387,1)</f>
        <v>2</v>
      </c>
      <c r="AO387" t="str">
        <f t="shared" ref="AO387:AO450" si="20">VLOOKUP(AN387,$AY$2:$AZ$8,2,FALSE)</f>
        <v>Monday</v>
      </c>
    </row>
    <row r="388" spans="1:41" x14ac:dyDescent="0.2">
      <c r="A388" t="s">
        <v>40</v>
      </c>
      <c r="B388" s="1">
        <v>45950</v>
      </c>
      <c r="C388" s="1">
        <f t="shared" si="18"/>
        <v>45961</v>
      </c>
      <c r="D388">
        <v>57</v>
      </c>
      <c r="E388">
        <v>68</v>
      </c>
      <c r="F388">
        <v>4</v>
      </c>
      <c r="G388">
        <v>1</v>
      </c>
      <c r="H388">
        <v>5</v>
      </c>
      <c r="I388">
        <v>1</v>
      </c>
      <c r="J388">
        <v>0</v>
      </c>
      <c r="K388">
        <v>5</v>
      </c>
      <c r="L388" t="s">
        <v>40</v>
      </c>
      <c r="M388" t="s">
        <v>38</v>
      </c>
      <c r="N388" s="1">
        <v>45950</v>
      </c>
      <c r="O388" s="2">
        <v>0.5440625</v>
      </c>
      <c r="P388" s="2">
        <v>0.91667824074074078</v>
      </c>
      <c r="Q388">
        <v>8.9499999999999993</v>
      </c>
      <c r="R388">
        <v>8.94</v>
      </c>
      <c r="S388">
        <v>3.47</v>
      </c>
      <c r="T388">
        <v>0.32</v>
      </c>
      <c r="U388">
        <v>0</v>
      </c>
      <c r="V388">
        <v>0.14000000000000001</v>
      </c>
      <c r="W388">
        <v>3.04</v>
      </c>
      <c r="X388">
        <v>1.53</v>
      </c>
      <c r="Y388">
        <v>0.44</v>
      </c>
      <c r="Z388">
        <v>0</v>
      </c>
      <c r="AA388">
        <v>0</v>
      </c>
      <c r="AB388">
        <v>0</v>
      </c>
      <c r="AC388">
        <v>8.94</v>
      </c>
      <c r="AD388">
        <v>38.840000000000003</v>
      </c>
      <c r="AE388">
        <v>3.54</v>
      </c>
      <c r="AF388">
        <v>0</v>
      </c>
      <c r="AG388">
        <v>1.54</v>
      </c>
      <c r="AH388">
        <v>34.01</v>
      </c>
      <c r="AI388">
        <v>17.11</v>
      </c>
      <c r="AJ388">
        <v>4.92</v>
      </c>
      <c r="AK388">
        <v>0</v>
      </c>
      <c r="AL388">
        <v>0</v>
      </c>
      <c r="AM388">
        <v>0.04</v>
      </c>
      <c r="AN388">
        <f t="shared" si="19"/>
        <v>2</v>
      </c>
      <c r="AO388" t="str">
        <f t="shared" si="20"/>
        <v>Monday</v>
      </c>
    </row>
    <row r="389" spans="1:41" x14ac:dyDescent="0.2">
      <c r="A389" t="s">
        <v>41</v>
      </c>
      <c r="B389" s="1">
        <v>45950</v>
      </c>
      <c r="C389" s="1">
        <f t="shared" si="18"/>
        <v>45961</v>
      </c>
      <c r="D389">
        <v>106</v>
      </c>
      <c r="E389">
        <v>134</v>
      </c>
      <c r="F389">
        <v>6</v>
      </c>
      <c r="G389">
        <v>9</v>
      </c>
      <c r="H389">
        <v>5</v>
      </c>
      <c r="I389">
        <v>0</v>
      </c>
      <c r="J389">
        <v>2</v>
      </c>
      <c r="K389">
        <v>30</v>
      </c>
      <c r="L389" t="s">
        <v>41</v>
      </c>
      <c r="M389" t="s">
        <v>38</v>
      </c>
      <c r="N389" s="1">
        <v>45950</v>
      </c>
      <c r="O389" s="2">
        <v>0.54177083333333331</v>
      </c>
      <c r="P389" s="2">
        <v>0.91638888888888892</v>
      </c>
      <c r="Q389">
        <v>8.98</v>
      </c>
      <c r="R389">
        <v>8.99</v>
      </c>
      <c r="S389">
        <v>2.58</v>
      </c>
      <c r="T389">
        <v>0.61</v>
      </c>
      <c r="U389">
        <v>0</v>
      </c>
      <c r="V389">
        <v>0.06</v>
      </c>
      <c r="W389">
        <v>4.3</v>
      </c>
      <c r="X389">
        <v>1.43</v>
      </c>
      <c r="Y389">
        <v>0</v>
      </c>
      <c r="Z389">
        <v>0</v>
      </c>
      <c r="AA389">
        <v>0</v>
      </c>
      <c r="AB389">
        <v>0</v>
      </c>
      <c r="AC389">
        <v>8.99</v>
      </c>
      <c r="AD389">
        <v>28.72</v>
      </c>
      <c r="AE389">
        <v>6.75</v>
      </c>
      <c r="AF389">
        <v>0</v>
      </c>
      <c r="AG389">
        <v>0.72</v>
      </c>
      <c r="AH389">
        <v>47.87</v>
      </c>
      <c r="AI389">
        <v>15.9</v>
      </c>
      <c r="AJ389">
        <v>0</v>
      </c>
      <c r="AK389">
        <v>0</v>
      </c>
      <c r="AL389">
        <v>0</v>
      </c>
      <c r="AM389">
        <v>0.04</v>
      </c>
      <c r="AN389">
        <f t="shared" si="19"/>
        <v>2</v>
      </c>
      <c r="AO389" t="str">
        <f t="shared" si="20"/>
        <v>Monday</v>
      </c>
    </row>
    <row r="390" spans="1:41" x14ac:dyDescent="0.2">
      <c r="A390" t="s">
        <v>43</v>
      </c>
      <c r="B390" s="1">
        <v>45950</v>
      </c>
      <c r="C390" s="1">
        <f t="shared" si="18"/>
        <v>45961</v>
      </c>
      <c r="D390">
        <v>71</v>
      </c>
      <c r="E390">
        <v>140</v>
      </c>
      <c r="F390">
        <v>18</v>
      </c>
      <c r="G390">
        <v>21</v>
      </c>
      <c r="H390">
        <v>6</v>
      </c>
      <c r="I390">
        <v>0</v>
      </c>
      <c r="J390">
        <v>5</v>
      </c>
      <c r="K390">
        <v>40</v>
      </c>
      <c r="L390" t="s">
        <v>43</v>
      </c>
      <c r="M390" t="s">
        <v>38</v>
      </c>
      <c r="N390" s="1">
        <v>45950</v>
      </c>
      <c r="O390" s="2">
        <v>0.55253472222222222</v>
      </c>
      <c r="P390" s="2">
        <v>0.93172453703703706</v>
      </c>
      <c r="Q390">
        <v>9.1</v>
      </c>
      <c r="R390">
        <v>9.1</v>
      </c>
      <c r="S390">
        <v>2.75</v>
      </c>
      <c r="T390">
        <v>0.3</v>
      </c>
      <c r="U390">
        <v>0</v>
      </c>
      <c r="V390">
        <v>0.5</v>
      </c>
      <c r="W390">
        <v>4.1100000000000003</v>
      </c>
      <c r="X390">
        <v>1.44</v>
      </c>
      <c r="Y390">
        <v>0</v>
      </c>
      <c r="Z390">
        <v>0</v>
      </c>
      <c r="AA390">
        <v>0</v>
      </c>
      <c r="AB390">
        <v>0</v>
      </c>
      <c r="AC390">
        <v>9.1</v>
      </c>
      <c r="AD390">
        <v>30.19</v>
      </c>
      <c r="AE390">
        <v>3.32</v>
      </c>
      <c r="AF390">
        <v>0</v>
      </c>
      <c r="AG390">
        <v>5.53</v>
      </c>
      <c r="AH390">
        <v>45.13</v>
      </c>
      <c r="AI390">
        <v>15.79</v>
      </c>
      <c r="AJ390">
        <v>0</v>
      </c>
      <c r="AK390">
        <v>0</v>
      </c>
      <c r="AL390">
        <v>0</v>
      </c>
      <c r="AM390">
        <v>0.03</v>
      </c>
      <c r="AN390">
        <f t="shared" si="19"/>
        <v>2</v>
      </c>
      <c r="AO390" t="str">
        <f t="shared" si="20"/>
        <v>Monday</v>
      </c>
    </row>
    <row r="391" spans="1:41" x14ac:dyDescent="0.2">
      <c r="B391" s="1">
        <v>45950</v>
      </c>
      <c r="C391" s="1">
        <f t="shared" si="18"/>
        <v>45961</v>
      </c>
      <c r="D391">
        <v>441</v>
      </c>
      <c r="E391">
        <v>0</v>
      </c>
      <c r="F391">
        <v>0</v>
      </c>
      <c r="G391">
        <v>0</v>
      </c>
      <c r="H391">
        <v>0</v>
      </c>
      <c r="I391">
        <v>0</v>
      </c>
      <c r="J391">
        <v>0</v>
      </c>
      <c r="K391">
        <v>0</v>
      </c>
      <c r="AN391">
        <f t="shared" si="19"/>
        <v>2</v>
      </c>
      <c r="AO391" t="str">
        <f t="shared" si="20"/>
        <v>Monday</v>
      </c>
    </row>
    <row r="392" spans="1:41" x14ac:dyDescent="0.2">
      <c r="A392" t="s">
        <v>37</v>
      </c>
      <c r="B392" s="1">
        <v>45947</v>
      </c>
      <c r="C392" s="1">
        <f t="shared" si="18"/>
        <v>45961</v>
      </c>
      <c r="D392">
        <v>21</v>
      </c>
      <c r="E392">
        <v>57</v>
      </c>
      <c r="F392">
        <v>4</v>
      </c>
      <c r="G392">
        <v>0</v>
      </c>
      <c r="H392">
        <v>2</v>
      </c>
      <c r="I392">
        <v>1</v>
      </c>
      <c r="J392">
        <v>5</v>
      </c>
      <c r="K392">
        <v>36</v>
      </c>
      <c r="L392" t="s">
        <v>37</v>
      </c>
      <c r="M392" t="s">
        <v>38</v>
      </c>
      <c r="N392" s="1">
        <v>45947</v>
      </c>
      <c r="O392" s="2">
        <v>0.54188657407407403</v>
      </c>
      <c r="P392" s="2">
        <v>0.91908564814814819</v>
      </c>
      <c r="Q392">
        <v>9.0500000000000007</v>
      </c>
      <c r="R392">
        <v>8.1199999999999992</v>
      </c>
      <c r="S392">
        <v>1.33</v>
      </c>
      <c r="T392">
        <v>0.54</v>
      </c>
      <c r="U392">
        <v>0</v>
      </c>
      <c r="V392">
        <v>0.08</v>
      </c>
      <c r="W392">
        <v>5.59</v>
      </c>
      <c r="X392">
        <v>0.56999999999999995</v>
      </c>
      <c r="Y392">
        <v>0</v>
      </c>
      <c r="Z392">
        <v>0</v>
      </c>
      <c r="AA392">
        <v>0</v>
      </c>
      <c r="AB392">
        <v>0.01</v>
      </c>
      <c r="AC392">
        <v>8.1199999999999992</v>
      </c>
      <c r="AD392">
        <v>16.41</v>
      </c>
      <c r="AE392">
        <v>6.62</v>
      </c>
      <c r="AF392">
        <v>0</v>
      </c>
      <c r="AG392">
        <v>0.94</v>
      </c>
      <c r="AH392">
        <v>68.790000000000006</v>
      </c>
      <c r="AI392">
        <v>7.08</v>
      </c>
      <c r="AJ392">
        <v>0</v>
      </c>
      <c r="AK392">
        <v>0</v>
      </c>
      <c r="AL392">
        <v>0</v>
      </c>
      <c r="AM392">
        <v>0.16</v>
      </c>
      <c r="AN392">
        <f t="shared" si="19"/>
        <v>6</v>
      </c>
      <c r="AO392" t="str">
        <f t="shared" si="20"/>
        <v>Friday</v>
      </c>
    </row>
    <row r="393" spans="1:41" x14ac:dyDescent="0.2">
      <c r="A393" t="s">
        <v>40</v>
      </c>
      <c r="B393" s="1">
        <v>45947</v>
      </c>
      <c r="C393" s="1">
        <f t="shared" si="18"/>
        <v>45961</v>
      </c>
      <c r="D393">
        <v>22</v>
      </c>
      <c r="E393">
        <v>38</v>
      </c>
      <c r="F393">
        <v>4</v>
      </c>
      <c r="G393">
        <v>1</v>
      </c>
      <c r="H393">
        <v>6</v>
      </c>
      <c r="I393">
        <v>0</v>
      </c>
      <c r="J393">
        <v>1</v>
      </c>
      <c r="K393">
        <v>20</v>
      </c>
      <c r="L393" t="s">
        <v>40</v>
      </c>
      <c r="M393" t="s">
        <v>38</v>
      </c>
      <c r="N393" s="1">
        <v>45947</v>
      </c>
      <c r="O393" s="2">
        <v>0.54296296296296298</v>
      </c>
      <c r="P393" s="2">
        <v>0.91668981481481482</v>
      </c>
      <c r="Q393">
        <v>8.98</v>
      </c>
      <c r="R393">
        <v>8.9700000000000006</v>
      </c>
      <c r="S393">
        <v>1.02</v>
      </c>
      <c r="T393">
        <v>1.0900000000000001</v>
      </c>
      <c r="U393">
        <v>0</v>
      </c>
      <c r="V393">
        <v>0.19</v>
      </c>
      <c r="W393">
        <v>5.14</v>
      </c>
      <c r="X393">
        <v>1.52</v>
      </c>
      <c r="Y393">
        <v>0</v>
      </c>
      <c r="Z393">
        <v>0</v>
      </c>
      <c r="AA393">
        <v>0</v>
      </c>
      <c r="AB393">
        <v>0</v>
      </c>
      <c r="AC393">
        <v>8.9700000000000006</v>
      </c>
      <c r="AD393">
        <v>11.41</v>
      </c>
      <c r="AE393">
        <v>12.2</v>
      </c>
      <c r="AF393">
        <v>0</v>
      </c>
      <c r="AG393">
        <v>2.12</v>
      </c>
      <c r="AH393">
        <v>57.28</v>
      </c>
      <c r="AI393">
        <v>16.96</v>
      </c>
      <c r="AJ393">
        <v>0</v>
      </c>
      <c r="AK393">
        <v>0</v>
      </c>
      <c r="AL393">
        <v>0</v>
      </c>
      <c r="AM393">
        <v>0.03</v>
      </c>
      <c r="AN393">
        <f t="shared" si="19"/>
        <v>6</v>
      </c>
      <c r="AO393" t="str">
        <f t="shared" si="20"/>
        <v>Friday</v>
      </c>
    </row>
    <row r="394" spans="1:41" x14ac:dyDescent="0.2">
      <c r="A394" t="s">
        <v>41</v>
      </c>
      <c r="B394" s="1">
        <v>45947</v>
      </c>
      <c r="C394" s="1">
        <f t="shared" si="18"/>
        <v>45961</v>
      </c>
      <c r="D394">
        <v>31</v>
      </c>
      <c r="E394">
        <v>50</v>
      </c>
      <c r="F394">
        <v>3</v>
      </c>
      <c r="G394">
        <v>4</v>
      </c>
      <c r="H394">
        <v>6</v>
      </c>
      <c r="I394">
        <v>1</v>
      </c>
      <c r="J394">
        <v>1</v>
      </c>
      <c r="K394">
        <v>22</v>
      </c>
      <c r="L394" t="s">
        <v>41</v>
      </c>
      <c r="M394" t="s">
        <v>38</v>
      </c>
      <c r="N394" s="1">
        <v>45947</v>
      </c>
      <c r="O394" s="2">
        <v>0.54174768518518523</v>
      </c>
      <c r="P394" s="2">
        <v>0.91630787037037043</v>
      </c>
      <c r="Q394">
        <v>8.98</v>
      </c>
      <c r="R394">
        <v>8.99</v>
      </c>
      <c r="S394">
        <v>1.5</v>
      </c>
      <c r="T394">
        <v>0.24</v>
      </c>
      <c r="U394">
        <v>0</v>
      </c>
      <c r="V394">
        <v>0.05</v>
      </c>
      <c r="W394">
        <v>5.46</v>
      </c>
      <c r="X394">
        <v>1.45</v>
      </c>
      <c r="Y394">
        <v>0.27</v>
      </c>
      <c r="Z394">
        <v>0</v>
      </c>
      <c r="AA394">
        <v>0</v>
      </c>
      <c r="AB394">
        <v>0.01</v>
      </c>
      <c r="AC394">
        <v>8.99</v>
      </c>
      <c r="AD394">
        <v>16.690000000000001</v>
      </c>
      <c r="AE394">
        <v>2.71</v>
      </c>
      <c r="AF394">
        <v>0</v>
      </c>
      <c r="AG394">
        <v>0.51</v>
      </c>
      <c r="AH394">
        <v>60.77</v>
      </c>
      <c r="AI394">
        <v>16.18</v>
      </c>
      <c r="AJ394">
        <v>3.02</v>
      </c>
      <c r="AK394">
        <v>0</v>
      </c>
      <c r="AL394">
        <v>0</v>
      </c>
      <c r="AM394">
        <v>0.14000000000000001</v>
      </c>
      <c r="AN394">
        <f t="shared" si="19"/>
        <v>6</v>
      </c>
      <c r="AO394" t="str">
        <f t="shared" si="20"/>
        <v>Friday</v>
      </c>
    </row>
    <row r="395" spans="1:41" x14ac:dyDescent="0.2">
      <c r="A395" t="s">
        <v>43</v>
      </c>
      <c r="B395" s="1">
        <v>45947</v>
      </c>
      <c r="C395" s="1">
        <f t="shared" si="18"/>
        <v>45961</v>
      </c>
      <c r="D395">
        <v>32</v>
      </c>
      <c r="E395">
        <v>71</v>
      </c>
      <c r="F395">
        <v>8</v>
      </c>
      <c r="G395">
        <v>2</v>
      </c>
      <c r="H395">
        <v>5</v>
      </c>
      <c r="I395">
        <v>1</v>
      </c>
      <c r="J395">
        <v>0</v>
      </c>
      <c r="K395">
        <v>16</v>
      </c>
      <c r="L395" t="s">
        <v>43</v>
      </c>
      <c r="M395" t="s">
        <v>38</v>
      </c>
      <c r="N395" s="1">
        <v>45947</v>
      </c>
      <c r="O395" s="2">
        <v>0.5416319444444444</v>
      </c>
      <c r="P395" s="2">
        <v>0.91956018518518523</v>
      </c>
      <c r="Q395">
        <v>9.08</v>
      </c>
      <c r="R395">
        <v>9.07</v>
      </c>
      <c r="S395">
        <v>1.83</v>
      </c>
      <c r="T395">
        <v>0.31</v>
      </c>
      <c r="U395">
        <v>0</v>
      </c>
      <c r="V395">
        <v>0.78</v>
      </c>
      <c r="W395">
        <v>4.3</v>
      </c>
      <c r="X395">
        <v>1.85</v>
      </c>
      <c r="Y395">
        <v>0</v>
      </c>
      <c r="Z395">
        <v>0</v>
      </c>
      <c r="AA395">
        <v>0</v>
      </c>
      <c r="AB395">
        <v>0</v>
      </c>
      <c r="AC395">
        <v>9.07</v>
      </c>
      <c r="AD395">
        <v>20.14</v>
      </c>
      <c r="AE395">
        <v>3.46</v>
      </c>
      <c r="AF395">
        <v>0</v>
      </c>
      <c r="AG395">
        <v>8.64</v>
      </c>
      <c r="AH395">
        <v>47.38</v>
      </c>
      <c r="AI395">
        <v>20.34</v>
      </c>
      <c r="AJ395">
        <v>0</v>
      </c>
      <c r="AK395">
        <v>0</v>
      </c>
      <c r="AL395">
        <v>0</v>
      </c>
      <c r="AM395">
        <v>0.03</v>
      </c>
      <c r="AN395">
        <f t="shared" si="19"/>
        <v>6</v>
      </c>
      <c r="AO395" t="str">
        <f t="shared" si="20"/>
        <v>Friday</v>
      </c>
    </row>
    <row r="396" spans="1:41" x14ac:dyDescent="0.2">
      <c r="B396" s="1">
        <v>45947</v>
      </c>
      <c r="C396" s="1">
        <f t="shared" si="18"/>
        <v>45961</v>
      </c>
      <c r="D396">
        <v>458</v>
      </c>
      <c r="E396">
        <v>0</v>
      </c>
      <c r="F396">
        <v>0</v>
      </c>
      <c r="G396">
        <v>0</v>
      </c>
      <c r="H396">
        <v>0</v>
      </c>
      <c r="I396">
        <v>0</v>
      </c>
      <c r="J396">
        <v>0</v>
      </c>
      <c r="K396">
        <v>0</v>
      </c>
      <c r="AN396">
        <f t="shared" si="19"/>
        <v>6</v>
      </c>
      <c r="AO396" t="str">
        <f t="shared" si="20"/>
        <v>Friday</v>
      </c>
    </row>
    <row r="397" spans="1:41" x14ac:dyDescent="0.2">
      <c r="A397" t="s">
        <v>37</v>
      </c>
      <c r="B397" s="1">
        <v>45946</v>
      </c>
      <c r="C397" s="1">
        <f t="shared" si="18"/>
        <v>45961</v>
      </c>
      <c r="D397">
        <v>19</v>
      </c>
      <c r="E397">
        <v>48</v>
      </c>
      <c r="F397">
        <v>3</v>
      </c>
      <c r="G397">
        <v>2</v>
      </c>
      <c r="H397">
        <v>5</v>
      </c>
      <c r="I397">
        <v>1</v>
      </c>
      <c r="J397">
        <v>0</v>
      </c>
      <c r="K397">
        <v>29</v>
      </c>
      <c r="L397" t="s">
        <v>37</v>
      </c>
      <c r="M397" t="s">
        <v>38</v>
      </c>
      <c r="N397" s="1">
        <v>45946</v>
      </c>
      <c r="O397" s="2">
        <v>0.54196759259259264</v>
      </c>
      <c r="P397" s="2">
        <v>0.91681712962962958</v>
      </c>
      <c r="Q397">
        <v>9</v>
      </c>
      <c r="R397">
        <v>8.1</v>
      </c>
      <c r="S397">
        <v>0.92</v>
      </c>
      <c r="T397">
        <v>0.23</v>
      </c>
      <c r="U397">
        <v>0</v>
      </c>
      <c r="V397">
        <v>0.05</v>
      </c>
      <c r="W397">
        <v>6.37</v>
      </c>
      <c r="X397">
        <v>0.52</v>
      </c>
      <c r="Y397">
        <v>0</v>
      </c>
      <c r="Z397">
        <v>0</v>
      </c>
      <c r="AA397">
        <v>0</v>
      </c>
      <c r="AB397">
        <v>0.02</v>
      </c>
      <c r="AC397">
        <v>8.1</v>
      </c>
      <c r="AD397">
        <v>11.33</v>
      </c>
      <c r="AE397">
        <v>2.85</v>
      </c>
      <c r="AF397">
        <v>0</v>
      </c>
      <c r="AG397">
        <v>0.56999999999999995</v>
      </c>
      <c r="AH397">
        <v>78.66</v>
      </c>
      <c r="AI397">
        <v>6.39</v>
      </c>
      <c r="AJ397">
        <v>0</v>
      </c>
      <c r="AK397">
        <v>0</v>
      </c>
      <c r="AL397">
        <v>0</v>
      </c>
      <c r="AM397">
        <v>0.21</v>
      </c>
      <c r="AN397">
        <f t="shared" si="19"/>
        <v>5</v>
      </c>
      <c r="AO397" t="str">
        <f t="shared" si="20"/>
        <v>Thursday</v>
      </c>
    </row>
    <row r="398" spans="1:41" x14ac:dyDescent="0.2">
      <c r="A398" t="s">
        <v>39</v>
      </c>
      <c r="B398" s="1">
        <v>45946</v>
      </c>
      <c r="C398" s="1">
        <f t="shared" si="18"/>
        <v>45961</v>
      </c>
      <c r="D398">
        <v>18</v>
      </c>
      <c r="E398">
        <v>32</v>
      </c>
      <c r="F398">
        <v>7</v>
      </c>
      <c r="G398">
        <v>0</v>
      </c>
      <c r="H398">
        <v>4</v>
      </c>
      <c r="I398">
        <v>0</v>
      </c>
      <c r="J398">
        <v>0</v>
      </c>
      <c r="K398">
        <v>14</v>
      </c>
      <c r="L398" t="s">
        <v>39</v>
      </c>
      <c r="M398" t="s">
        <v>38</v>
      </c>
      <c r="N398" s="1">
        <v>45946</v>
      </c>
      <c r="O398" s="2">
        <v>0.54206018518518517</v>
      </c>
      <c r="P398" s="2">
        <v>0.91674768518518523</v>
      </c>
      <c r="Q398">
        <v>9</v>
      </c>
      <c r="R398">
        <v>8.99</v>
      </c>
      <c r="S398">
        <v>0.7</v>
      </c>
      <c r="T398">
        <v>0.21</v>
      </c>
      <c r="U398">
        <v>0</v>
      </c>
      <c r="V398">
        <v>0.02</v>
      </c>
      <c r="W398">
        <v>6.46</v>
      </c>
      <c r="X398">
        <v>1.48</v>
      </c>
      <c r="Y398">
        <v>0.11</v>
      </c>
      <c r="Z398">
        <v>0</v>
      </c>
      <c r="AA398">
        <v>0</v>
      </c>
      <c r="AB398">
        <v>0.01</v>
      </c>
      <c r="AC398">
        <v>8.99</v>
      </c>
      <c r="AD398">
        <v>7.77</v>
      </c>
      <c r="AE398">
        <v>2.38</v>
      </c>
      <c r="AF398">
        <v>0</v>
      </c>
      <c r="AG398">
        <v>0.19</v>
      </c>
      <c r="AH398">
        <v>71.88</v>
      </c>
      <c r="AI398">
        <v>16.510000000000002</v>
      </c>
      <c r="AJ398">
        <v>1.19</v>
      </c>
      <c r="AK398">
        <v>0</v>
      </c>
      <c r="AL398">
        <v>0</v>
      </c>
      <c r="AM398">
        <v>0.09</v>
      </c>
      <c r="AN398">
        <f t="shared" si="19"/>
        <v>5</v>
      </c>
      <c r="AO398" t="str">
        <f t="shared" si="20"/>
        <v>Thursday</v>
      </c>
    </row>
    <row r="399" spans="1:41" x14ac:dyDescent="0.2">
      <c r="A399" t="s">
        <v>40</v>
      </c>
      <c r="B399" s="1">
        <v>45946</v>
      </c>
      <c r="C399" s="1">
        <f t="shared" si="18"/>
        <v>45961</v>
      </c>
      <c r="D399">
        <v>17</v>
      </c>
      <c r="E399">
        <v>31</v>
      </c>
      <c r="F399">
        <v>3</v>
      </c>
      <c r="G399">
        <v>0</v>
      </c>
      <c r="H399">
        <v>7</v>
      </c>
      <c r="I399">
        <v>0</v>
      </c>
      <c r="J399">
        <v>0</v>
      </c>
      <c r="K399">
        <v>14</v>
      </c>
      <c r="L399" t="s">
        <v>40</v>
      </c>
      <c r="M399" t="s">
        <v>38</v>
      </c>
      <c r="N399" s="1">
        <v>45946</v>
      </c>
      <c r="O399" s="2">
        <v>0.54304398148148147</v>
      </c>
      <c r="P399" s="2">
        <v>0.91671296296296301</v>
      </c>
      <c r="Q399">
        <v>8.98</v>
      </c>
      <c r="R399">
        <v>8.9700000000000006</v>
      </c>
      <c r="S399">
        <v>0.74</v>
      </c>
      <c r="T399">
        <v>0.81</v>
      </c>
      <c r="U399">
        <v>0</v>
      </c>
      <c r="V399">
        <v>0.12</v>
      </c>
      <c r="W399">
        <v>5.79</v>
      </c>
      <c r="X399">
        <v>1.51</v>
      </c>
      <c r="Y399">
        <v>0</v>
      </c>
      <c r="Z399">
        <v>0</v>
      </c>
      <c r="AA399">
        <v>0</v>
      </c>
      <c r="AB399">
        <v>0</v>
      </c>
      <c r="AC399">
        <v>8.9700000000000006</v>
      </c>
      <c r="AD399">
        <v>8.23</v>
      </c>
      <c r="AE399">
        <v>9.01</v>
      </c>
      <c r="AF399">
        <v>0</v>
      </c>
      <c r="AG399">
        <v>1.37</v>
      </c>
      <c r="AH399">
        <v>64.55</v>
      </c>
      <c r="AI399">
        <v>16.809999999999999</v>
      </c>
      <c r="AJ399">
        <v>0</v>
      </c>
      <c r="AK399">
        <v>0</v>
      </c>
      <c r="AL399">
        <v>0</v>
      </c>
      <c r="AM399">
        <v>0.04</v>
      </c>
      <c r="AN399">
        <f t="shared" si="19"/>
        <v>5</v>
      </c>
      <c r="AO399" t="str">
        <f t="shared" si="20"/>
        <v>Thursday</v>
      </c>
    </row>
    <row r="400" spans="1:41" x14ac:dyDescent="0.2">
      <c r="A400" t="s">
        <v>41</v>
      </c>
      <c r="B400" s="1">
        <v>45946</v>
      </c>
      <c r="C400" s="1">
        <f t="shared" si="18"/>
        <v>45961</v>
      </c>
      <c r="D400">
        <v>26</v>
      </c>
      <c r="E400">
        <v>45</v>
      </c>
      <c r="F400">
        <v>10</v>
      </c>
      <c r="G400">
        <v>4</v>
      </c>
      <c r="H400">
        <v>4</v>
      </c>
      <c r="I400">
        <v>0</v>
      </c>
      <c r="J400">
        <v>1</v>
      </c>
      <c r="K400">
        <v>13</v>
      </c>
      <c r="L400" t="s">
        <v>41</v>
      </c>
      <c r="M400" t="s">
        <v>38</v>
      </c>
      <c r="N400" s="1">
        <v>45946</v>
      </c>
      <c r="O400" s="2">
        <v>0.54174768518518523</v>
      </c>
      <c r="P400" s="2">
        <v>0.91827546296296292</v>
      </c>
      <c r="Q400">
        <v>9.0299999999999994</v>
      </c>
      <c r="R400">
        <v>9.0399999999999991</v>
      </c>
      <c r="S400">
        <v>2.33</v>
      </c>
      <c r="T400">
        <v>0.4</v>
      </c>
      <c r="U400">
        <v>0</v>
      </c>
      <c r="V400">
        <v>0.03</v>
      </c>
      <c r="W400">
        <v>4.82</v>
      </c>
      <c r="X400">
        <v>1.44</v>
      </c>
      <c r="Y400">
        <v>0</v>
      </c>
      <c r="Z400">
        <v>0</v>
      </c>
      <c r="AA400">
        <v>0</v>
      </c>
      <c r="AB400">
        <v>0.01</v>
      </c>
      <c r="AC400">
        <v>9.0399999999999991</v>
      </c>
      <c r="AD400">
        <v>25.83</v>
      </c>
      <c r="AE400">
        <v>4.37</v>
      </c>
      <c r="AF400">
        <v>0</v>
      </c>
      <c r="AG400">
        <v>0.36</v>
      </c>
      <c r="AH400">
        <v>53.38</v>
      </c>
      <c r="AI400">
        <v>15.98</v>
      </c>
      <c r="AJ400">
        <v>0</v>
      </c>
      <c r="AK400">
        <v>0</v>
      </c>
      <c r="AL400">
        <v>0</v>
      </c>
      <c r="AM400">
        <v>7.0000000000000007E-2</v>
      </c>
      <c r="AN400">
        <f t="shared" si="19"/>
        <v>5</v>
      </c>
      <c r="AO400" t="str">
        <f t="shared" si="20"/>
        <v>Thursday</v>
      </c>
    </row>
    <row r="401" spans="1:41" x14ac:dyDescent="0.2">
      <c r="A401" t="s">
        <v>43</v>
      </c>
      <c r="B401" s="1">
        <v>45946</v>
      </c>
      <c r="C401" s="1">
        <f t="shared" si="18"/>
        <v>45961</v>
      </c>
      <c r="D401">
        <v>27</v>
      </c>
      <c r="E401">
        <v>67</v>
      </c>
      <c r="F401">
        <v>3</v>
      </c>
      <c r="G401">
        <v>1</v>
      </c>
      <c r="H401">
        <v>1</v>
      </c>
      <c r="I401">
        <v>1</v>
      </c>
      <c r="J401">
        <v>0</v>
      </c>
      <c r="K401">
        <v>21</v>
      </c>
      <c r="L401" t="s">
        <v>43</v>
      </c>
      <c r="M401" t="s">
        <v>38</v>
      </c>
      <c r="N401" s="1">
        <v>45946</v>
      </c>
      <c r="O401" s="2">
        <v>0.54158564814814814</v>
      </c>
      <c r="P401" s="2">
        <v>0.91773148148148154</v>
      </c>
      <c r="Q401">
        <v>9.0299999999999994</v>
      </c>
      <c r="R401">
        <v>9.0299999999999994</v>
      </c>
      <c r="S401">
        <v>1.3</v>
      </c>
      <c r="T401">
        <v>0.39</v>
      </c>
      <c r="U401">
        <v>0</v>
      </c>
      <c r="V401">
        <v>0.2</v>
      </c>
      <c r="W401">
        <v>5.42</v>
      </c>
      <c r="X401">
        <v>1.52</v>
      </c>
      <c r="Y401">
        <v>0.19</v>
      </c>
      <c r="Z401">
        <v>0</v>
      </c>
      <c r="AA401">
        <v>0</v>
      </c>
      <c r="AB401">
        <v>0</v>
      </c>
      <c r="AC401">
        <v>9.0299999999999994</v>
      </c>
      <c r="AD401">
        <v>14.41</v>
      </c>
      <c r="AE401">
        <v>4.3</v>
      </c>
      <c r="AF401">
        <v>0</v>
      </c>
      <c r="AG401">
        <v>2.25</v>
      </c>
      <c r="AH401">
        <v>60.07</v>
      </c>
      <c r="AI401">
        <v>16.829999999999998</v>
      </c>
      <c r="AJ401">
        <v>2.11</v>
      </c>
      <c r="AK401">
        <v>0</v>
      </c>
      <c r="AL401">
        <v>0</v>
      </c>
      <c r="AM401">
        <v>0.03</v>
      </c>
      <c r="AN401">
        <f t="shared" si="19"/>
        <v>5</v>
      </c>
      <c r="AO401" t="str">
        <f t="shared" si="20"/>
        <v>Thursday</v>
      </c>
    </row>
    <row r="402" spans="1:41" x14ac:dyDescent="0.2">
      <c r="B402" s="1">
        <v>45946</v>
      </c>
      <c r="C402" s="1">
        <f t="shared" si="18"/>
        <v>45961</v>
      </c>
      <c r="D402">
        <v>461</v>
      </c>
      <c r="E402">
        <v>0</v>
      </c>
      <c r="F402">
        <v>0</v>
      </c>
      <c r="G402">
        <v>0</v>
      </c>
      <c r="H402">
        <v>0</v>
      </c>
      <c r="I402">
        <v>0</v>
      </c>
      <c r="J402">
        <v>0</v>
      </c>
      <c r="K402">
        <v>0</v>
      </c>
      <c r="AN402">
        <f t="shared" si="19"/>
        <v>5</v>
      </c>
      <c r="AO402" t="str">
        <f t="shared" si="20"/>
        <v>Thursday</v>
      </c>
    </row>
    <row r="403" spans="1:41" x14ac:dyDescent="0.2">
      <c r="A403" t="s">
        <v>37</v>
      </c>
      <c r="B403" s="1">
        <v>45945</v>
      </c>
      <c r="C403" s="1">
        <f t="shared" si="18"/>
        <v>45961</v>
      </c>
      <c r="D403">
        <v>19</v>
      </c>
      <c r="E403">
        <v>82</v>
      </c>
      <c r="F403">
        <v>1</v>
      </c>
      <c r="G403">
        <v>10</v>
      </c>
      <c r="H403">
        <v>9</v>
      </c>
      <c r="I403">
        <v>0</v>
      </c>
      <c r="J403">
        <v>4</v>
      </c>
      <c r="K403">
        <v>34</v>
      </c>
      <c r="L403" t="s">
        <v>37</v>
      </c>
      <c r="M403" t="s">
        <v>38</v>
      </c>
      <c r="N403" s="1">
        <v>45945</v>
      </c>
      <c r="O403" s="2">
        <v>0.54206018518518517</v>
      </c>
      <c r="P403" s="2">
        <v>0.91675925925925927</v>
      </c>
      <c r="Q403">
        <v>9</v>
      </c>
      <c r="R403">
        <v>8.0500000000000007</v>
      </c>
      <c r="S403">
        <v>2.2799999999999998</v>
      </c>
      <c r="T403">
        <v>0.22</v>
      </c>
      <c r="U403">
        <v>0</v>
      </c>
      <c r="V403">
        <v>0.13</v>
      </c>
      <c r="W403">
        <v>4.88</v>
      </c>
      <c r="X403">
        <v>0.51</v>
      </c>
      <c r="Y403">
        <v>0</v>
      </c>
      <c r="Z403">
        <v>0</v>
      </c>
      <c r="AA403">
        <v>0</v>
      </c>
      <c r="AB403">
        <v>0.03</v>
      </c>
      <c r="AC403">
        <v>8.0500000000000007</v>
      </c>
      <c r="AD403">
        <v>28.35</v>
      </c>
      <c r="AE403">
        <v>2.76</v>
      </c>
      <c r="AF403">
        <v>0</v>
      </c>
      <c r="AG403">
        <v>1.67</v>
      </c>
      <c r="AH403">
        <v>60.58</v>
      </c>
      <c r="AI403">
        <v>6.32</v>
      </c>
      <c r="AJ403">
        <v>0</v>
      </c>
      <c r="AK403">
        <v>0</v>
      </c>
      <c r="AL403">
        <v>0</v>
      </c>
      <c r="AM403">
        <v>0.32</v>
      </c>
      <c r="AN403">
        <f t="shared" si="19"/>
        <v>4</v>
      </c>
      <c r="AO403" t="str">
        <f t="shared" si="20"/>
        <v>Wednesday</v>
      </c>
    </row>
    <row r="404" spans="1:41" x14ac:dyDescent="0.2">
      <c r="A404" t="s">
        <v>39</v>
      </c>
      <c r="B404" s="1">
        <v>45945</v>
      </c>
      <c r="C404" s="1">
        <f t="shared" si="18"/>
        <v>45961</v>
      </c>
      <c r="D404">
        <v>28</v>
      </c>
      <c r="E404">
        <v>66</v>
      </c>
      <c r="F404">
        <v>13</v>
      </c>
      <c r="G404">
        <v>8</v>
      </c>
      <c r="H404">
        <v>2</v>
      </c>
      <c r="I404">
        <v>1</v>
      </c>
      <c r="J404">
        <v>0</v>
      </c>
      <c r="K404">
        <v>25</v>
      </c>
      <c r="L404" t="s">
        <v>39</v>
      </c>
      <c r="M404" t="s">
        <v>38</v>
      </c>
      <c r="N404" s="1">
        <v>45945</v>
      </c>
      <c r="O404" s="2">
        <v>0.54207175925925921</v>
      </c>
      <c r="P404" s="2">
        <v>0.91680555555555554</v>
      </c>
      <c r="Q404">
        <v>9</v>
      </c>
      <c r="R404">
        <v>8.99</v>
      </c>
      <c r="S404">
        <v>1.69</v>
      </c>
      <c r="T404">
        <v>0</v>
      </c>
      <c r="U404">
        <v>0</v>
      </c>
      <c r="V404">
        <v>0.04</v>
      </c>
      <c r="W404">
        <v>5.78</v>
      </c>
      <c r="X404">
        <v>1.47</v>
      </c>
      <c r="Y404">
        <v>0</v>
      </c>
      <c r="Z404">
        <v>0</v>
      </c>
      <c r="AA404">
        <v>0</v>
      </c>
      <c r="AB404">
        <v>0</v>
      </c>
      <c r="AC404">
        <v>8.99</v>
      </c>
      <c r="AD404">
        <v>18.82</v>
      </c>
      <c r="AE404">
        <v>0</v>
      </c>
      <c r="AF404">
        <v>0</v>
      </c>
      <c r="AG404">
        <v>0.48</v>
      </c>
      <c r="AH404">
        <v>64.260000000000005</v>
      </c>
      <c r="AI404">
        <v>16.39</v>
      </c>
      <c r="AJ404">
        <v>0</v>
      </c>
      <c r="AK404">
        <v>0</v>
      </c>
      <c r="AL404">
        <v>0</v>
      </c>
      <c r="AM404">
        <v>0.04</v>
      </c>
      <c r="AN404">
        <f t="shared" si="19"/>
        <v>4</v>
      </c>
      <c r="AO404" t="str">
        <f t="shared" si="20"/>
        <v>Wednesday</v>
      </c>
    </row>
    <row r="405" spans="1:41" x14ac:dyDescent="0.2">
      <c r="A405" t="s">
        <v>40</v>
      </c>
      <c r="B405" s="1">
        <v>45945</v>
      </c>
      <c r="C405" s="1">
        <f t="shared" si="18"/>
        <v>45961</v>
      </c>
      <c r="D405">
        <v>12</v>
      </c>
      <c r="E405">
        <v>25</v>
      </c>
      <c r="F405">
        <v>1</v>
      </c>
      <c r="G405">
        <v>3</v>
      </c>
      <c r="H405">
        <v>3</v>
      </c>
      <c r="I405">
        <v>0</v>
      </c>
      <c r="J405">
        <v>0</v>
      </c>
      <c r="K405">
        <v>9</v>
      </c>
      <c r="L405" t="s">
        <v>40</v>
      </c>
      <c r="M405" t="s">
        <v>38</v>
      </c>
      <c r="N405" s="1">
        <v>45945</v>
      </c>
      <c r="O405" s="2">
        <v>0.54268518518518516</v>
      </c>
      <c r="P405" s="2">
        <v>0.91668981481481482</v>
      </c>
      <c r="Q405">
        <v>8.98</v>
      </c>
      <c r="R405">
        <v>8.98</v>
      </c>
      <c r="S405">
        <v>2.46</v>
      </c>
      <c r="T405">
        <v>0.62</v>
      </c>
      <c r="U405">
        <v>0</v>
      </c>
      <c r="V405">
        <v>0.1</v>
      </c>
      <c r="W405">
        <v>4.2</v>
      </c>
      <c r="X405">
        <v>1.6</v>
      </c>
      <c r="Y405">
        <v>0</v>
      </c>
      <c r="Z405">
        <v>0</v>
      </c>
      <c r="AA405">
        <v>0</v>
      </c>
      <c r="AB405">
        <v>0</v>
      </c>
      <c r="AC405">
        <v>8.98</v>
      </c>
      <c r="AD405">
        <v>27.36</v>
      </c>
      <c r="AE405">
        <v>6.88</v>
      </c>
      <c r="AF405">
        <v>0</v>
      </c>
      <c r="AG405">
        <v>1.1499999999999999</v>
      </c>
      <c r="AH405">
        <v>46.77</v>
      </c>
      <c r="AI405">
        <v>17.79</v>
      </c>
      <c r="AJ405">
        <v>0</v>
      </c>
      <c r="AK405">
        <v>0</v>
      </c>
      <c r="AL405">
        <v>0</v>
      </c>
      <c r="AM405">
        <v>0.04</v>
      </c>
      <c r="AN405">
        <f t="shared" si="19"/>
        <v>4</v>
      </c>
      <c r="AO405" t="str">
        <f t="shared" si="20"/>
        <v>Wednesday</v>
      </c>
    </row>
    <row r="406" spans="1:41" x14ac:dyDescent="0.2">
      <c r="A406" t="s">
        <v>41</v>
      </c>
      <c r="B406" s="1">
        <v>45945</v>
      </c>
      <c r="C406" s="1">
        <f t="shared" si="18"/>
        <v>45961</v>
      </c>
      <c r="D406">
        <v>22</v>
      </c>
      <c r="E406">
        <v>43</v>
      </c>
      <c r="F406">
        <v>1</v>
      </c>
      <c r="G406">
        <v>5</v>
      </c>
      <c r="H406">
        <v>1</v>
      </c>
      <c r="I406">
        <v>0</v>
      </c>
      <c r="J406">
        <v>2</v>
      </c>
      <c r="K406">
        <v>20</v>
      </c>
      <c r="L406" t="s">
        <v>41</v>
      </c>
      <c r="M406" t="s">
        <v>38</v>
      </c>
      <c r="N406" s="1">
        <v>45945</v>
      </c>
      <c r="O406" s="2">
        <v>0.60263888888888884</v>
      </c>
      <c r="P406" s="2">
        <v>0.91605324074074079</v>
      </c>
      <c r="Q406">
        <v>7.53</v>
      </c>
      <c r="R406">
        <v>7.52</v>
      </c>
      <c r="S406">
        <v>1.24</v>
      </c>
      <c r="T406">
        <v>0.43</v>
      </c>
      <c r="U406">
        <v>0</v>
      </c>
      <c r="V406">
        <v>0.02</v>
      </c>
      <c r="W406">
        <v>4.32</v>
      </c>
      <c r="X406">
        <v>1.5</v>
      </c>
      <c r="Y406">
        <v>0</v>
      </c>
      <c r="Z406">
        <v>0</v>
      </c>
      <c r="AA406">
        <v>0</v>
      </c>
      <c r="AB406">
        <v>0.01</v>
      </c>
      <c r="AC406">
        <v>7.52</v>
      </c>
      <c r="AD406">
        <v>16.53</v>
      </c>
      <c r="AE406">
        <v>5.77</v>
      </c>
      <c r="AF406">
        <v>0</v>
      </c>
      <c r="AG406">
        <v>0.27</v>
      </c>
      <c r="AH406">
        <v>57.41</v>
      </c>
      <c r="AI406">
        <v>19.89</v>
      </c>
      <c r="AJ406">
        <v>0</v>
      </c>
      <c r="AK406">
        <v>0</v>
      </c>
      <c r="AL406">
        <v>0</v>
      </c>
      <c r="AM406">
        <v>0.13</v>
      </c>
      <c r="AN406">
        <f t="shared" si="19"/>
        <v>4</v>
      </c>
      <c r="AO406" t="str">
        <f t="shared" si="20"/>
        <v>Wednesday</v>
      </c>
    </row>
    <row r="407" spans="1:41" x14ac:dyDescent="0.2">
      <c r="A407" t="s">
        <v>42</v>
      </c>
      <c r="B407" s="1">
        <v>45945</v>
      </c>
      <c r="C407" s="1">
        <f t="shared" si="18"/>
        <v>45961</v>
      </c>
      <c r="D407">
        <v>2</v>
      </c>
      <c r="E407">
        <v>5</v>
      </c>
      <c r="F407">
        <v>1</v>
      </c>
      <c r="G407">
        <v>0</v>
      </c>
      <c r="H407">
        <v>2</v>
      </c>
      <c r="I407">
        <v>0</v>
      </c>
      <c r="J407">
        <v>0</v>
      </c>
      <c r="K407">
        <v>0</v>
      </c>
      <c r="L407" t="s">
        <v>42</v>
      </c>
      <c r="M407" t="s">
        <v>38</v>
      </c>
      <c r="N407" s="1">
        <v>45945</v>
      </c>
      <c r="O407" s="2">
        <v>0.56740740740740736</v>
      </c>
      <c r="P407" s="2">
        <v>0.58565972222222218</v>
      </c>
      <c r="Q407">
        <v>0.43</v>
      </c>
      <c r="R407">
        <v>0.44</v>
      </c>
      <c r="S407">
        <v>0.39</v>
      </c>
      <c r="T407">
        <v>0</v>
      </c>
      <c r="U407">
        <v>0</v>
      </c>
      <c r="V407">
        <v>0</v>
      </c>
      <c r="W407">
        <v>0.01</v>
      </c>
      <c r="X407">
        <v>0</v>
      </c>
      <c r="Y407">
        <v>0</v>
      </c>
      <c r="Z407">
        <v>0</v>
      </c>
      <c r="AA407">
        <v>0</v>
      </c>
      <c r="AB407">
        <v>0.03</v>
      </c>
      <c r="AC407">
        <v>0.44</v>
      </c>
      <c r="AD407">
        <v>89.4</v>
      </c>
      <c r="AE407">
        <v>0.82</v>
      </c>
      <c r="AF407">
        <v>0</v>
      </c>
      <c r="AG407">
        <v>0.95</v>
      </c>
      <c r="AH407">
        <v>1.27</v>
      </c>
      <c r="AI407">
        <v>0</v>
      </c>
      <c r="AJ407">
        <v>0</v>
      </c>
      <c r="AK407">
        <v>0</v>
      </c>
      <c r="AL407">
        <v>0</v>
      </c>
      <c r="AM407">
        <v>7.55</v>
      </c>
      <c r="AN407">
        <f t="shared" si="19"/>
        <v>4</v>
      </c>
      <c r="AO407" t="str">
        <f t="shared" si="20"/>
        <v>Wednesday</v>
      </c>
    </row>
    <row r="408" spans="1:41" x14ac:dyDescent="0.2">
      <c r="A408" t="s">
        <v>43</v>
      </c>
      <c r="B408" s="1">
        <v>45945</v>
      </c>
      <c r="C408" s="1">
        <f t="shared" si="18"/>
        <v>45961</v>
      </c>
      <c r="D408">
        <v>26</v>
      </c>
      <c r="E408">
        <v>105</v>
      </c>
      <c r="F408">
        <v>10</v>
      </c>
      <c r="G408">
        <v>9</v>
      </c>
      <c r="H408">
        <v>13</v>
      </c>
      <c r="I408">
        <v>0</v>
      </c>
      <c r="J408">
        <v>0</v>
      </c>
      <c r="K408">
        <v>40</v>
      </c>
      <c r="L408" t="s">
        <v>43</v>
      </c>
      <c r="M408" t="s">
        <v>38</v>
      </c>
      <c r="N408" s="1">
        <v>45945</v>
      </c>
      <c r="O408" s="2">
        <v>0.54159722222222217</v>
      </c>
      <c r="P408" s="2">
        <v>0.91802083333333329</v>
      </c>
      <c r="Q408">
        <v>9.0299999999999994</v>
      </c>
      <c r="R408">
        <v>9.0299999999999994</v>
      </c>
      <c r="S408">
        <v>1.69</v>
      </c>
      <c r="T408">
        <v>0.17</v>
      </c>
      <c r="U408">
        <v>0</v>
      </c>
      <c r="V408">
        <v>0.32</v>
      </c>
      <c r="W408">
        <v>5.36</v>
      </c>
      <c r="X408">
        <v>1.47</v>
      </c>
      <c r="Y408">
        <v>0</v>
      </c>
      <c r="Z408">
        <v>0</v>
      </c>
      <c r="AA408">
        <v>0.02</v>
      </c>
      <c r="AB408">
        <v>0</v>
      </c>
      <c r="AC408">
        <v>9.0299999999999994</v>
      </c>
      <c r="AD408">
        <v>18.760000000000002</v>
      </c>
      <c r="AE408">
        <v>1.9</v>
      </c>
      <c r="AF408">
        <v>0</v>
      </c>
      <c r="AG408">
        <v>3.58</v>
      </c>
      <c r="AH408">
        <v>59.28</v>
      </c>
      <c r="AI408">
        <v>16.260000000000002</v>
      </c>
      <c r="AJ408">
        <v>0</v>
      </c>
      <c r="AK408">
        <v>0</v>
      </c>
      <c r="AL408">
        <v>0.19</v>
      </c>
      <c r="AM408">
        <v>0.03</v>
      </c>
      <c r="AN408">
        <f t="shared" si="19"/>
        <v>4</v>
      </c>
      <c r="AO408" t="str">
        <f t="shared" si="20"/>
        <v>Wednesday</v>
      </c>
    </row>
    <row r="409" spans="1:41" x14ac:dyDescent="0.2">
      <c r="B409" s="1">
        <v>45945</v>
      </c>
      <c r="C409" s="1">
        <f t="shared" si="18"/>
        <v>45961</v>
      </c>
      <c r="D409">
        <v>475</v>
      </c>
      <c r="E409">
        <v>0</v>
      </c>
      <c r="F409">
        <v>0</v>
      </c>
      <c r="G409">
        <v>0</v>
      </c>
      <c r="H409">
        <v>0</v>
      </c>
      <c r="I409">
        <v>0</v>
      </c>
      <c r="J409">
        <v>0</v>
      </c>
      <c r="K409">
        <v>0</v>
      </c>
      <c r="AN409">
        <f t="shared" si="19"/>
        <v>4</v>
      </c>
      <c r="AO409" t="str">
        <f t="shared" si="20"/>
        <v>Wednesday</v>
      </c>
    </row>
    <row r="410" spans="1:41" x14ac:dyDescent="0.2">
      <c r="A410" t="s">
        <v>37</v>
      </c>
      <c r="B410" s="1">
        <v>45944</v>
      </c>
      <c r="C410" s="1">
        <f t="shared" si="18"/>
        <v>45961</v>
      </c>
      <c r="D410">
        <v>38</v>
      </c>
      <c r="E410">
        <v>60</v>
      </c>
      <c r="F410">
        <v>3</v>
      </c>
      <c r="G410">
        <v>4</v>
      </c>
      <c r="H410">
        <v>5</v>
      </c>
      <c r="I410">
        <v>0</v>
      </c>
      <c r="J410">
        <v>0</v>
      </c>
      <c r="K410">
        <v>23</v>
      </c>
      <c r="L410" t="s">
        <v>37</v>
      </c>
      <c r="M410" t="s">
        <v>38</v>
      </c>
      <c r="N410" s="1">
        <v>45944</v>
      </c>
      <c r="O410" s="2">
        <v>0.54218750000000004</v>
      </c>
      <c r="P410" s="2">
        <v>0.7102546296296296</v>
      </c>
      <c r="Q410">
        <v>4.03</v>
      </c>
      <c r="R410">
        <v>4.03</v>
      </c>
      <c r="S410">
        <v>2.2400000000000002</v>
      </c>
      <c r="T410">
        <v>0</v>
      </c>
      <c r="U410">
        <v>0</v>
      </c>
      <c r="V410">
        <v>0.13</v>
      </c>
      <c r="W410">
        <v>1.65</v>
      </c>
      <c r="X410">
        <v>0</v>
      </c>
      <c r="Y410">
        <v>0</v>
      </c>
      <c r="Z410">
        <v>0</v>
      </c>
      <c r="AA410">
        <v>0</v>
      </c>
      <c r="AB410">
        <v>0.01</v>
      </c>
      <c r="AC410">
        <v>4.03</v>
      </c>
      <c r="AD410">
        <v>55.55</v>
      </c>
      <c r="AE410">
        <v>0</v>
      </c>
      <c r="AF410">
        <v>0</v>
      </c>
      <c r="AG410">
        <v>3.35</v>
      </c>
      <c r="AH410">
        <v>40.94</v>
      </c>
      <c r="AI410">
        <v>0</v>
      </c>
      <c r="AJ410">
        <v>0</v>
      </c>
      <c r="AK410">
        <v>0</v>
      </c>
      <c r="AL410">
        <v>0</v>
      </c>
      <c r="AM410">
        <v>0.16</v>
      </c>
      <c r="AN410">
        <f t="shared" si="19"/>
        <v>3</v>
      </c>
      <c r="AO410" t="str">
        <f t="shared" si="20"/>
        <v>Tuesday</v>
      </c>
    </row>
    <row r="411" spans="1:41" x14ac:dyDescent="0.2">
      <c r="A411" t="s">
        <v>39</v>
      </c>
      <c r="B411" s="1">
        <v>45944</v>
      </c>
      <c r="C411" s="1">
        <f t="shared" si="18"/>
        <v>45961</v>
      </c>
      <c r="D411">
        <v>108</v>
      </c>
      <c r="E411">
        <v>184</v>
      </c>
      <c r="F411">
        <v>6</v>
      </c>
      <c r="G411">
        <v>1</v>
      </c>
      <c r="H411">
        <v>10</v>
      </c>
      <c r="I411">
        <v>0</v>
      </c>
      <c r="J411">
        <v>0</v>
      </c>
      <c r="K411">
        <v>55</v>
      </c>
      <c r="L411" t="s">
        <v>39</v>
      </c>
      <c r="M411" t="s">
        <v>38</v>
      </c>
      <c r="N411" s="1">
        <v>45944</v>
      </c>
      <c r="O411" s="2">
        <v>0.54184027777777777</v>
      </c>
      <c r="P411" s="2">
        <v>0.91675925925925927</v>
      </c>
      <c r="Q411">
        <v>9</v>
      </c>
      <c r="R411">
        <v>9</v>
      </c>
      <c r="S411">
        <v>3.96</v>
      </c>
      <c r="T411">
        <v>0.08</v>
      </c>
      <c r="U411">
        <v>0</v>
      </c>
      <c r="V411">
        <v>7.0000000000000007E-2</v>
      </c>
      <c r="W411">
        <v>3.39</v>
      </c>
      <c r="X411">
        <v>1.5</v>
      </c>
      <c r="Y411">
        <v>0</v>
      </c>
      <c r="Z411">
        <v>0</v>
      </c>
      <c r="AA411">
        <v>0</v>
      </c>
      <c r="AB411">
        <v>0</v>
      </c>
      <c r="AC411">
        <v>9</v>
      </c>
      <c r="AD411">
        <v>44</v>
      </c>
      <c r="AE411">
        <v>0.87</v>
      </c>
      <c r="AF411">
        <v>0</v>
      </c>
      <c r="AG411">
        <v>0.76</v>
      </c>
      <c r="AH411">
        <v>37.71</v>
      </c>
      <c r="AI411">
        <v>16.62</v>
      </c>
      <c r="AJ411">
        <v>0</v>
      </c>
      <c r="AK411">
        <v>0</v>
      </c>
      <c r="AL411">
        <v>0</v>
      </c>
      <c r="AM411">
        <v>0.05</v>
      </c>
      <c r="AN411">
        <f t="shared" si="19"/>
        <v>3</v>
      </c>
      <c r="AO411" t="str">
        <f t="shared" si="20"/>
        <v>Tuesday</v>
      </c>
    </row>
    <row r="412" spans="1:41" x14ac:dyDescent="0.2">
      <c r="A412" t="s">
        <v>40</v>
      </c>
      <c r="B412" s="1">
        <v>45944</v>
      </c>
      <c r="C412" s="1">
        <f t="shared" si="18"/>
        <v>45961</v>
      </c>
      <c r="D412">
        <v>88</v>
      </c>
      <c r="E412">
        <v>121</v>
      </c>
      <c r="F412">
        <v>5</v>
      </c>
      <c r="G412">
        <v>0</v>
      </c>
      <c r="H412">
        <v>3</v>
      </c>
      <c r="I412">
        <v>0</v>
      </c>
      <c r="J412">
        <v>0</v>
      </c>
      <c r="K412">
        <v>30</v>
      </c>
      <c r="L412" t="s">
        <v>40</v>
      </c>
      <c r="M412" t="s">
        <v>38</v>
      </c>
      <c r="N412" s="1">
        <v>45944</v>
      </c>
      <c r="O412" s="2">
        <v>0.55637731481481478</v>
      </c>
      <c r="P412" s="2">
        <v>0.91708333333333336</v>
      </c>
      <c r="Q412">
        <v>8.65</v>
      </c>
      <c r="R412">
        <v>8.66</v>
      </c>
      <c r="S412">
        <v>4.8</v>
      </c>
      <c r="T412">
        <v>0.38</v>
      </c>
      <c r="U412">
        <v>0</v>
      </c>
      <c r="V412">
        <v>0.12</v>
      </c>
      <c r="W412">
        <v>1.83</v>
      </c>
      <c r="X412">
        <v>1.53</v>
      </c>
      <c r="Y412">
        <v>0</v>
      </c>
      <c r="Z412">
        <v>0</v>
      </c>
      <c r="AA412">
        <v>0</v>
      </c>
      <c r="AB412">
        <v>0</v>
      </c>
      <c r="AC412">
        <v>8.66</v>
      </c>
      <c r="AD412">
        <v>55.45</v>
      </c>
      <c r="AE412">
        <v>4.37</v>
      </c>
      <c r="AF412">
        <v>0</v>
      </c>
      <c r="AG412">
        <v>1.34</v>
      </c>
      <c r="AH412">
        <v>21.09</v>
      </c>
      <c r="AI412">
        <v>17.7</v>
      </c>
      <c r="AJ412">
        <v>0</v>
      </c>
      <c r="AK412">
        <v>0</v>
      </c>
      <c r="AL412">
        <v>0</v>
      </c>
      <c r="AM412">
        <v>0.04</v>
      </c>
      <c r="AN412">
        <f t="shared" si="19"/>
        <v>3</v>
      </c>
      <c r="AO412" t="str">
        <f t="shared" si="20"/>
        <v>Tuesday</v>
      </c>
    </row>
    <row r="413" spans="1:41" x14ac:dyDescent="0.2">
      <c r="A413" t="s">
        <v>41</v>
      </c>
      <c r="B413" s="1">
        <v>45944</v>
      </c>
      <c r="C413" s="1">
        <f t="shared" si="18"/>
        <v>45961</v>
      </c>
      <c r="D413">
        <v>100</v>
      </c>
      <c r="E413">
        <v>191</v>
      </c>
      <c r="F413">
        <v>2</v>
      </c>
      <c r="G413">
        <v>3</v>
      </c>
      <c r="H413">
        <v>8</v>
      </c>
      <c r="I413">
        <v>1</v>
      </c>
      <c r="J413">
        <v>7</v>
      </c>
      <c r="K413">
        <v>62</v>
      </c>
      <c r="L413" t="s">
        <v>41</v>
      </c>
      <c r="M413" t="s">
        <v>38</v>
      </c>
      <c r="N413" s="1">
        <v>45944</v>
      </c>
      <c r="O413" s="2">
        <v>0.54192129629629626</v>
      </c>
      <c r="P413" s="2">
        <v>0.91616898148148151</v>
      </c>
      <c r="Q413">
        <v>8.98</v>
      </c>
      <c r="R413">
        <v>8.98</v>
      </c>
      <c r="S413">
        <v>2.88</v>
      </c>
      <c r="T413">
        <v>0.32</v>
      </c>
      <c r="U413">
        <v>0</v>
      </c>
      <c r="V413">
        <v>0.14000000000000001</v>
      </c>
      <c r="W413">
        <v>4.17</v>
      </c>
      <c r="X413">
        <v>1.46</v>
      </c>
      <c r="Y413">
        <v>0</v>
      </c>
      <c r="Z413">
        <v>0</v>
      </c>
      <c r="AA413">
        <v>0</v>
      </c>
      <c r="AB413">
        <v>0</v>
      </c>
      <c r="AC413">
        <v>8.98</v>
      </c>
      <c r="AD413">
        <v>32.06</v>
      </c>
      <c r="AE413">
        <v>3.52</v>
      </c>
      <c r="AF413">
        <v>0</v>
      </c>
      <c r="AG413">
        <v>1.61</v>
      </c>
      <c r="AH413">
        <v>46.48</v>
      </c>
      <c r="AI413">
        <v>16.29</v>
      </c>
      <c r="AJ413">
        <v>0</v>
      </c>
      <c r="AK413">
        <v>0</v>
      </c>
      <c r="AL413">
        <v>0</v>
      </c>
      <c r="AM413">
        <v>0.04</v>
      </c>
      <c r="AN413">
        <f t="shared" si="19"/>
        <v>3</v>
      </c>
      <c r="AO413" t="str">
        <f t="shared" si="20"/>
        <v>Tuesday</v>
      </c>
    </row>
    <row r="414" spans="1:41" x14ac:dyDescent="0.2">
      <c r="A414" t="s">
        <v>42</v>
      </c>
      <c r="B414" s="1">
        <v>45944</v>
      </c>
      <c r="C414" s="1">
        <f t="shared" si="18"/>
        <v>45961</v>
      </c>
      <c r="D414">
        <v>1</v>
      </c>
      <c r="E414">
        <v>2</v>
      </c>
      <c r="F414">
        <v>0</v>
      </c>
      <c r="G414">
        <v>0</v>
      </c>
      <c r="H414">
        <v>0</v>
      </c>
      <c r="I414">
        <v>0</v>
      </c>
      <c r="J414">
        <v>0</v>
      </c>
      <c r="K414">
        <v>0</v>
      </c>
      <c r="L414" t="s">
        <v>42</v>
      </c>
      <c r="M414" t="s">
        <v>38</v>
      </c>
      <c r="N414" s="1">
        <v>45944</v>
      </c>
      <c r="O414" s="2">
        <v>0.86934027777777778</v>
      </c>
      <c r="P414" s="2">
        <v>0.89356481481481487</v>
      </c>
      <c r="Q414">
        <v>0.57999999999999996</v>
      </c>
      <c r="R414">
        <v>0.25</v>
      </c>
      <c r="S414">
        <v>0.22</v>
      </c>
      <c r="T414">
        <v>0</v>
      </c>
      <c r="U414">
        <v>0</v>
      </c>
      <c r="V414">
        <v>0.01</v>
      </c>
      <c r="W414">
        <v>0</v>
      </c>
      <c r="X414">
        <v>0</v>
      </c>
      <c r="Y414">
        <v>0</v>
      </c>
      <c r="Z414">
        <v>0</v>
      </c>
      <c r="AA414">
        <v>0</v>
      </c>
      <c r="AB414">
        <v>0.02</v>
      </c>
      <c r="AC414">
        <v>0.25</v>
      </c>
      <c r="AD414">
        <v>89.72</v>
      </c>
      <c r="AE414">
        <v>0</v>
      </c>
      <c r="AF414">
        <v>0</v>
      </c>
      <c r="AG414">
        <v>2.6</v>
      </c>
      <c r="AH414">
        <v>0</v>
      </c>
      <c r="AI414">
        <v>0</v>
      </c>
      <c r="AJ414">
        <v>0</v>
      </c>
      <c r="AK414">
        <v>0</v>
      </c>
      <c r="AL414">
        <v>0</v>
      </c>
      <c r="AM414">
        <v>7.68</v>
      </c>
      <c r="AN414">
        <f t="shared" si="19"/>
        <v>3</v>
      </c>
      <c r="AO414" t="str">
        <f t="shared" si="20"/>
        <v>Tuesday</v>
      </c>
    </row>
    <row r="415" spans="1:41" x14ac:dyDescent="0.2">
      <c r="A415" t="s">
        <v>43</v>
      </c>
      <c r="B415" s="1">
        <v>45944</v>
      </c>
      <c r="C415" s="1">
        <f t="shared" si="18"/>
        <v>45961</v>
      </c>
      <c r="D415">
        <v>93</v>
      </c>
      <c r="E415">
        <v>158</v>
      </c>
      <c r="F415">
        <v>5</v>
      </c>
      <c r="G415">
        <v>0</v>
      </c>
      <c r="H415">
        <v>4</v>
      </c>
      <c r="I415">
        <v>0</v>
      </c>
      <c r="J415">
        <v>1</v>
      </c>
      <c r="K415">
        <v>36</v>
      </c>
      <c r="L415" t="s">
        <v>43</v>
      </c>
      <c r="M415" t="s">
        <v>38</v>
      </c>
      <c r="N415" s="1">
        <v>45944</v>
      </c>
      <c r="O415" s="2">
        <v>0.54192129629629626</v>
      </c>
      <c r="P415" s="2">
        <v>0.91821759259259261</v>
      </c>
      <c r="Q415">
        <v>9.0299999999999994</v>
      </c>
      <c r="R415">
        <v>9.0299999999999994</v>
      </c>
      <c r="S415">
        <v>4.2699999999999996</v>
      </c>
      <c r="T415">
        <v>0.4</v>
      </c>
      <c r="U415">
        <v>0</v>
      </c>
      <c r="V415">
        <v>0.64</v>
      </c>
      <c r="W415">
        <v>2.2799999999999998</v>
      </c>
      <c r="X415">
        <v>1.44</v>
      </c>
      <c r="Y415">
        <v>0</v>
      </c>
      <c r="Z415">
        <v>0</v>
      </c>
      <c r="AA415">
        <v>0</v>
      </c>
      <c r="AB415">
        <v>0</v>
      </c>
      <c r="AC415">
        <v>9.0299999999999994</v>
      </c>
      <c r="AD415">
        <v>47.26</v>
      </c>
      <c r="AE415">
        <v>4.4000000000000004</v>
      </c>
      <c r="AF415">
        <v>0.01</v>
      </c>
      <c r="AG415">
        <v>7.12</v>
      </c>
      <c r="AH415">
        <v>25.26</v>
      </c>
      <c r="AI415">
        <v>15.92</v>
      </c>
      <c r="AJ415">
        <v>0</v>
      </c>
      <c r="AK415">
        <v>0</v>
      </c>
      <c r="AL415">
        <v>0</v>
      </c>
      <c r="AM415">
        <v>0.03</v>
      </c>
      <c r="AN415">
        <f t="shared" si="19"/>
        <v>3</v>
      </c>
      <c r="AO415" t="str">
        <f t="shared" si="20"/>
        <v>Tuesday</v>
      </c>
    </row>
    <row r="416" spans="1:41" x14ac:dyDescent="0.2">
      <c r="B416" s="1">
        <v>45944</v>
      </c>
      <c r="C416" s="1">
        <f t="shared" si="18"/>
        <v>45961</v>
      </c>
      <c r="D416">
        <v>331</v>
      </c>
      <c r="E416">
        <v>0</v>
      </c>
      <c r="F416">
        <v>0</v>
      </c>
      <c r="G416">
        <v>0</v>
      </c>
      <c r="H416">
        <v>0</v>
      </c>
      <c r="I416">
        <v>0</v>
      </c>
      <c r="J416">
        <v>0</v>
      </c>
      <c r="K416">
        <v>0</v>
      </c>
      <c r="AN416">
        <f t="shared" si="19"/>
        <v>3</v>
      </c>
      <c r="AO416" t="str">
        <f t="shared" si="20"/>
        <v>Tuesday</v>
      </c>
    </row>
    <row r="417" spans="1:41" x14ac:dyDescent="0.2">
      <c r="A417" t="s">
        <v>37</v>
      </c>
      <c r="B417" s="1">
        <v>45943</v>
      </c>
      <c r="C417" s="1">
        <f t="shared" si="18"/>
        <v>45961</v>
      </c>
      <c r="D417">
        <v>90</v>
      </c>
      <c r="E417">
        <v>141</v>
      </c>
      <c r="F417">
        <v>9</v>
      </c>
      <c r="G417">
        <v>1</v>
      </c>
      <c r="H417">
        <v>3</v>
      </c>
      <c r="I417">
        <v>0</v>
      </c>
      <c r="J417">
        <v>1</v>
      </c>
      <c r="K417">
        <v>33</v>
      </c>
      <c r="L417" t="s">
        <v>37</v>
      </c>
      <c r="M417" t="s">
        <v>38</v>
      </c>
      <c r="N417" s="1">
        <v>45943</v>
      </c>
      <c r="O417" s="2">
        <v>0.54224537037037035</v>
      </c>
      <c r="P417" s="2">
        <v>0.92633101851851851</v>
      </c>
      <c r="Q417">
        <v>9.2200000000000006</v>
      </c>
      <c r="R417">
        <v>8.2799999999999994</v>
      </c>
      <c r="S417">
        <v>3.79</v>
      </c>
      <c r="T417">
        <v>0.2</v>
      </c>
      <c r="U417">
        <v>0</v>
      </c>
      <c r="V417">
        <v>0.09</v>
      </c>
      <c r="W417">
        <v>3.01</v>
      </c>
      <c r="X417">
        <v>0.53</v>
      </c>
      <c r="Y417">
        <v>0.64</v>
      </c>
      <c r="Z417">
        <v>0</v>
      </c>
      <c r="AA417">
        <v>0</v>
      </c>
      <c r="AB417">
        <v>0.01</v>
      </c>
      <c r="AC417">
        <v>8.2799999999999994</v>
      </c>
      <c r="AD417">
        <v>45.8</v>
      </c>
      <c r="AE417">
        <v>2.37</v>
      </c>
      <c r="AF417">
        <v>0</v>
      </c>
      <c r="AG417">
        <v>1.08</v>
      </c>
      <c r="AH417">
        <v>36.43</v>
      </c>
      <c r="AI417">
        <v>6.43</v>
      </c>
      <c r="AJ417">
        <v>7.72</v>
      </c>
      <c r="AK417">
        <v>0</v>
      </c>
      <c r="AL417">
        <v>0</v>
      </c>
      <c r="AM417">
        <v>0.17</v>
      </c>
      <c r="AN417">
        <f t="shared" si="19"/>
        <v>2</v>
      </c>
      <c r="AO417" t="str">
        <f t="shared" si="20"/>
        <v>Monday</v>
      </c>
    </row>
    <row r="418" spans="1:41" x14ac:dyDescent="0.2">
      <c r="A418" t="s">
        <v>39</v>
      </c>
      <c r="B418" s="1">
        <v>45943</v>
      </c>
      <c r="C418" s="1">
        <f t="shared" si="18"/>
        <v>45961</v>
      </c>
      <c r="D418">
        <v>99</v>
      </c>
      <c r="E418">
        <v>161</v>
      </c>
      <c r="F418">
        <v>10</v>
      </c>
      <c r="G418">
        <v>1</v>
      </c>
      <c r="H418">
        <v>5</v>
      </c>
      <c r="I418">
        <v>0</v>
      </c>
      <c r="J418">
        <v>0</v>
      </c>
      <c r="K418">
        <v>56</v>
      </c>
      <c r="L418" t="s">
        <v>39</v>
      </c>
      <c r="M418" t="s">
        <v>38</v>
      </c>
      <c r="N418" s="1">
        <v>45943</v>
      </c>
      <c r="O418" s="2">
        <v>0.54171296296296301</v>
      </c>
      <c r="P418" s="2">
        <v>0.91672453703703705</v>
      </c>
      <c r="Q418">
        <v>9</v>
      </c>
      <c r="R418">
        <v>9</v>
      </c>
      <c r="S418">
        <v>2.76</v>
      </c>
      <c r="T418">
        <v>0</v>
      </c>
      <c r="U418">
        <v>0</v>
      </c>
      <c r="V418">
        <v>0.08</v>
      </c>
      <c r="W418">
        <v>4.67</v>
      </c>
      <c r="X418">
        <v>1.49</v>
      </c>
      <c r="Y418">
        <v>0</v>
      </c>
      <c r="Z418">
        <v>0</v>
      </c>
      <c r="AA418">
        <v>0</v>
      </c>
      <c r="AB418">
        <v>0.01</v>
      </c>
      <c r="AC418">
        <v>9</v>
      </c>
      <c r="AD418">
        <v>30.64</v>
      </c>
      <c r="AE418">
        <v>0</v>
      </c>
      <c r="AF418">
        <v>0</v>
      </c>
      <c r="AG418">
        <v>0.85</v>
      </c>
      <c r="AH418">
        <v>51.89</v>
      </c>
      <c r="AI418">
        <v>16.52</v>
      </c>
      <c r="AJ418">
        <v>0</v>
      </c>
      <c r="AK418">
        <v>0</v>
      </c>
      <c r="AL418">
        <v>0</v>
      </c>
      <c r="AM418">
        <v>0.1</v>
      </c>
      <c r="AN418">
        <f t="shared" si="19"/>
        <v>2</v>
      </c>
      <c r="AO418" t="str">
        <f t="shared" si="20"/>
        <v>Monday</v>
      </c>
    </row>
    <row r="419" spans="1:41" x14ac:dyDescent="0.2">
      <c r="A419" t="s">
        <v>41</v>
      </c>
      <c r="B419" s="1">
        <v>45943</v>
      </c>
      <c r="C419" s="1">
        <f t="shared" si="18"/>
        <v>45961</v>
      </c>
      <c r="D419">
        <v>107</v>
      </c>
      <c r="E419">
        <v>185</v>
      </c>
      <c r="F419">
        <v>8</v>
      </c>
      <c r="G419">
        <v>6</v>
      </c>
      <c r="H419">
        <v>5</v>
      </c>
      <c r="I419">
        <v>0</v>
      </c>
      <c r="J419">
        <v>1</v>
      </c>
      <c r="K419">
        <v>69</v>
      </c>
      <c r="L419" t="s">
        <v>41</v>
      </c>
      <c r="M419" t="s">
        <v>38</v>
      </c>
      <c r="N419" s="1">
        <v>45943</v>
      </c>
      <c r="O419" s="2">
        <v>0.54189814814814818</v>
      </c>
      <c r="P419" s="2">
        <v>0.91568287037037033</v>
      </c>
      <c r="Q419">
        <v>8.9700000000000006</v>
      </c>
      <c r="R419">
        <v>8.9700000000000006</v>
      </c>
      <c r="S419">
        <v>2.4900000000000002</v>
      </c>
      <c r="T419">
        <v>0.73</v>
      </c>
      <c r="U419">
        <v>0</v>
      </c>
      <c r="V419">
        <v>0.21</v>
      </c>
      <c r="W419">
        <v>4.09</v>
      </c>
      <c r="X419">
        <v>1.43</v>
      </c>
      <c r="Y419">
        <v>0</v>
      </c>
      <c r="Z419">
        <v>0</v>
      </c>
      <c r="AA419">
        <v>0</v>
      </c>
      <c r="AB419">
        <v>0</v>
      </c>
      <c r="AC419">
        <v>8.9700000000000006</v>
      </c>
      <c r="AD419">
        <v>27.8</v>
      </c>
      <c r="AE419">
        <v>8.19</v>
      </c>
      <c r="AF419">
        <v>0</v>
      </c>
      <c r="AG419">
        <v>2.34</v>
      </c>
      <c r="AH419">
        <v>45.64</v>
      </c>
      <c r="AI419">
        <v>15.99</v>
      </c>
      <c r="AJ419">
        <v>0</v>
      </c>
      <c r="AK419">
        <v>0</v>
      </c>
      <c r="AL419">
        <v>0</v>
      </c>
      <c r="AM419">
        <v>0.04</v>
      </c>
      <c r="AN419">
        <f t="shared" si="19"/>
        <v>2</v>
      </c>
      <c r="AO419" t="str">
        <f t="shared" si="20"/>
        <v>Monday</v>
      </c>
    </row>
    <row r="420" spans="1:41" x14ac:dyDescent="0.2">
      <c r="A420" t="s">
        <v>43</v>
      </c>
      <c r="B420" s="1">
        <v>45943</v>
      </c>
      <c r="C420" s="1">
        <f t="shared" si="18"/>
        <v>45961</v>
      </c>
      <c r="D420">
        <v>72</v>
      </c>
      <c r="E420">
        <v>93</v>
      </c>
      <c r="F420">
        <v>0</v>
      </c>
      <c r="G420">
        <v>0</v>
      </c>
      <c r="H420">
        <v>2</v>
      </c>
      <c r="I420">
        <v>0</v>
      </c>
      <c r="J420">
        <v>0</v>
      </c>
      <c r="K420">
        <v>20</v>
      </c>
      <c r="L420" t="s">
        <v>43</v>
      </c>
      <c r="M420" t="s">
        <v>38</v>
      </c>
      <c r="N420" s="1">
        <v>45943</v>
      </c>
      <c r="O420" s="2">
        <v>0.54208333333333336</v>
      </c>
      <c r="P420" s="2">
        <v>0.91828703703703707</v>
      </c>
      <c r="Q420">
        <v>9.0299999999999994</v>
      </c>
      <c r="R420">
        <v>9.0299999999999994</v>
      </c>
      <c r="S420">
        <v>4.34</v>
      </c>
      <c r="T420">
        <v>0.28000000000000003</v>
      </c>
      <c r="U420">
        <v>0</v>
      </c>
      <c r="V420">
        <v>7.0000000000000007E-2</v>
      </c>
      <c r="W420">
        <v>2.89</v>
      </c>
      <c r="X420">
        <v>1.45</v>
      </c>
      <c r="Y420">
        <v>0</v>
      </c>
      <c r="Z420">
        <v>0</v>
      </c>
      <c r="AA420">
        <v>0</v>
      </c>
      <c r="AB420">
        <v>0</v>
      </c>
      <c r="AC420">
        <v>9.0299999999999994</v>
      </c>
      <c r="AD420">
        <v>48.08</v>
      </c>
      <c r="AE420">
        <v>3.11</v>
      </c>
      <c r="AF420">
        <v>0</v>
      </c>
      <c r="AG420">
        <v>0.74</v>
      </c>
      <c r="AH420">
        <v>31.98</v>
      </c>
      <c r="AI420">
        <v>16.07</v>
      </c>
      <c r="AJ420">
        <v>0</v>
      </c>
      <c r="AK420">
        <v>0</v>
      </c>
      <c r="AL420">
        <v>0</v>
      </c>
      <c r="AM420">
        <v>0.03</v>
      </c>
      <c r="AN420">
        <f t="shared" si="19"/>
        <v>2</v>
      </c>
      <c r="AO420" t="str">
        <f t="shared" si="20"/>
        <v>Monday</v>
      </c>
    </row>
    <row r="421" spans="1:41" x14ac:dyDescent="0.2">
      <c r="B421" s="1">
        <v>45943</v>
      </c>
      <c r="C421" s="1">
        <f t="shared" si="18"/>
        <v>45961</v>
      </c>
      <c r="D421">
        <v>380</v>
      </c>
      <c r="E421">
        <v>0</v>
      </c>
      <c r="F421">
        <v>0</v>
      </c>
      <c r="G421">
        <v>0</v>
      </c>
      <c r="H421">
        <v>0</v>
      </c>
      <c r="I421">
        <v>0</v>
      </c>
      <c r="J421">
        <v>0</v>
      </c>
      <c r="K421">
        <v>0</v>
      </c>
      <c r="AN421">
        <f t="shared" si="19"/>
        <v>2</v>
      </c>
      <c r="AO421" t="str">
        <f t="shared" si="20"/>
        <v>Monday</v>
      </c>
    </row>
    <row r="422" spans="1:41" x14ac:dyDescent="0.2">
      <c r="A422" t="s">
        <v>37</v>
      </c>
      <c r="B422" s="1">
        <v>45940</v>
      </c>
      <c r="C422" s="1">
        <f t="shared" si="18"/>
        <v>45961</v>
      </c>
      <c r="D422">
        <v>23</v>
      </c>
      <c r="E422">
        <v>43</v>
      </c>
      <c r="F422">
        <v>5</v>
      </c>
      <c r="G422">
        <v>2</v>
      </c>
      <c r="H422">
        <v>6</v>
      </c>
      <c r="I422">
        <v>0</v>
      </c>
      <c r="J422">
        <v>0</v>
      </c>
      <c r="K422">
        <v>19</v>
      </c>
      <c r="L422" t="s">
        <v>37</v>
      </c>
      <c r="M422" t="s">
        <v>38</v>
      </c>
      <c r="N422" s="1">
        <v>45940</v>
      </c>
      <c r="O422" s="2">
        <v>0.54118055555555555</v>
      </c>
      <c r="P422" s="2">
        <v>0.91684027777777777</v>
      </c>
      <c r="Q422">
        <v>9.02</v>
      </c>
      <c r="R422">
        <v>8.09</v>
      </c>
      <c r="S422">
        <v>1.6</v>
      </c>
      <c r="T422">
        <v>0.03</v>
      </c>
      <c r="U422">
        <v>0</v>
      </c>
      <c r="V422">
        <v>0.13</v>
      </c>
      <c r="W422">
        <v>5.72</v>
      </c>
      <c r="X422">
        <v>0.52</v>
      </c>
      <c r="Y422">
        <v>0</v>
      </c>
      <c r="Z422">
        <v>0</v>
      </c>
      <c r="AA422">
        <v>0.06</v>
      </c>
      <c r="AB422">
        <v>0.04</v>
      </c>
      <c r="AC422">
        <v>8.09</v>
      </c>
      <c r="AD422">
        <v>19.77</v>
      </c>
      <c r="AE422">
        <v>0.34</v>
      </c>
      <c r="AF422">
        <v>0</v>
      </c>
      <c r="AG422">
        <v>1.59</v>
      </c>
      <c r="AH422">
        <v>70.650000000000006</v>
      </c>
      <c r="AI422">
        <v>6.39</v>
      </c>
      <c r="AJ422">
        <v>0</v>
      </c>
      <c r="AK422">
        <v>0</v>
      </c>
      <c r="AL422">
        <v>0.76</v>
      </c>
      <c r="AM422">
        <v>0.48</v>
      </c>
      <c r="AN422">
        <f t="shared" si="19"/>
        <v>6</v>
      </c>
      <c r="AO422" t="str">
        <f t="shared" si="20"/>
        <v>Friday</v>
      </c>
    </row>
    <row r="423" spans="1:41" x14ac:dyDescent="0.2">
      <c r="A423" t="s">
        <v>39</v>
      </c>
      <c r="B423" s="1">
        <v>45940</v>
      </c>
      <c r="C423" s="1">
        <f t="shared" si="18"/>
        <v>45961</v>
      </c>
      <c r="D423">
        <v>24</v>
      </c>
      <c r="E423">
        <v>46</v>
      </c>
      <c r="F423">
        <v>8</v>
      </c>
      <c r="G423">
        <v>3</v>
      </c>
      <c r="H423">
        <v>1</v>
      </c>
      <c r="I423">
        <v>0</v>
      </c>
      <c r="J423">
        <v>0</v>
      </c>
      <c r="K423">
        <v>23</v>
      </c>
      <c r="L423" t="s">
        <v>39</v>
      </c>
      <c r="M423" t="s">
        <v>38</v>
      </c>
      <c r="N423" s="1">
        <v>45940</v>
      </c>
      <c r="O423" s="2">
        <v>0.541875</v>
      </c>
      <c r="P423" s="2">
        <v>0.92387731481481483</v>
      </c>
      <c r="Q423">
        <v>9.17</v>
      </c>
      <c r="R423">
        <v>9.17</v>
      </c>
      <c r="S423">
        <v>1.48</v>
      </c>
      <c r="T423">
        <v>0.09</v>
      </c>
      <c r="U423">
        <v>0</v>
      </c>
      <c r="V423">
        <v>0.02</v>
      </c>
      <c r="W423">
        <v>5.81</v>
      </c>
      <c r="X423">
        <v>1.47</v>
      </c>
      <c r="Y423">
        <v>0.28000000000000003</v>
      </c>
      <c r="Z423">
        <v>0</v>
      </c>
      <c r="AA423">
        <v>0</v>
      </c>
      <c r="AB423">
        <v>0.01</v>
      </c>
      <c r="AC423">
        <v>9.17</v>
      </c>
      <c r="AD423">
        <v>16.12</v>
      </c>
      <c r="AE423">
        <v>0.95</v>
      </c>
      <c r="AF423">
        <v>0</v>
      </c>
      <c r="AG423">
        <v>0.25</v>
      </c>
      <c r="AH423">
        <v>63.42</v>
      </c>
      <c r="AI423">
        <v>16.05</v>
      </c>
      <c r="AJ423">
        <v>3.1</v>
      </c>
      <c r="AK423">
        <v>0</v>
      </c>
      <c r="AL423">
        <v>0</v>
      </c>
      <c r="AM423">
        <v>0.1</v>
      </c>
      <c r="AN423">
        <f t="shared" si="19"/>
        <v>6</v>
      </c>
      <c r="AO423" t="str">
        <f t="shared" si="20"/>
        <v>Friday</v>
      </c>
    </row>
    <row r="424" spans="1:41" x14ac:dyDescent="0.2">
      <c r="A424" t="s">
        <v>40</v>
      </c>
      <c r="B424" s="1">
        <v>45940</v>
      </c>
      <c r="C424" s="1">
        <f t="shared" si="18"/>
        <v>45961</v>
      </c>
      <c r="D424">
        <v>12</v>
      </c>
      <c r="E424">
        <v>23</v>
      </c>
      <c r="F424">
        <v>3</v>
      </c>
      <c r="G424">
        <v>0</v>
      </c>
      <c r="H424">
        <v>4</v>
      </c>
      <c r="I424">
        <v>0</v>
      </c>
      <c r="J424">
        <v>0</v>
      </c>
      <c r="K424">
        <v>11</v>
      </c>
      <c r="L424" t="s">
        <v>40</v>
      </c>
      <c r="M424" t="s">
        <v>38</v>
      </c>
      <c r="N424" s="1">
        <v>45940</v>
      </c>
      <c r="O424" s="2">
        <v>0.54273148148148154</v>
      </c>
      <c r="P424" s="2">
        <v>0.70834490740740741</v>
      </c>
      <c r="Q424">
        <v>3.98</v>
      </c>
      <c r="R424">
        <v>3.97</v>
      </c>
      <c r="S424">
        <v>1.1200000000000001</v>
      </c>
      <c r="T424">
        <v>1.01</v>
      </c>
      <c r="U424">
        <v>0</v>
      </c>
      <c r="V424">
        <v>0.04</v>
      </c>
      <c r="W424">
        <v>1.56</v>
      </c>
      <c r="X424">
        <v>0.24</v>
      </c>
      <c r="Y424">
        <v>0</v>
      </c>
      <c r="Z424">
        <v>0</v>
      </c>
      <c r="AA424">
        <v>0</v>
      </c>
      <c r="AB424">
        <v>0.01</v>
      </c>
      <c r="AC424">
        <v>3.97</v>
      </c>
      <c r="AD424">
        <v>28.12</v>
      </c>
      <c r="AE424">
        <v>25.33</v>
      </c>
      <c r="AF424">
        <v>0</v>
      </c>
      <c r="AG424">
        <v>0.96</v>
      </c>
      <c r="AH424">
        <v>39.15</v>
      </c>
      <c r="AI424">
        <v>6.16</v>
      </c>
      <c r="AJ424">
        <v>0</v>
      </c>
      <c r="AK424">
        <v>0</v>
      </c>
      <c r="AL424">
        <v>0</v>
      </c>
      <c r="AM424">
        <v>0.27</v>
      </c>
      <c r="AN424">
        <f t="shared" si="19"/>
        <v>6</v>
      </c>
      <c r="AO424" t="str">
        <f t="shared" si="20"/>
        <v>Friday</v>
      </c>
    </row>
    <row r="425" spans="1:41" x14ac:dyDescent="0.2">
      <c r="A425" t="s">
        <v>41</v>
      </c>
      <c r="B425" s="1">
        <v>45940</v>
      </c>
      <c r="C425" s="1">
        <f t="shared" si="18"/>
        <v>45961</v>
      </c>
      <c r="D425">
        <v>22</v>
      </c>
      <c r="E425">
        <v>29</v>
      </c>
      <c r="F425">
        <v>4</v>
      </c>
      <c r="G425">
        <v>3</v>
      </c>
      <c r="H425">
        <v>6</v>
      </c>
      <c r="I425">
        <v>0</v>
      </c>
      <c r="J425">
        <v>0</v>
      </c>
      <c r="K425">
        <v>9</v>
      </c>
      <c r="L425" t="s">
        <v>41</v>
      </c>
      <c r="M425" t="s">
        <v>38</v>
      </c>
      <c r="N425" s="1">
        <v>45940</v>
      </c>
      <c r="O425" s="2">
        <v>0.541875</v>
      </c>
      <c r="P425" s="2">
        <v>0.91607638888888887</v>
      </c>
      <c r="Q425">
        <v>8.98</v>
      </c>
      <c r="R425">
        <v>8.98</v>
      </c>
      <c r="S425">
        <v>1.46</v>
      </c>
      <c r="T425">
        <v>0.42</v>
      </c>
      <c r="U425">
        <v>0</v>
      </c>
      <c r="V425">
        <v>0.22</v>
      </c>
      <c r="W425">
        <v>5.44</v>
      </c>
      <c r="X425">
        <v>1.44</v>
      </c>
      <c r="Y425">
        <v>0</v>
      </c>
      <c r="Z425">
        <v>0</v>
      </c>
      <c r="AA425">
        <v>0</v>
      </c>
      <c r="AB425">
        <v>0</v>
      </c>
      <c r="AC425">
        <v>8.98</v>
      </c>
      <c r="AD425">
        <v>16.22</v>
      </c>
      <c r="AE425">
        <v>4.7300000000000004</v>
      </c>
      <c r="AF425">
        <v>0</v>
      </c>
      <c r="AG425">
        <v>2.41</v>
      </c>
      <c r="AH425">
        <v>60.55</v>
      </c>
      <c r="AI425">
        <v>16.05</v>
      </c>
      <c r="AJ425">
        <v>0</v>
      </c>
      <c r="AK425">
        <v>0</v>
      </c>
      <c r="AL425">
        <v>0</v>
      </c>
      <c r="AM425">
        <v>0.04</v>
      </c>
      <c r="AN425">
        <f t="shared" si="19"/>
        <v>6</v>
      </c>
      <c r="AO425" t="str">
        <f t="shared" si="20"/>
        <v>Friday</v>
      </c>
    </row>
    <row r="426" spans="1:41" x14ac:dyDescent="0.2">
      <c r="A426" t="s">
        <v>43</v>
      </c>
      <c r="B426" s="1">
        <v>45940</v>
      </c>
      <c r="C426" s="1">
        <f t="shared" si="18"/>
        <v>45961</v>
      </c>
      <c r="D426">
        <v>31</v>
      </c>
      <c r="E426">
        <v>72</v>
      </c>
      <c r="F426">
        <v>10</v>
      </c>
      <c r="G426">
        <v>1</v>
      </c>
      <c r="H426">
        <v>1</v>
      </c>
      <c r="I426">
        <v>0</v>
      </c>
      <c r="J426">
        <v>0</v>
      </c>
      <c r="K426">
        <v>23</v>
      </c>
      <c r="L426" t="s">
        <v>43</v>
      </c>
      <c r="M426" t="s">
        <v>38</v>
      </c>
      <c r="N426" s="1">
        <v>45940</v>
      </c>
      <c r="O426" s="2">
        <v>0.54165509259259259</v>
      </c>
      <c r="P426" s="2">
        <v>0.9176157407407407</v>
      </c>
      <c r="Q426">
        <v>9.0299999999999994</v>
      </c>
      <c r="R426">
        <v>9.02</v>
      </c>
      <c r="S426">
        <v>1.21</v>
      </c>
      <c r="T426">
        <v>0.28000000000000003</v>
      </c>
      <c r="U426">
        <v>0</v>
      </c>
      <c r="V426">
        <v>0.21</v>
      </c>
      <c r="W426">
        <v>5.22</v>
      </c>
      <c r="X426">
        <v>2</v>
      </c>
      <c r="Y426">
        <v>0</v>
      </c>
      <c r="Z426">
        <v>0</v>
      </c>
      <c r="AA426">
        <v>0.1</v>
      </c>
      <c r="AB426">
        <v>0</v>
      </c>
      <c r="AC426">
        <v>9.02</v>
      </c>
      <c r="AD426">
        <v>13.44</v>
      </c>
      <c r="AE426">
        <v>3.09</v>
      </c>
      <c r="AF426">
        <v>0</v>
      </c>
      <c r="AG426">
        <v>2.33</v>
      </c>
      <c r="AH426">
        <v>57.88</v>
      </c>
      <c r="AI426">
        <v>22.12</v>
      </c>
      <c r="AJ426">
        <v>0</v>
      </c>
      <c r="AK426">
        <v>0</v>
      </c>
      <c r="AL426">
        <v>1.1200000000000001</v>
      </c>
      <c r="AM426">
        <v>0.04</v>
      </c>
      <c r="AN426">
        <f t="shared" si="19"/>
        <v>6</v>
      </c>
      <c r="AO426" t="str">
        <f t="shared" si="20"/>
        <v>Friday</v>
      </c>
    </row>
    <row r="427" spans="1:41" x14ac:dyDescent="0.2">
      <c r="B427" s="1">
        <v>45940</v>
      </c>
      <c r="C427" s="1">
        <f t="shared" si="18"/>
        <v>45961</v>
      </c>
      <c r="D427">
        <v>457</v>
      </c>
      <c r="E427">
        <v>0</v>
      </c>
      <c r="F427">
        <v>0</v>
      </c>
      <c r="G427">
        <v>0</v>
      </c>
      <c r="H427">
        <v>0</v>
      </c>
      <c r="I427">
        <v>0</v>
      </c>
      <c r="J427">
        <v>0</v>
      </c>
      <c r="K427">
        <v>0</v>
      </c>
      <c r="AN427">
        <f t="shared" si="19"/>
        <v>6</v>
      </c>
      <c r="AO427" t="str">
        <f t="shared" si="20"/>
        <v>Friday</v>
      </c>
    </row>
    <row r="428" spans="1:41" x14ac:dyDescent="0.2">
      <c r="A428" t="s">
        <v>37</v>
      </c>
      <c r="B428" s="1">
        <v>45939</v>
      </c>
      <c r="C428" s="1">
        <f t="shared" si="18"/>
        <v>45961</v>
      </c>
      <c r="D428">
        <v>22</v>
      </c>
      <c r="E428">
        <v>48</v>
      </c>
      <c r="F428">
        <v>6</v>
      </c>
      <c r="G428">
        <v>1</v>
      </c>
      <c r="H428">
        <v>4</v>
      </c>
      <c r="I428">
        <v>0</v>
      </c>
      <c r="J428">
        <v>0</v>
      </c>
      <c r="K428">
        <v>23</v>
      </c>
      <c r="L428" t="s">
        <v>37</v>
      </c>
      <c r="M428" t="s">
        <v>38</v>
      </c>
      <c r="N428" s="1">
        <v>45939</v>
      </c>
      <c r="O428" s="2">
        <v>0.54164351851851855</v>
      </c>
      <c r="P428" s="2">
        <v>0.91670138888888886</v>
      </c>
      <c r="Q428">
        <v>9.02</v>
      </c>
      <c r="R428">
        <v>8.07</v>
      </c>
      <c r="S428">
        <v>2.29</v>
      </c>
      <c r="T428">
        <v>0</v>
      </c>
      <c r="U428">
        <v>0</v>
      </c>
      <c r="V428">
        <v>0.09</v>
      </c>
      <c r="W428">
        <v>5.36</v>
      </c>
      <c r="X428">
        <v>0.33</v>
      </c>
      <c r="Y428">
        <v>0</v>
      </c>
      <c r="Z428">
        <v>0</v>
      </c>
      <c r="AA428">
        <v>0</v>
      </c>
      <c r="AB428">
        <v>0.02</v>
      </c>
      <c r="AC428">
        <v>8.07</v>
      </c>
      <c r="AD428">
        <v>28.34</v>
      </c>
      <c r="AE428">
        <v>0</v>
      </c>
      <c r="AF428">
        <v>0</v>
      </c>
      <c r="AG428">
        <v>1.08</v>
      </c>
      <c r="AH428">
        <v>66.349999999999994</v>
      </c>
      <c r="AI428">
        <v>4.03</v>
      </c>
      <c r="AJ428">
        <v>0</v>
      </c>
      <c r="AK428">
        <v>0</v>
      </c>
      <c r="AL428">
        <v>0</v>
      </c>
      <c r="AM428">
        <v>0.2</v>
      </c>
      <c r="AN428">
        <f t="shared" si="19"/>
        <v>5</v>
      </c>
      <c r="AO428" t="str">
        <f t="shared" si="20"/>
        <v>Thursday</v>
      </c>
    </row>
    <row r="429" spans="1:41" x14ac:dyDescent="0.2">
      <c r="A429" t="s">
        <v>39</v>
      </c>
      <c r="B429" s="1">
        <v>45939</v>
      </c>
      <c r="C429" s="1">
        <f t="shared" si="18"/>
        <v>45961</v>
      </c>
      <c r="D429">
        <v>23</v>
      </c>
      <c r="E429">
        <v>37</v>
      </c>
      <c r="F429">
        <v>5</v>
      </c>
      <c r="G429">
        <v>6</v>
      </c>
      <c r="H429">
        <v>6</v>
      </c>
      <c r="I429">
        <v>0</v>
      </c>
      <c r="J429">
        <v>0</v>
      </c>
      <c r="K429">
        <v>13</v>
      </c>
      <c r="L429" t="s">
        <v>39</v>
      </c>
      <c r="M429" t="s">
        <v>38</v>
      </c>
      <c r="N429" s="1">
        <v>45939</v>
      </c>
      <c r="O429" s="2">
        <v>0.54211805555555559</v>
      </c>
      <c r="P429" s="2">
        <v>0.91674768518518523</v>
      </c>
      <c r="Q429">
        <v>9</v>
      </c>
      <c r="R429">
        <v>8.99</v>
      </c>
      <c r="S429">
        <v>1.45</v>
      </c>
      <c r="T429">
        <v>0</v>
      </c>
      <c r="U429">
        <v>0</v>
      </c>
      <c r="V429">
        <v>0.05</v>
      </c>
      <c r="W429">
        <v>6</v>
      </c>
      <c r="X429">
        <v>1.49</v>
      </c>
      <c r="Y429">
        <v>0</v>
      </c>
      <c r="Z429">
        <v>0</v>
      </c>
      <c r="AA429">
        <v>0</v>
      </c>
      <c r="AB429">
        <v>0</v>
      </c>
      <c r="AC429">
        <v>8.99</v>
      </c>
      <c r="AD429">
        <v>16.11</v>
      </c>
      <c r="AE429">
        <v>0</v>
      </c>
      <c r="AF429">
        <v>0</v>
      </c>
      <c r="AG429">
        <v>0.57999999999999996</v>
      </c>
      <c r="AH429">
        <v>66.7</v>
      </c>
      <c r="AI429">
        <v>16.57</v>
      </c>
      <c r="AJ429">
        <v>0</v>
      </c>
      <c r="AK429">
        <v>0</v>
      </c>
      <c r="AL429">
        <v>0</v>
      </c>
      <c r="AM429">
        <v>0.05</v>
      </c>
      <c r="AN429">
        <f t="shared" si="19"/>
        <v>5</v>
      </c>
      <c r="AO429" t="str">
        <f t="shared" si="20"/>
        <v>Thursday</v>
      </c>
    </row>
    <row r="430" spans="1:41" x14ac:dyDescent="0.2">
      <c r="A430" t="s">
        <v>40</v>
      </c>
      <c r="B430" s="1">
        <v>45939</v>
      </c>
      <c r="C430" s="1">
        <f t="shared" si="18"/>
        <v>45961</v>
      </c>
      <c r="D430">
        <v>11</v>
      </c>
      <c r="E430">
        <v>22</v>
      </c>
      <c r="F430">
        <v>1</v>
      </c>
      <c r="G430">
        <v>0</v>
      </c>
      <c r="H430">
        <v>4</v>
      </c>
      <c r="I430">
        <v>0</v>
      </c>
      <c r="J430">
        <v>4</v>
      </c>
      <c r="K430">
        <v>9</v>
      </c>
      <c r="L430" t="s">
        <v>40</v>
      </c>
      <c r="M430" t="s">
        <v>38</v>
      </c>
      <c r="N430" s="1">
        <v>45939</v>
      </c>
      <c r="O430" s="2">
        <v>0.5414930555555556</v>
      </c>
      <c r="P430" s="2">
        <v>0.9238425925925926</v>
      </c>
      <c r="Q430">
        <v>9.18</v>
      </c>
      <c r="R430">
        <v>9.18</v>
      </c>
      <c r="S430">
        <v>1.1000000000000001</v>
      </c>
      <c r="T430">
        <v>0.61</v>
      </c>
      <c r="U430">
        <v>0</v>
      </c>
      <c r="V430">
        <v>0.06</v>
      </c>
      <c r="W430">
        <v>2.71</v>
      </c>
      <c r="X430">
        <v>1.28</v>
      </c>
      <c r="Y430">
        <v>3.33</v>
      </c>
      <c r="Z430">
        <v>0</v>
      </c>
      <c r="AA430">
        <v>0</v>
      </c>
      <c r="AB430">
        <v>0.08</v>
      </c>
      <c r="AC430">
        <v>9.18</v>
      </c>
      <c r="AD430">
        <v>12.02</v>
      </c>
      <c r="AE430">
        <v>6.61</v>
      </c>
      <c r="AF430">
        <v>0</v>
      </c>
      <c r="AG430">
        <v>0.65</v>
      </c>
      <c r="AH430">
        <v>29.52</v>
      </c>
      <c r="AI430">
        <v>13.94</v>
      </c>
      <c r="AJ430">
        <v>36.33</v>
      </c>
      <c r="AK430">
        <v>0</v>
      </c>
      <c r="AL430">
        <v>0</v>
      </c>
      <c r="AM430">
        <v>0.92</v>
      </c>
      <c r="AN430">
        <f t="shared" si="19"/>
        <v>5</v>
      </c>
      <c r="AO430" t="str">
        <f t="shared" si="20"/>
        <v>Thursday</v>
      </c>
    </row>
    <row r="431" spans="1:41" x14ac:dyDescent="0.2">
      <c r="A431" t="s">
        <v>41</v>
      </c>
      <c r="B431" s="1">
        <v>45939</v>
      </c>
      <c r="C431" s="1">
        <f t="shared" si="18"/>
        <v>45961</v>
      </c>
      <c r="D431">
        <v>24</v>
      </c>
      <c r="E431">
        <v>47</v>
      </c>
      <c r="F431">
        <v>3</v>
      </c>
      <c r="G431">
        <v>2</v>
      </c>
      <c r="H431">
        <v>2</v>
      </c>
      <c r="I431">
        <v>1</v>
      </c>
      <c r="J431">
        <v>0</v>
      </c>
      <c r="K431">
        <v>29</v>
      </c>
      <c r="L431" t="s">
        <v>41</v>
      </c>
      <c r="M431" t="s">
        <v>38</v>
      </c>
      <c r="N431" s="1">
        <v>45939</v>
      </c>
      <c r="O431" s="2">
        <v>0.54178240740740746</v>
      </c>
      <c r="P431" s="2">
        <v>0.9161111111111111</v>
      </c>
      <c r="Q431">
        <v>8.98</v>
      </c>
      <c r="R431">
        <v>8.98</v>
      </c>
      <c r="S431">
        <v>0.95</v>
      </c>
      <c r="T431">
        <v>0.26</v>
      </c>
      <c r="U431">
        <v>0</v>
      </c>
      <c r="V431">
        <v>0.12</v>
      </c>
      <c r="W431">
        <v>5.41</v>
      </c>
      <c r="X431">
        <v>1.47</v>
      </c>
      <c r="Y431">
        <v>0.77</v>
      </c>
      <c r="Z431">
        <v>0</v>
      </c>
      <c r="AA431">
        <v>0</v>
      </c>
      <c r="AB431">
        <v>0</v>
      </c>
      <c r="AC431">
        <v>8.98</v>
      </c>
      <c r="AD431">
        <v>10.54</v>
      </c>
      <c r="AE431">
        <v>2.92</v>
      </c>
      <c r="AF431">
        <v>0</v>
      </c>
      <c r="AG431">
        <v>1.38</v>
      </c>
      <c r="AH431">
        <v>60.22</v>
      </c>
      <c r="AI431">
        <v>16.32</v>
      </c>
      <c r="AJ431">
        <v>8.57</v>
      </c>
      <c r="AK431">
        <v>0</v>
      </c>
      <c r="AL431">
        <v>0</v>
      </c>
      <c r="AM431">
        <v>0.05</v>
      </c>
      <c r="AN431">
        <f t="shared" si="19"/>
        <v>5</v>
      </c>
      <c r="AO431" t="str">
        <f t="shared" si="20"/>
        <v>Thursday</v>
      </c>
    </row>
    <row r="432" spans="1:41" x14ac:dyDescent="0.2">
      <c r="A432" t="s">
        <v>43</v>
      </c>
      <c r="B432" s="1">
        <v>45939</v>
      </c>
      <c r="C432" s="1">
        <f t="shared" si="18"/>
        <v>45961</v>
      </c>
      <c r="D432">
        <v>26</v>
      </c>
      <c r="E432">
        <v>61</v>
      </c>
      <c r="F432">
        <v>1</v>
      </c>
      <c r="G432">
        <v>1</v>
      </c>
      <c r="H432">
        <v>0</v>
      </c>
      <c r="I432">
        <v>0</v>
      </c>
      <c r="J432">
        <v>0</v>
      </c>
      <c r="K432">
        <v>20</v>
      </c>
      <c r="L432" t="s">
        <v>43</v>
      </c>
      <c r="M432" t="s">
        <v>38</v>
      </c>
      <c r="N432" s="1">
        <v>45939</v>
      </c>
      <c r="O432" s="2">
        <v>0.54256944444444444</v>
      </c>
      <c r="P432" s="2">
        <v>0.91714120370370367</v>
      </c>
      <c r="Q432">
        <v>8.98</v>
      </c>
      <c r="R432">
        <v>8.99</v>
      </c>
      <c r="S432">
        <v>0.97</v>
      </c>
      <c r="T432">
        <v>0.4</v>
      </c>
      <c r="U432">
        <v>0</v>
      </c>
      <c r="V432">
        <v>0.21</v>
      </c>
      <c r="W432">
        <v>4.3</v>
      </c>
      <c r="X432">
        <v>1.46</v>
      </c>
      <c r="Y432">
        <v>1.56</v>
      </c>
      <c r="Z432">
        <v>0</v>
      </c>
      <c r="AA432">
        <v>0.08</v>
      </c>
      <c r="AB432">
        <v>0</v>
      </c>
      <c r="AC432">
        <v>8.99</v>
      </c>
      <c r="AD432">
        <v>10.78</v>
      </c>
      <c r="AE432">
        <v>4.46</v>
      </c>
      <c r="AF432">
        <v>0</v>
      </c>
      <c r="AG432">
        <v>2.2999999999999998</v>
      </c>
      <c r="AH432">
        <v>47.83</v>
      </c>
      <c r="AI432">
        <v>16.28</v>
      </c>
      <c r="AJ432">
        <v>17.41</v>
      </c>
      <c r="AK432">
        <v>0</v>
      </c>
      <c r="AL432">
        <v>0.9</v>
      </c>
      <c r="AM432">
        <v>0.03</v>
      </c>
      <c r="AN432">
        <f t="shared" si="19"/>
        <v>5</v>
      </c>
      <c r="AO432" t="str">
        <f t="shared" si="20"/>
        <v>Thursday</v>
      </c>
    </row>
    <row r="433" spans="1:41" x14ac:dyDescent="0.2">
      <c r="B433" s="1">
        <v>45939</v>
      </c>
      <c r="C433" s="1">
        <f t="shared" si="18"/>
        <v>45961</v>
      </c>
      <c r="D433">
        <v>464</v>
      </c>
      <c r="E433">
        <v>0</v>
      </c>
      <c r="F433">
        <v>0</v>
      </c>
      <c r="G433">
        <v>0</v>
      </c>
      <c r="H433">
        <v>0</v>
      </c>
      <c r="I433">
        <v>0</v>
      </c>
      <c r="J433">
        <v>0</v>
      </c>
      <c r="K433">
        <v>0</v>
      </c>
      <c r="AN433">
        <f t="shared" si="19"/>
        <v>5</v>
      </c>
      <c r="AO433" t="str">
        <f t="shared" si="20"/>
        <v>Thursday</v>
      </c>
    </row>
    <row r="434" spans="1:41" x14ac:dyDescent="0.2">
      <c r="A434" t="s">
        <v>37</v>
      </c>
      <c r="B434" s="1">
        <v>45938</v>
      </c>
      <c r="C434" s="1">
        <f t="shared" si="18"/>
        <v>45961</v>
      </c>
      <c r="D434">
        <v>86</v>
      </c>
      <c r="E434">
        <v>131</v>
      </c>
      <c r="F434">
        <v>4</v>
      </c>
      <c r="G434">
        <v>3</v>
      </c>
      <c r="H434">
        <v>5</v>
      </c>
      <c r="I434">
        <v>6</v>
      </c>
      <c r="J434">
        <v>2</v>
      </c>
      <c r="K434">
        <v>17</v>
      </c>
      <c r="L434" t="s">
        <v>37</v>
      </c>
      <c r="M434" t="s">
        <v>38</v>
      </c>
      <c r="N434" s="1">
        <v>45938</v>
      </c>
      <c r="O434" s="2">
        <v>0.54195601851851849</v>
      </c>
      <c r="P434" s="2">
        <v>0.91670138888888886</v>
      </c>
      <c r="Q434">
        <v>9</v>
      </c>
      <c r="R434">
        <v>8.02</v>
      </c>
      <c r="S434">
        <v>5.37</v>
      </c>
      <c r="T434">
        <v>0.5</v>
      </c>
      <c r="U434">
        <v>0</v>
      </c>
      <c r="V434">
        <v>0.32</v>
      </c>
      <c r="W434">
        <v>0.92</v>
      </c>
      <c r="X434">
        <v>0.35</v>
      </c>
      <c r="Y434">
        <v>0.56000000000000005</v>
      </c>
      <c r="Z434">
        <v>0</v>
      </c>
      <c r="AA434">
        <v>0</v>
      </c>
      <c r="AB434">
        <v>0.02</v>
      </c>
      <c r="AC434">
        <v>8.02</v>
      </c>
      <c r="AD434">
        <v>66.92</v>
      </c>
      <c r="AE434">
        <v>6.2</v>
      </c>
      <c r="AF434">
        <v>0</v>
      </c>
      <c r="AG434">
        <v>3.99</v>
      </c>
      <c r="AH434">
        <v>11.43</v>
      </c>
      <c r="AI434">
        <v>4.3099999999999996</v>
      </c>
      <c r="AJ434">
        <v>6.94</v>
      </c>
      <c r="AK434">
        <v>0</v>
      </c>
      <c r="AL434">
        <v>0</v>
      </c>
      <c r="AM434">
        <v>0.22</v>
      </c>
      <c r="AN434">
        <f t="shared" si="19"/>
        <v>4</v>
      </c>
      <c r="AO434" t="str">
        <f t="shared" si="20"/>
        <v>Wednesday</v>
      </c>
    </row>
    <row r="435" spans="1:41" x14ac:dyDescent="0.2">
      <c r="A435" t="s">
        <v>39</v>
      </c>
      <c r="B435" s="1">
        <v>45938</v>
      </c>
      <c r="C435" s="1">
        <f t="shared" si="18"/>
        <v>45961</v>
      </c>
      <c r="D435">
        <v>106</v>
      </c>
      <c r="E435">
        <v>160</v>
      </c>
      <c r="F435">
        <v>6</v>
      </c>
      <c r="G435">
        <v>11</v>
      </c>
      <c r="H435">
        <v>8</v>
      </c>
      <c r="I435">
        <v>1</v>
      </c>
      <c r="J435">
        <v>1</v>
      </c>
      <c r="K435">
        <v>41</v>
      </c>
      <c r="L435" t="s">
        <v>39</v>
      </c>
      <c r="M435" t="s">
        <v>38</v>
      </c>
      <c r="N435" s="1">
        <v>45938</v>
      </c>
      <c r="O435" s="2">
        <v>0.54121527777777778</v>
      </c>
      <c r="P435" s="2">
        <v>0.91673611111111108</v>
      </c>
      <c r="Q435">
        <v>9.02</v>
      </c>
      <c r="R435">
        <v>9.01</v>
      </c>
      <c r="S435">
        <v>5.9</v>
      </c>
      <c r="T435">
        <v>0</v>
      </c>
      <c r="U435">
        <v>0</v>
      </c>
      <c r="V435">
        <v>0.12</v>
      </c>
      <c r="W435">
        <v>1.04</v>
      </c>
      <c r="X435">
        <v>1.49</v>
      </c>
      <c r="Y435">
        <v>0.45</v>
      </c>
      <c r="Z435">
        <v>0</v>
      </c>
      <c r="AA435">
        <v>0</v>
      </c>
      <c r="AB435">
        <v>0.02</v>
      </c>
      <c r="AC435">
        <v>9.01</v>
      </c>
      <c r="AD435">
        <v>65.53</v>
      </c>
      <c r="AE435">
        <v>0</v>
      </c>
      <c r="AF435">
        <v>0</v>
      </c>
      <c r="AG435">
        <v>1.3</v>
      </c>
      <c r="AH435">
        <v>11.57</v>
      </c>
      <c r="AI435">
        <v>16.489999999999998</v>
      </c>
      <c r="AJ435">
        <v>4.9400000000000004</v>
      </c>
      <c r="AK435">
        <v>0</v>
      </c>
      <c r="AL435">
        <v>0</v>
      </c>
      <c r="AM435">
        <v>0.17</v>
      </c>
      <c r="AN435">
        <f t="shared" si="19"/>
        <v>4</v>
      </c>
      <c r="AO435" t="str">
        <f t="shared" si="20"/>
        <v>Wednesday</v>
      </c>
    </row>
    <row r="436" spans="1:41" x14ac:dyDescent="0.2">
      <c r="A436" t="s">
        <v>40</v>
      </c>
      <c r="B436" s="1">
        <v>45938</v>
      </c>
      <c r="C436" s="1">
        <f t="shared" si="18"/>
        <v>45961</v>
      </c>
      <c r="D436">
        <v>102</v>
      </c>
      <c r="E436">
        <v>140</v>
      </c>
      <c r="F436">
        <v>1</v>
      </c>
      <c r="G436">
        <v>8</v>
      </c>
      <c r="H436">
        <v>6</v>
      </c>
      <c r="I436">
        <v>0</v>
      </c>
      <c r="J436">
        <v>1</v>
      </c>
      <c r="K436">
        <v>32</v>
      </c>
      <c r="L436" t="s">
        <v>40</v>
      </c>
      <c r="M436" t="s">
        <v>38</v>
      </c>
      <c r="N436" s="1">
        <v>45938</v>
      </c>
      <c r="O436" s="2">
        <v>0.54233796296296299</v>
      </c>
      <c r="P436" s="2">
        <v>0.91674768518518523</v>
      </c>
      <c r="Q436">
        <v>9</v>
      </c>
      <c r="R436">
        <v>8.99</v>
      </c>
      <c r="S436">
        <v>5.65</v>
      </c>
      <c r="T436">
        <v>0.85</v>
      </c>
      <c r="U436">
        <v>0</v>
      </c>
      <c r="V436">
        <v>0.32</v>
      </c>
      <c r="W436">
        <v>0.65</v>
      </c>
      <c r="X436">
        <v>1.52</v>
      </c>
      <c r="Y436">
        <v>0</v>
      </c>
      <c r="Z436">
        <v>0</v>
      </c>
      <c r="AA436">
        <v>0</v>
      </c>
      <c r="AB436">
        <v>0.01</v>
      </c>
      <c r="AC436">
        <v>8.99</v>
      </c>
      <c r="AD436">
        <v>62.83</v>
      </c>
      <c r="AE436">
        <v>9.42</v>
      </c>
      <c r="AF436">
        <v>0</v>
      </c>
      <c r="AG436">
        <v>3.53</v>
      </c>
      <c r="AH436">
        <v>7.22</v>
      </c>
      <c r="AI436">
        <v>16.89</v>
      </c>
      <c r="AJ436">
        <v>0</v>
      </c>
      <c r="AK436">
        <v>0</v>
      </c>
      <c r="AL436">
        <v>0</v>
      </c>
      <c r="AM436">
        <v>0.12</v>
      </c>
      <c r="AN436">
        <f t="shared" si="19"/>
        <v>4</v>
      </c>
      <c r="AO436" t="str">
        <f t="shared" si="20"/>
        <v>Wednesday</v>
      </c>
    </row>
    <row r="437" spans="1:41" x14ac:dyDescent="0.2">
      <c r="A437" t="s">
        <v>41</v>
      </c>
      <c r="B437" s="1">
        <v>45938</v>
      </c>
      <c r="C437" s="1">
        <f t="shared" si="18"/>
        <v>45961</v>
      </c>
      <c r="D437">
        <v>122</v>
      </c>
      <c r="E437">
        <v>191</v>
      </c>
      <c r="F437">
        <v>6</v>
      </c>
      <c r="G437">
        <v>8</v>
      </c>
      <c r="H437">
        <v>5</v>
      </c>
      <c r="I437">
        <v>1</v>
      </c>
      <c r="J437">
        <v>4</v>
      </c>
      <c r="K437">
        <v>70</v>
      </c>
      <c r="L437" t="s">
        <v>41</v>
      </c>
      <c r="M437" t="s">
        <v>38</v>
      </c>
      <c r="N437" s="1">
        <v>45938</v>
      </c>
      <c r="O437" s="2">
        <v>0.54234953703703703</v>
      </c>
      <c r="P437" s="2">
        <v>0.92358796296296297</v>
      </c>
      <c r="Q437">
        <v>9.15</v>
      </c>
      <c r="R437">
        <v>9.15</v>
      </c>
      <c r="S437">
        <v>3.39</v>
      </c>
      <c r="T437">
        <v>0.43</v>
      </c>
      <c r="U437">
        <v>0</v>
      </c>
      <c r="V437">
        <v>0.37</v>
      </c>
      <c r="W437">
        <v>2.74</v>
      </c>
      <c r="X437">
        <v>1.48</v>
      </c>
      <c r="Y437">
        <v>0.73</v>
      </c>
      <c r="Z437">
        <v>0</v>
      </c>
      <c r="AA437">
        <v>0</v>
      </c>
      <c r="AB437">
        <v>0</v>
      </c>
      <c r="AC437">
        <v>9.15</v>
      </c>
      <c r="AD437">
        <v>37.020000000000003</v>
      </c>
      <c r="AE437">
        <v>4.74</v>
      </c>
      <c r="AF437">
        <v>0</v>
      </c>
      <c r="AG437">
        <v>4.07</v>
      </c>
      <c r="AH437">
        <v>29.99</v>
      </c>
      <c r="AI437">
        <v>16.149999999999999</v>
      </c>
      <c r="AJ437">
        <v>8</v>
      </c>
      <c r="AK437">
        <v>0</v>
      </c>
      <c r="AL437">
        <v>0</v>
      </c>
      <c r="AM437">
        <v>0.03</v>
      </c>
      <c r="AN437">
        <f t="shared" si="19"/>
        <v>4</v>
      </c>
      <c r="AO437" t="str">
        <f t="shared" si="20"/>
        <v>Wednesday</v>
      </c>
    </row>
    <row r="438" spans="1:41" x14ac:dyDescent="0.2">
      <c r="A438" t="s">
        <v>43</v>
      </c>
      <c r="B438" s="1">
        <v>45938</v>
      </c>
      <c r="C438" s="1">
        <f t="shared" si="18"/>
        <v>45961</v>
      </c>
      <c r="D438">
        <v>105</v>
      </c>
      <c r="E438">
        <v>181</v>
      </c>
      <c r="F438">
        <v>7</v>
      </c>
      <c r="G438">
        <v>11</v>
      </c>
      <c r="H438">
        <v>2</v>
      </c>
      <c r="I438">
        <v>0</v>
      </c>
      <c r="J438">
        <v>2</v>
      </c>
      <c r="K438">
        <v>48</v>
      </c>
      <c r="L438" t="s">
        <v>43</v>
      </c>
      <c r="M438" t="s">
        <v>38</v>
      </c>
      <c r="N438" s="1">
        <v>45938</v>
      </c>
      <c r="O438" s="2">
        <v>0.54172453703703705</v>
      </c>
      <c r="P438" s="2">
        <v>0.92335648148148153</v>
      </c>
      <c r="Q438">
        <v>9.15</v>
      </c>
      <c r="R438">
        <v>9.16</v>
      </c>
      <c r="S438">
        <v>5.1100000000000003</v>
      </c>
      <c r="T438">
        <v>0.57999999999999996</v>
      </c>
      <c r="U438">
        <v>0</v>
      </c>
      <c r="V438">
        <v>0.34</v>
      </c>
      <c r="W438">
        <v>1.68</v>
      </c>
      <c r="X438">
        <v>1.44</v>
      </c>
      <c r="Y438">
        <v>0</v>
      </c>
      <c r="Z438">
        <v>0</v>
      </c>
      <c r="AA438">
        <v>0</v>
      </c>
      <c r="AB438">
        <v>0</v>
      </c>
      <c r="AC438">
        <v>9.16</v>
      </c>
      <c r="AD438">
        <v>55.77</v>
      </c>
      <c r="AE438">
        <v>6.37</v>
      </c>
      <c r="AF438">
        <v>0</v>
      </c>
      <c r="AG438">
        <v>3.75</v>
      </c>
      <c r="AH438">
        <v>18.309999999999999</v>
      </c>
      <c r="AI438">
        <v>15.77</v>
      </c>
      <c r="AJ438">
        <v>0</v>
      </c>
      <c r="AK438">
        <v>0</v>
      </c>
      <c r="AL438">
        <v>0</v>
      </c>
      <c r="AM438">
        <v>0.03</v>
      </c>
      <c r="AN438">
        <f t="shared" si="19"/>
        <v>4</v>
      </c>
      <c r="AO438" t="str">
        <f t="shared" si="20"/>
        <v>Wednesday</v>
      </c>
    </row>
    <row r="439" spans="1:41" x14ac:dyDescent="0.2">
      <c r="B439" s="1">
        <v>45938</v>
      </c>
      <c r="C439" s="1">
        <f t="shared" si="18"/>
        <v>45961</v>
      </c>
      <c r="D439">
        <v>362</v>
      </c>
      <c r="E439">
        <v>0</v>
      </c>
      <c r="F439">
        <v>0</v>
      </c>
      <c r="G439">
        <v>0</v>
      </c>
      <c r="H439">
        <v>0</v>
      </c>
      <c r="I439">
        <v>0</v>
      </c>
      <c r="J439">
        <v>0</v>
      </c>
      <c r="K439">
        <v>0</v>
      </c>
      <c r="AN439">
        <f t="shared" si="19"/>
        <v>4</v>
      </c>
      <c r="AO439" t="str">
        <f t="shared" si="20"/>
        <v>Wednesday</v>
      </c>
    </row>
    <row r="440" spans="1:41" x14ac:dyDescent="0.2">
      <c r="A440" t="s">
        <v>37</v>
      </c>
      <c r="B440" s="1">
        <v>45937</v>
      </c>
      <c r="C440" s="1">
        <f t="shared" si="18"/>
        <v>45961</v>
      </c>
      <c r="D440">
        <v>105</v>
      </c>
      <c r="E440">
        <v>155</v>
      </c>
      <c r="F440">
        <v>8</v>
      </c>
      <c r="G440">
        <v>22</v>
      </c>
      <c r="H440">
        <v>3</v>
      </c>
      <c r="I440">
        <v>0</v>
      </c>
      <c r="J440">
        <v>0</v>
      </c>
      <c r="K440">
        <v>30</v>
      </c>
      <c r="L440" t="s">
        <v>37</v>
      </c>
      <c r="M440" t="s">
        <v>38</v>
      </c>
      <c r="N440" s="1">
        <v>45937</v>
      </c>
      <c r="O440" s="2">
        <v>0.54188657407407403</v>
      </c>
      <c r="P440" s="2">
        <v>0.91670138888888886</v>
      </c>
      <c r="Q440">
        <v>9</v>
      </c>
      <c r="R440">
        <v>8.08</v>
      </c>
      <c r="S440">
        <v>5.71</v>
      </c>
      <c r="T440">
        <v>0.12</v>
      </c>
      <c r="U440">
        <v>0</v>
      </c>
      <c r="V440">
        <v>0.53</v>
      </c>
      <c r="W440">
        <v>1.38</v>
      </c>
      <c r="X440">
        <v>0.32</v>
      </c>
      <c r="Y440">
        <v>0</v>
      </c>
      <c r="Z440">
        <v>0</v>
      </c>
      <c r="AA440">
        <v>0</v>
      </c>
      <c r="AB440">
        <v>0.01</v>
      </c>
      <c r="AC440">
        <v>8.08</v>
      </c>
      <c r="AD440">
        <v>70.67</v>
      </c>
      <c r="AE440">
        <v>1.47</v>
      </c>
      <c r="AF440">
        <v>0</v>
      </c>
      <c r="AG440">
        <v>6.6</v>
      </c>
      <c r="AH440">
        <v>17.12</v>
      </c>
      <c r="AI440">
        <v>3.98</v>
      </c>
      <c r="AJ440">
        <v>0</v>
      </c>
      <c r="AK440">
        <v>0</v>
      </c>
      <c r="AL440">
        <v>0</v>
      </c>
      <c r="AM440">
        <v>0.15</v>
      </c>
      <c r="AN440">
        <f t="shared" si="19"/>
        <v>3</v>
      </c>
      <c r="AO440" t="str">
        <f t="shared" si="20"/>
        <v>Tuesday</v>
      </c>
    </row>
    <row r="441" spans="1:41" x14ac:dyDescent="0.2">
      <c r="A441" t="s">
        <v>39</v>
      </c>
      <c r="B441" s="1">
        <v>45937</v>
      </c>
      <c r="C441" s="1">
        <f t="shared" si="18"/>
        <v>45961</v>
      </c>
      <c r="D441">
        <v>119</v>
      </c>
      <c r="E441">
        <v>170</v>
      </c>
      <c r="F441">
        <v>15</v>
      </c>
      <c r="G441">
        <v>7</v>
      </c>
      <c r="H441">
        <v>11</v>
      </c>
      <c r="I441">
        <v>3</v>
      </c>
      <c r="J441">
        <v>4</v>
      </c>
      <c r="K441">
        <v>28</v>
      </c>
      <c r="L441" t="s">
        <v>39</v>
      </c>
      <c r="M441" t="s">
        <v>38</v>
      </c>
      <c r="N441" s="1">
        <v>45937</v>
      </c>
      <c r="O441" s="2">
        <v>0.54237268518518522</v>
      </c>
      <c r="P441" s="2">
        <v>0.91671296296296301</v>
      </c>
      <c r="Q441">
        <v>8.98</v>
      </c>
      <c r="R441">
        <v>8.98</v>
      </c>
      <c r="S441">
        <v>5.49</v>
      </c>
      <c r="T441">
        <v>0.21</v>
      </c>
      <c r="U441">
        <v>0</v>
      </c>
      <c r="V441">
        <v>0.09</v>
      </c>
      <c r="W441">
        <v>0.94</v>
      </c>
      <c r="X441">
        <v>1.48</v>
      </c>
      <c r="Y441">
        <v>0.77</v>
      </c>
      <c r="Z441">
        <v>0</v>
      </c>
      <c r="AA441">
        <v>0</v>
      </c>
      <c r="AB441">
        <v>0</v>
      </c>
      <c r="AC441">
        <v>8.98</v>
      </c>
      <c r="AD441">
        <v>61.17</v>
      </c>
      <c r="AE441">
        <v>2.36</v>
      </c>
      <c r="AF441">
        <v>0</v>
      </c>
      <c r="AG441">
        <v>1</v>
      </c>
      <c r="AH441">
        <v>10.46</v>
      </c>
      <c r="AI441">
        <v>16.440000000000001</v>
      </c>
      <c r="AJ441">
        <v>8.5299999999999994</v>
      </c>
      <c r="AK441">
        <v>0</v>
      </c>
      <c r="AL441">
        <v>0</v>
      </c>
      <c r="AM441">
        <v>0.04</v>
      </c>
      <c r="AN441">
        <f t="shared" si="19"/>
        <v>3</v>
      </c>
      <c r="AO441" t="str">
        <f t="shared" si="20"/>
        <v>Tuesday</v>
      </c>
    </row>
    <row r="442" spans="1:41" x14ac:dyDescent="0.2">
      <c r="A442" t="s">
        <v>40</v>
      </c>
      <c r="B442" s="1">
        <v>45937</v>
      </c>
      <c r="C442" s="1">
        <f t="shared" si="18"/>
        <v>45961</v>
      </c>
      <c r="D442">
        <v>100</v>
      </c>
      <c r="E442">
        <v>141</v>
      </c>
      <c r="F442">
        <v>4</v>
      </c>
      <c r="G442">
        <v>4</v>
      </c>
      <c r="H442">
        <v>6</v>
      </c>
      <c r="I442">
        <v>0</v>
      </c>
      <c r="J442">
        <v>1</v>
      </c>
      <c r="K442">
        <v>18</v>
      </c>
      <c r="L442" t="s">
        <v>40</v>
      </c>
      <c r="M442" t="s">
        <v>38</v>
      </c>
      <c r="N442" s="1">
        <v>45937</v>
      </c>
      <c r="O442" s="2">
        <v>0.55813657407407402</v>
      </c>
      <c r="P442" s="2">
        <v>0.91672453703703705</v>
      </c>
      <c r="Q442">
        <v>8.6199999999999992</v>
      </c>
      <c r="R442">
        <v>8.61</v>
      </c>
      <c r="S442">
        <v>4.78</v>
      </c>
      <c r="T442">
        <v>0.82</v>
      </c>
      <c r="U442">
        <v>0</v>
      </c>
      <c r="V442">
        <v>0.24</v>
      </c>
      <c r="W442">
        <v>0.51</v>
      </c>
      <c r="X442">
        <v>1.42</v>
      </c>
      <c r="Y442">
        <v>0.83</v>
      </c>
      <c r="Z442">
        <v>0</v>
      </c>
      <c r="AA442">
        <v>0</v>
      </c>
      <c r="AB442">
        <v>0</v>
      </c>
      <c r="AC442">
        <v>8.61</v>
      </c>
      <c r="AD442">
        <v>55.54</v>
      </c>
      <c r="AE442">
        <v>9.48</v>
      </c>
      <c r="AF442">
        <v>0</v>
      </c>
      <c r="AG442">
        <v>2.76</v>
      </c>
      <c r="AH442">
        <v>5.97</v>
      </c>
      <c r="AI442">
        <v>16.55</v>
      </c>
      <c r="AJ442">
        <v>9.67</v>
      </c>
      <c r="AK442">
        <v>0</v>
      </c>
      <c r="AL442">
        <v>0</v>
      </c>
      <c r="AM442">
        <v>0.03</v>
      </c>
      <c r="AN442">
        <f t="shared" si="19"/>
        <v>3</v>
      </c>
      <c r="AO442" t="str">
        <f t="shared" si="20"/>
        <v>Tuesday</v>
      </c>
    </row>
    <row r="443" spans="1:41" x14ac:dyDescent="0.2">
      <c r="A443" t="s">
        <v>41</v>
      </c>
      <c r="B443" s="1">
        <v>45937</v>
      </c>
      <c r="C443" s="1">
        <f t="shared" si="18"/>
        <v>45961</v>
      </c>
      <c r="D443">
        <v>148</v>
      </c>
      <c r="E443">
        <v>243</v>
      </c>
      <c r="F443">
        <v>11</v>
      </c>
      <c r="G443">
        <v>23</v>
      </c>
      <c r="H443">
        <v>17</v>
      </c>
      <c r="I443">
        <v>0</v>
      </c>
      <c r="J443">
        <v>5</v>
      </c>
      <c r="K443">
        <v>68</v>
      </c>
      <c r="L443" t="s">
        <v>41</v>
      </c>
      <c r="M443" t="s">
        <v>38</v>
      </c>
      <c r="N443" s="1">
        <v>45937</v>
      </c>
      <c r="O443" s="2">
        <v>0.54178240740740746</v>
      </c>
      <c r="P443" s="2">
        <v>0.9160300925925926</v>
      </c>
      <c r="Q443">
        <v>8.98</v>
      </c>
      <c r="R443">
        <v>8.98</v>
      </c>
      <c r="S443">
        <v>4.71</v>
      </c>
      <c r="T443">
        <v>0.13</v>
      </c>
      <c r="U443">
        <v>0</v>
      </c>
      <c r="V443">
        <v>0.8</v>
      </c>
      <c r="W443">
        <v>1.85</v>
      </c>
      <c r="X443">
        <v>1.47</v>
      </c>
      <c r="Y443">
        <v>0</v>
      </c>
      <c r="Z443">
        <v>0.01</v>
      </c>
      <c r="AA443">
        <v>0</v>
      </c>
      <c r="AB443">
        <v>0</v>
      </c>
      <c r="AC443">
        <v>8.98</v>
      </c>
      <c r="AD443">
        <v>52.5</v>
      </c>
      <c r="AE443">
        <v>1.5</v>
      </c>
      <c r="AF443">
        <v>0</v>
      </c>
      <c r="AG443">
        <v>8.9</v>
      </c>
      <c r="AH443">
        <v>20.58</v>
      </c>
      <c r="AI443">
        <v>16.41</v>
      </c>
      <c r="AJ443">
        <v>0</v>
      </c>
      <c r="AK443">
        <v>0.06</v>
      </c>
      <c r="AL443">
        <v>0</v>
      </c>
      <c r="AM443">
        <v>0.05</v>
      </c>
      <c r="AN443">
        <f t="shared" si="19"/>
        <v>3</v>
      </c>
      <c r="AO443" t="str">
        <f t="shared" si="20"/>
        <v>Tuesday</v>
      </c>
    </row>
    <row r="444" spans="1:41" x14ac:dyDescent="0.2">
      <c r="A444" t="s">
        <v>43</v>
      </c>
      <c r="B444" s="1">
        <v>45937</v>
      </c>
      <c r="C444" s="1">
        <f t="shared" si="18"/>
        <v>45961</v>
      </c>
      <c r="D444">
        <v>106</v>
      </c>
      <c r="E444">
        <v>174</v>
      </c>
      <c r="F444">
        <v>7</v>
      </c>
      <c r="G444">
        <v>13</v>
      </c>
      <c r="H444">
        <v>8</v>
      </c>
      <c r="I444">
        <v>3</v>
      </c>
      <c r="J444">
        <v>0</v>
      </c>
      <c r="K444">
        <v>33</v>
      </c>
      <c r="L444" t="s">
        <v>43</v>
      </c>
      <c r="M444" t="s">
        <v>38</v>
      </c>
      <c r="N444" s="1">
        <v>45937</v>
      </c>
      <c r="O444" s="2">
        <v>0.54181712962962958</v>
      </c>
      <c r="P444" s="2">
        <v>0.91769675925925931</v>
      </c>
      <c r="Q444">
        <v>9.02</v>
      </c>
      <c r="R444">
        <v>9.02</v>
      </c>
      <c r="S444">
        <v>5.62</v>
      </c>
      <c r="T444">
        <v>0.7</v>
      </c>
      <c r="U444">
        <v>0</v>
      </c>
      <c r="V444">
        <v>0.32</v>
      </c>
      <c r="W444">
        <v>0.92</v>
      </c>
      <c r="X444">
        <v>1.46</v>
      </c>
      <c r="Y444">
        <v>0</v>
      </c>
      <c r="Z444">
        <v>0</v>
      </c>
      <c r="AA444">
        <v>0</v>
      </c>
      <c r="AB444">
        <v>0</v>
      </c>
      <c r="AC444">
        <v>9.02</v>
      </c>
      <c r="AD444">
        <v>62.34</v>
      </c>
      <c r="AE444">
        <v>7.73</v>
      </c>
      <c r="AF444">
        <v>0</v>
      </c>
      <c r="AG444">
        <v>3.58</v>
      </c>
      <c r="AH444">
        <v>10.19</v>
      </c>
      <c r="AI444">
        <v>16.13</v>
      </c>
      <c r="AJ444">
        <v>0</v>
      </c>
      <c r="AK444">
        <v>0</v>
      </c>
      <c r="AL444">
        <v>0</v>
      </c>
      <c r="AM444">
        <v>0.03</v>
      </c>
      <c r="AN444">
        <f t="shared" si="19"/>
        <v>3</v>
      </c>
      <c r="AO444" t="str">
        <f t="shared" si="20"/>
        <v>Tuesday</v>
      </c>
    </row>
    <row r="445" spans="1:41" x14ac:dyDescent="0.2">
      <c r="A445" t="s">
        <v>47</v>
      </c>
      <c r="B445" s="1">
        <v>45937</v>
      </c>
      <c r="C445" s="1">
        <f t="shared" si="18"/>
        <v>45961</v>
      </c>
      <c r="D445">
        <v>1</v>
      </c>
      <c r="E445">
        <v>2</v>
      </c>
      <c r="F445">
        <v>1</v>
      </c>
      <c r="G445">
        <v>0</v>
      </c>
      <c r="H445">
        <v>0</v>
      </c>
      <c r="I445">
        <v>0</v>
      </c>
      <c r="J445">
        <v>0</v>
      </c>
      <c r="K445">
        <v>0</v>
      </c>
      <c r="AN445">
        <f t="shared" si="19"/>
        <v>3</v>
      </c>
      <c r="AO445" t="str">
        <f t="shared" si="20"/>
        <v>Tuesday</v>
      </c>
    </row>
    <row r="446" spans="1:41" x14ac:dyDescent="0.2">
      <c r="B446" s="1">
        <v>45937</v>
      </c>
      <c r="C446" s="1">
        <f t="shared" si="18"/>
        <v>45961</v>
      </c>
      <c r="D446">
        <v>370</v>
      </c>
      <c r="E446">
        <v>0</v>
      </c>
      <c r="F446">
        <v>0</v>
      </c>
      <c r="G446">
        <v>0</v>
      </c>
      <c r="H446">
        <v>0</v>
      </c>
      <c r="I446">
        <v>0</v>
      </c>
      <c r="J446">
        <v>0</v>
      </c>
      <c r="K446">
        <v>0</v>
      </c>
      <c r="AN446">
        <f t="shared" si="19"/>
        <v>3</v>
      </c>
      <c r="AO446" t="str">
        <f t="shared" si="20"/>
        <v>Tuesday</v>
      </c>
    </row>
    <row r="447" spans="1:41" x14ac:dyDescent="0.2">
      <c r="A447" t="s">
        <v>37</v>
      </c>
      <c r="B447" s="1">
        <v>45936</v>
      </c>
      <c r="C447" s="1">
        <f t="shared" si="18"/>
        <v>45961</v>
      </c>
      <c r="D447">
        <v>100</v>
      </c>
      <c r="E447">
        <v>162</v>
      </c>
      <c r="F447">
        <v>3</v>
      </c>
      <c r="G447">
        <v>7</v>
      </c>
      <c r="H447">
        <v>8</v>
      </c>
      <c r="I447">
        <v>0</v>
      </c>
      <c r="J447">
        <v>4</v>
      </c>
      <c r="K447">
        <v>48</v>
      </c>
      <c r="L447" t="s">
        <v>37</v>
      </c>
      <c r="M447" t="s">
        <v>38</v>
      </c>
      <c r="N447" s="1">
        <v>45936</v>
      </c>
      <c r="O447" s="2">
        <v>0.54334490740740737</v>
      </c>
      <c r="P447" s="2">
        <v>0.91670138888888886</v>
      </c>
      <c r="Q447">
        <v>8.9700000000000006</v>
      </c>
      <c r="R447">
        <v>8.01</v>
      </c>
      <c r="S447">
        <v>5.58</v>
      </c>
      <c r="T447">
        <v>0.22</v>
      </c>
      <c r="U447">
        <v>0</v>
      </c>
      <c r="V447">
        <v>0.51</v>
      </c>
      <c r="W447">
        <v>1.46</v>
      </c>
      <c r="X447">
        <v>0.13</v>
      </c>
      <c r="Y447">
        <v>0</v>
      </c>
      <c r="Z447">
        <v>0</v>
      </c>
      <c r="AA447">
        <v>7.0000000000000007E-2</v>
      </c>
      <c r="AB447">
        <v>0.03</v>
      </c>
      <c r="AC447">
        <v>8.01</v>
      </c>
      <c r="AD447">
        <v>69.69</v>
      </c>
      <c r="AE447">
        <v>2.78</v>
      </c>
      <c r="AF447">
        <v>0</v>
      </c>
      <c r="AG447">
        <v>6.36</v>
      </c>
      <c r="AH447">
        <v>18.239999999999998</v>
      </c>
      <c r="AI447">
        <v>1.68</v>
      </c>
      <c r="AJ447">
        <v>0</v>
      </c>
      <c r="AK447">
        <v>0</v>
      </c>
      <c r="AL447">
        <v>0.85</v>
      </c>
      <c r="AM447">
        <v>0.4</v>
      </c>
      <c r="AN447">
        <f t="shared" si="19"/>
        <v>2</v>
      </c>
      <c r="AO447" t="str">
        <f t="shared" si="20"/>
        <v>Monday</v>
      </c>
    </row>
    <row r="448" spans="1:41" x14ac:dyDescent="0.2">
      <c r="A448" t="s">
        <v>39</v>
      </c>
      <c r="B448" s="1">
        <v>45936</v>
      </c>
      <c r="C448" s="1">
        <f t="shared" si="18"/>
        <v>45961</v>
      </c>
      <c r="D448">
        <v>110</v>
      </c>
      <c r="E448">
        <v>144</v>
      </c>
      <c r="F448">
        <v>9</v>
      </c>
      <c r="G448">
        <v>14</v>
      </c>
      <c r="H448">
        <v>5</v>
      </c>
      <c r="I448">
        <v>1</v>
      </c>
      <c r="J448">
        <v>1</v>
      </c>
      <c r="K448">
        <v>28</v>
      </c>
      <c r="L448" t="s">
        <v>39</v>
      </c>
      <c r="M448" t="s">
        <v>38</v>
      </c>
      <c r="N448" s="1">
        <v>45936</v>
      </c>
      <c r="O448" s="2">
        <v>0.54230324074074077</v>
      </c>
      <c r="P448" s="2">
        <v>0.91678240740740746</v>
      </c>
      <c r="Q448">
        <v>9</v>
      </c>
      <c r="R448">
        <v>8.99</v>
      </c>
      <c r="S448">
        <v>5.07</v>
      </c>
      <c r="T448">
        <v>0.04</v>
      </c>
      <c r="U448">
        <v>0</v>
      </c>
      <c r="V448">
        <v>0.11</v>
      </c>
      <c r="W448">
        <v>1.82</v>
      </c>
      <c r="X448">
        <v>1.45</v>
      </c>
      <c r="Y448">
        <v>0.49</v>
      </c>
      <c r="Z448">
        <v>0</v>
      </c>
      <c r="AA448">
        <v>0</v>
      </c>
      <c r="AB448">
        <v>0.01</v>
      </c>
      <c r="AC448">
        <v>8.99</v>
      </c>
      <c r="AD448">
        <v>56.46</v>
      </c>
      <c r="AE448">
        <v>0.45</v>
      </c>
      <c r="AF448">
        <v>0</v>
      </c>
      <c r="AG448">
        <v>1.26</v>
      </c>
      <c r="AH448">
        <v>20.23</v>
      </c>
      <c r="AI448">
        <v>16.14</v>
      </c>
      <c r="AJ448">
        <v>5.4</v>
      </c>
      <c r="AK448">
        <v>0</v>
      </c>
      <c r="AL448">
        <v>0</v>
      </c>
      <c r="AM448">
        <v>0.06</v>
      </c>
      <c r="AN448">
        <f t="shared" si="19"/>
        <v>2</v>
      </c>
      <c r="AO448" t="str">
        <f t="shared" si="20"/>
        <v>Monday</v>
      </c>
    </row>
    <row r="449" spans="1:41" x14ac:dyDescent="0.2">
      <c r="A449" t="s">
        <v>40</v>
      </c>
      <c r="B449" s="1">
        <v>45936</v>
      </c>
      <c r="C449" s="1">
        <f t="shared" si="18"/>
        <v>45961</v>
      </c>
      <c r="D449">
        <v>94</v>
      </c>
      <c r="E449">
        <v>115</v>
      </c>
      <c r="F449">
        <v>3</v>
      </c>
      <c r="G449">
        <v>2</v>
      </c>
      <c r="H449">
        <v>4</v>
      </c>
      <c r="I449">
        <v>0</v>
      </c>
      <c r="J449">
        <v>4</v>
      </c>
      <c r="K449">
        <v>32</v>
      </c>
      <c r="L449" t="s">
        <v>40</v>
      </c>
      <c r="M449" t="s">
        <v>38</v>
      </c>
      <c r="N449" s="1">
        <v>45936</v>
      </c>
      <c r="O449" s="2">
        <v>0.54266203703703708</v>
      </c>
      <c r="P449" s="2">
        <v>0.91670138888888886</v>
      </c>
      <c r="Q449">
        <v>8.98</v>
      </c>
      <c r="R449">
        <v>8.98</v>
      </c>
      <c r="S449">
        <v>4.88</v>
      </c>
      <c r="T449">
        <v>0.42</v>
      </c>
      <c r="U449">
        <v>0</v>
      </c>
      <c r="V449">
        <v>0.18</v>
      </c>
      <c r="W449">
        <v>1.24</v>
      </c>
      <c r="X449">
        <v>1.5</v>
      </c>
      <c r="Y449">
        <v>0.76</v>
      </c>
      <c r="Z449">
        <v>0</v>
      </c>
      <c r="AA449">
        <v>0</v>
      </c>
      <c r="AB449">
        <v>0</v>
      </c>
      <c r="AC449">
        <v>8.98</v>
      </c>
      <c r="AD449">
        <v>54.35</v>
      </c>
      <c r="AE449">
        <v>4.63</v>
      </c>
      <c r="AF449">
        <v>0</v>
      </c>
      <c r="AG449">
        <v>1.96</v>
      </c>
      <c r="AH449">
        <v>13.8</v>
      </c>
      <c r="AI449">
        <v>16.71</v>
      </c>
      <c r="AJ449">
        <v>8.51</v>
      </c>
      <c r="AK449">
        <v>0</v>
      </c>
      <c r="AL449">
        <v>0</v>
      </c>
      <c r="AM449">
        <v>0.04</v>
      </c>
      <c r="AN449">
        <f t="shared" si="19"/>
        <v>2</v>
      </c>
      <c r="AO449" t="str">
        <f t="shared" si="20"/>
        <v>Monday</v>
      </c>
    </row>
    <row r="450" spans="1:41" x14ac:dyDescent="0.2">
      <c r="A450" t="s">
        <v>41</v>
      </c>
      <c r="B450" s="1">
        <v>45936</v>
      </c>
      <c r="C450" s="1">
        <f t="shared" si="18"/>
        <v>45961</v>
      </c>
      <c r="D450">
        <v>113</v>
      </c>
      <c r="E450">
        <v>152</v>
      </c>
      <c r="F450">
        <v>12</v>
      </c>
      <c r="G450">
        <v>12</v>
      </c>
      <c r="H450">
        <v>4</v>
      </c>
      <c r="I450">
        <v>0</v>
      </c>
      <c r="J450">
        <v>6</v>
      </c>
      <c r="K450">
        <v>27</v>
      </c>
      <c r="L450" t="s">
        <v>41</v>
      </c>
      <c r="M450" t="s">
        <v>38</v>
      </c>
      <c r="N450" s="1">
        <v>45936</v>
      </c>
      <c r="O450" s="2">
        <v>0.54686342592592596</v>
      </c>
      <c r="P450" s="2">
        <v>0.91600694444444442</v>
      </c>
      <c r="Q450">
        <v>8.8699999999999992</v>
      </c>
      <c r="R450">
        <v>8.86</v>
      </c>
      <c r="S450">
        <v>4.5199999999999996</v>
      </c>
      <c r="T450">
        <v>0.51</v>
      </c>
      <c r="U450">
        <v>0</v>
      </c>
      <c r="V450">
        <v>0.6</v>
      </c>
      <c r="W450">
        <v>1.77</v>
      </c>
      <c r="X450">
        <v>1.45</v>
      </c>
      <c r="Y450">
        <v>0</v>
      </c>
      <c r="Z450">
        <v>0</v>
      </c>
      <c r="AA450">
        <v>0</v>
      </c>
      <c r="AB450">
        <v>0.01</v>
      </c>
      <c r="AC450">
        <v>8.86</v>
      </c>
      <c r="AD450">
        <v>50.96</v>
      </c>
      <c r="AE450">
        <v>5.75</v>
      </c>
      <c r="AF450">
        <v>0</v>
      </c>
      <c r="AG450">
        <v>6.78</v>
      </c>
      <c r="AH450">
        <v>20</v>
      </c>
      <c r="AI450">
        <v>16.36</v>
      </c>
      <c r="AJ450">
        <v>0</v>
      </c>
      <c r="AK450">
        <v>0</v>
      </c>
      <c r="AL450">
        <v>0</v>
      </c>
      <c r="AM450">
        <v>0.15</v>
      </c>
      <c r="AN450">
        <f t="shared" si="19"/>
        <v>2</v>
      </c>
      <c r="AO450" t="str">
        <f t="shared" si="20"/>
        <v>Monday</v>
      </c>
    </row>
    <row r="451" spans="1:41" x14ac:dyDescent="0.2">
      <c r="B451" s="1">
        <v>45936</v>
      </c>
      <c r="C451" s="1">
        <f t="shared" ref="C451:C514" si="21">EOMONTH(B451,0)</f>
        <v>45961</v>
      </c>
      <c r="D451">
        <v>373</v>
      </c>
      <c r="E451">
        <v>0</v>
      </c>
      <c r="F451">
        <v>0</v>
      </c>
      <c r="G451">
        <v>0</v>
      </c>
      <c r="H451">
        <v>0</v>
      </c>
      <c r="I451">
        <v>0</v>
      </c>
      <c r="J451">
        <v>0</v>
      </c>
      <c r="K451">
        <v>0</v>
      </c>
      <c r="AN451">
        <f t="shared" ref="AN451:AN514" si="22">WEEKDAY(B451,1)</f>
        <v>2</v>
      </c>
      <c r="AO451" t="str">
        <f t="shared" ref="AO451:AO514" si="23">VLOOKUP(AN451,$AY$2:$AZ$8,2,FALSE)</f>
        <v>Monday</v>
      </c>
    </row>
    <row r="452" spans="1:41" x14ac:dyDescent="0.2">
      <c r="A452" t="s">
        <v>39</v>
      </c>
      <c r="B452" s="1">
        <v>45934</v>
      </c>
      <c r="C452" s="1">
        <f t="shared" si="21"/>
        <v>45961</v>
      </c>
      <c r="D452">
        <v>1</v>
      </c>
      <c r="E452">
        <v>1</v>
      </c>
      <c r="F452">
        <v>0</v>
      </c>
      <c r="G452">
        <v>0</v>
      </c>
      <c r="H452">
        <v>0</v>
      </c>
      <c r="I452">
        <v>0</v>
      </c>
      <c r="J452">
        <v>0</v>
      </c>
      <c r="K452">
        <v>0</v>
      </c>
      <c r="AN452">
        <f t="shared" si="22"/>
        <v>7</v>
      </c>
      <c r="AO452" t="str">
        <f t="shared" si="23"/>
        <v>Saturday</v>
      </c>
    </row>
    <row r="453" spans="1:41" x14ac:dyDescent="0.2">
      <c r="A453" t="s">
        <v>37</v>
      </c>
      <c r="B453" s="1">
        <v>45933</v>
      </c>
      <c r="C453" s="1">
        <f t="shared" si="21"/>
        <v>45961</v>
      </c>
      <c r="D453">
        <v>18</v>
      </c>
      <c r="E453">
        <v>34</v>
      </c>
      <c r="F453">
        <v>3</v>
      </c>
      <c r="G453">
        <v>2</v>
      </c>
      <c r="H453">
        <v>2</v>
      </c>
      <c r="I453">
        <v>0</v>
      </c>
      <c r="J453">
        <v>0</v>
      </c>
      <c r="K453">
        <v>19</v>
      </c>
      <c r="L453" t="s">
        <v>37</v>
      </c>
      <c r="M453" t="s">
        <v>38</v>
      </c>
      <c r="N453" s="1">
        <v>45933</v>
      </c>
      <c r="O453" s="2">
        <v>0.54216435185185186</v>
      </c>
      <c r="P453" s="2">
        <v>0.91678240740740746</v>
      </c>
      <c r="Q453">
        <v>9</v>
      </c>
      <c r="R453">
        <v>8.0299999999999994</v>
      </c>
      <c r="S453">
        <v>1.38</v>
      </c>
      <c r="T453">
        <v>0</v>
      </c>
      <c r="U453">
        <v>0</v>
      </c>
      <c r="V453">
        <v>0.18</v>
      </c>
      <c r="W453">
        <v>5.87</v>
      </c>
      <c r="X453">
        <v>0.56999999999999995</v>
      </c>
      <c r="Y453">
        <v>0</v>
      </c>
      <c r="Z453">
        <v>0</v>
      </c>
      <c r="AA453">
        <v>0</v>
      </c>
      <c r="AB453">
        <v>0.02</v>
      </c>
      <c r="AC453">
        <v>8.0299999999999994</v>
      </c>
      <c r="AD453">
        <v>17.170000000000002</v>
      </c>
      <c r="AE453">
        <v>0</v>
      </c>
      <c r="AF453">
        <v>0</v>
      </c>
      <c r="AG453">
        <v>2.2999999999999998</v>
      </c>
      <c r="AH453">
        <v>73.150000000000006</v>
      </c>
      <c r="AI453">
        <v>7.16</v>
      </c>
      <c r="AJ453">
        <v>0</v>
      </c>
      <c r="AK453">
        <v>0</v>
      </c>
      <c r="AL453">
        <v>0</v>
      </c>
      <c r="AM453">
        <v>0.22</v>
      </c>
      <c r="AN453">
        <f t="shared" si="22"/>
        <v>6</v>
      </c>
      <c r="AO453" t="str">
        <f t="shared" si="23"/>
        <v>Friday</v>
      </c>
    </row>
    <row r="454" spans="1:41" x14ac:dyDescent="0.2">
      <c r="A454" t="s">
        <v>39</v>
      </c>
      <c r="B454" s="1">
        <v>45933</v>
      </c>
      <c r="C454" s="1">
        <f t="shared" si="21"/>
        <v>45961</v>
      </c>
      <c r="D454">
        <v>28</v>
      </c>
      <c r="E454">
        <v>51</v>
      </c>
      <c r="F454">
        <v>2</v>
      </c>
      <c r="G454">
        <v>2</v>
      </c>
      <c r="H454">
        <v>1</v>
      </c>
      <c r="I454">
        <v>2</v>
      </c>
      <c r="J454">
        <v>0</v>
      </c>
      <c r="K454">
        <v>25</v>
      </c>
      <c r="L454" t="s">
        <v>39</v>
      </c>
      <c r="M454" t="s">
        <v>38</v>
      </c>
      <c r="N454" s="1">
        <v>45933</v>
      </c>
      <c r="O454" s="2">
        <v>0.54180555555555554</v>
      </c>
      <c r="P454" s="2">
        <v>0.91670138888888886</v>
      </c>
      <c r="Q454">
        <v>9</v>
      </c>
      <c r="R454">
        <v>9</v>
      </c>
      <c r="S454">
        <v>1.66</v>
      </c>
      <c r="T454">
        <v>0</v>
      </c>
      <c r="U454">
        <v>0</v>
      </c>
      <c r="V454">
        <v>0.04</v>
      </c>
      <c r="W454">
        <v>5.91</v>
      </c>
      <c r="X454">
        <v>1.38</v>
      </c>
      <c r="Y454">
        <v>0</v>
      </c>
      <c r="Z454">
        <v>0</v>
      </c>
      <c r="AA454">
        <v>0</v>
      </c>
      <c r="AB454">
        <v>0</v>
      </c>
      <c r="AC454">
        <v>9</v>
      </c>
      <c r="AD454">
        <v>18.489999999999998</v>
      </c>
      <c r="AE454">
        <v>0</v>
      </c>
      <c r="AF454">
        <v>0</v>
      </c>
      <c r="AG454">
        <v>0.43</v>
      </c>
      <c r="AH454">
        <v>65.67</v>
      </c>
      <c r="AI454">
        <v>15.37</v>
      </c>
      <c r="AJ454">
        <v>0</v>
      </c>
      <c r="AK454">
        <v>0</v>
      </c>
      <c r="AL454">
        <v>0</v>
      </c>
      <c r="AM454">
        <v>0.04</v>
      </c>
      <c r="AN454">
        <f t="shared" si="22"/>
        <v>6</v>
      </c>
      <c r="AO454" t="str">
        <f t="shared" si="23"/>
        <v>Friday</v>
      </c>
    </row>
    <row r="455" spans="1:41" x14ac:dyDescent="0.2">
      <c r="A455" t="s">
        <v>40</v>
      </c>
      <c r="B455" s="1">
        <v>45933</v>
      </c>
      <c r="C455" s="1">
        <f t="shared" si="21"/>
        <v>45961</v>
      </c>
      <c r="D455">
        <v>17</v>
      </c>
      <c r="E455">
        <v>36</v>
      </c>
      <c r="F455">
        <v>2</v>
      </c>
      <c r="G455">
        <v>0</v>
      </c>
      <c r="H455">
        <v>12</v>
      </c>
      <c r="I455">
        <v>0</v>
      </c>
      <c r="J455">
        <v>0</v>
      </c>
      <c r="K455">
        <v>17</v>
      </c>
      <c r="L455" t="s">
        <v>40</v>
      </c>
      <c r="M455" t="s">
        <v>38</v>
      </c>
      <c r="N455" s="1">
        <v>45933</v>
      </c>
      <c r="O455" s="2">
        <v>0.54246527777777775</v>
      </c>
      <c r="P455" s="2">
        <v>0.91671296296296301</v>
      </c>
      <c r="Q455">
        <v>8.98</v>
      </c>
      <c r="R455">
        <v>8.98</v>
      </c>
      <c r="S455">
        <v>0.68</v>
      </c>
      <c r="T455">
        <v>7.0000000000000007E-2</v>
      </c>
      <c r="U455">
        <v>0</v>
      </c>
      <c r="V455">
        <v>0.17</v>
      </c>
      <c r="W455">
        <v>6.54</v>
      </c>
      <c r="X455">
        <v>1.52</v>
      </c>
      <c r="Y455">
        <v>0</v>
      </c>
      <c r="Z455">
        <v>0</v>
      </c>
      <c r="AA455">
        <v>0</v>
      </c>
      <c r="AB455">
        <v>0</v>
      </c>
      <c r="AC455">
        <v>8.98</v>
      </c>
      <c r="AD455">
        <v>7.58</v>
      </c>
      <c r="AE455">
        <v>0.82</v>
      </c>
      <c r="AF455">
        <v>0</v>
      </c>
      <c r="AG455">
        <v>1.86</v>
      </c>
      <c r="AH455">
        <v>72.8</v>
      </c>
      <c r="AI455">
        <v>16.91</v>
      </c>
      <c r="AJ455">
        <v>0</v>
      </c>
      <c r="AK455">
        <v>0</v>
      </c>
      <c r="AL455">
        <v>0</v>
      </c>
      <c r="AM455">
        <v>0.03</v>
      </c>
      <c r="AN455">
        <f t="shared" si="22"/>
        <v>6</v>
      </c>
      <c r="AO455" t="str">
        <f t="shared" si="23"/>
        <v>Friday</v>
      </c>
    </row>
    <row r="456" spans="1:41" x14ac:dyDescent="0.2">
      <c r="A456" t="s">
        <v>41</v>
      </c>
      <c r="B456" s="1">
        <v>45933</v>
      </c>
      <c r="C456" s="1">
        <f t="shared" si="21"/>
        <v>45961</v>
      </c>
      <c r="D456">
        <v>24</v>
      </c>
      <c r="E456">
        <v>46</v>
      </c>
      <c r="F456">
        <v>0</v>
      </c>
      <c r="G456">
        <v>0</v>
      </c>
      <c r="H456">
        <v>4</v>
      </c>
      <c r="I456">
        <v>0</v>
      </c>
      <c r="J456">
        <v>2</v>
      </c>
      <c r="K456">
        <v>25</v>
      </c>
      <c r="L456" t="s">
        <v>41</v>
      </c>
      <c r="M456" t="s">
        <v>38</v>
      </c>
      <c r="N456" s="1">
        <v>45933</v>
      </c>
      <c r="O456" s="2">
        <v>0.54178240740740746</v>
      </c>
      <c r="P456" s="2">
        <v>0.91600694444444442</v>
      </c>
      <c r="Q456">
        <v>8.98</v>
      </c>
      <c r="R456">
        <v>8.98</v>
      </c>
      <c r="S456">
        <v>0.69</v>
      </c>
      <c r="T456">
        <v>0.36</v>
      </c>
      <c r="U456">
        <v>0</v>
      </c>
      <c r="V456">
        <v>0.05</v>
      </c>
      <c r="W456">
        <v>6.41</v>
      </c>
      <c r="X456">
        <v>1.46</v>
      </c>
      <c r="Y456">
        <v>0</v>
      </c>
      <c r="Z456">
        <v>0</v>
      </c>
      <c r="AA456">
        <v>0</v>
      </c>
      <c r="AB456">
        <v>0.01</v>
      </c>
      <c r="AC456">
        <v>8.98</v>
      </c>
      <c r="AD456">
        <v>7.73</v>
      </c>
      <c r="AE456">
        <v>4.05</v>
      </c>
      <c r="AF456">
        <v>0</v>
      </c>
      <c r="AG456">
        <v>0.5</v>
      </c>
      <c r="AH456">
        <v>71.41</v>
      </c>
      <c r="AI456">
        <v>16.22</v>
      </c>
      <c r="AJ456">
        <v>0</v>
      </c>
      <c r="AK456">
        <v>0</v>
      </c>
      <c r="AL456">
        <v>0</v>
      </c>
      <c r="AM456">
        <v>0.09</v>
      </c>
      <c r="AN456">
        <f t="shared" si="22"/>
        <v>6</v>
      </c>
      <c r="AO456" t="str">
        <f t="shared" si="23"/>
        <v>Friday</v>
      </c>
    </row>
    <row r="457" spans="1:41" x14ac:dyDescent="0.2">
      <c r="A457" t="s">
        <v>42</v>
      </c>
      <c r="B457" s="1">
        <v>45933</v>
      </c>
      <c r="C457" s="1">
        <f t="shared" si="21"/>
        <v>45961</v>
      </c>
      <c r="D457">
        <v>1</v>
      </c>
      <c r="E457">
        <v>1</v>
      </c>
      <c r="F457">
        <v>0</v>
      </c>
      <c r="G457">
        <v>0</v>
      </c>
      <c r="H457">
        <v>0</v>
      </c>
      <c r="I457">
        <v>0</v>
      </c>
      <c r="J457">
        <v>0</v>
      </c>
      <c r="K457">
        <v>1</v>
      </c>
      <c r="L457" t="s">
        <v>42</v>
      </c>
      <c r="M457" t="s">
        <v>38</v>
      </c>
      <c r="N457" s="1">
        <v>45933</v>
      </c>
      <c r="O457" s="2">
        <v>0.77978009259259262</v>
      </c>
      <c r="P457" s="2">
        <v>0.78175925925925926</v>
      </c>
      <c r="Q457">
        <v>0.05</v>
      </c>
      <c r="R457">
        <v>0.05</v>
      </c>
      <c r="S457">
        <v>0.04</v>
      </c>
      <c r="T457">
        <v>0</v>
      </c>
      <c r="U457">
        <v>0</v>
      </c>
      <c r="V457">
        <v>0.01</v>
      </c>
      <c r="W457">
        <v>0</v>
      </c>
      <c r="X457">
        <v>0</v>
      </c>
      <c r="Y457">
        <v>0</v>
      </c>
      <c r="Z457">
        <v>0</v>
      </c>
      <c r="AA457">
        <v>0</v>
      </c>
      <c r="AB457">
        <v>0</v>
      </c>
      <c r="AC457">
        <v>0.05</v>
      </c>
      <c r="AD457">
        <v>75.44</v>
      </c>
      <c r="AE457">
        <v>0</v>
      </c>
      <c r="AF457">
        <v>0</v>
      </c>
      <c r="AG457">
        <v>15.2</v>
      </c>
      <c r="AH457">
        <v>0</v>
      </c>
      <c r="AI457">
        <v>0</v>
      </c>
      <c r="AJ457">
        <v>0</v>
      </c>
      <c r="AK457">
        <v>0</v>
      </c>
      <c r="AL457">
        <v>0</v>
      </c>
      <c r="AM457">
        <v>9.36</v>
      </c>
      <c r="AN457">
        <f t="shared" si="22"/>
        <v>6</v>
      </c>
      <c r="AO457" t="str">
        <f t="shared" si="23"/>
        <v>Friday</v>
      </c>
    </row>
    <row r="458" spans="1:41" x14ac:dyDescent="0.2">
      <c r="A458" t="s">
        <v>43</v>
      </c>
      <c r="B458" s="1">
        <v>45933</v>
      </c>
      <c r="C458" s="1">
        <f t="shared" si="21"/>
        <v>45961</v>
      </c>
      <c r="D458">
        <v>20</v>
      </c>
      <c r="E458">
        <v>51</v>
      </c>
      <c r="F458">
        <v>5</v>
      </c>
      <c r="G458">
        <v>0</v>
      </c>
      <c r="H458">
        <v>3</v>
      </c>
      <c r="I458">
        <v>0</v>
      </c>
      <c r="J458">
        <v>0</v>
      </c>
      <c r="K458">
        <v>13</v>
      </c>
      <c r="L458" t="s">
        <v>43</v>
      </c>
      <c r="M458" t="s">
        <v>38</v>
      </c>
      <c r="N458" s="1">
        <v>45933</v>
      </c>
      <c r="O458" s="2">
        <v>0.54249999999999998</v>
      </c>
      <c r="P458" s="2">
        <v>0.91693287037037041</v>
      </c>
      <c r="Q458">
        <v>8.98</v>
      </c>
      <c r="R458">
        <v>8.99</v>
      </c>
      <c r="S458">
        <v>1.1399999999999999</v>
      </c>
      <c r="T458">
        <v>0.33</v>
      </c>
      <c r="U458">
        <v>0</v>
      </c>
      <c r="V458">
        <v>0.1</v>
      </c>
      <c r="W458">
        <v>5.52</v>
      </c>
      <c r="X458">
        <v>1.89</v>
      </c>
      <c r="Y458">
        <v>0</v>
      </c>
      <c r="Z458">
        <v>0</v>
      </c>
      <c r="AA458">
        <v>0</v>
      </c>
      <c r="AB458">
        <v>0</v>
      </c>
      <c r="AC458">
        <v>8.99</v>
      </c>
      <c r="AD458">
        <v>12.68</v>
      </c>
      <c r="AE458">
        <v>3.62</v>
      </c>
      <c r="AF458">
        <v>0</v>
      </c>
      <c r="AG458">
        <v>1.1299999999999999</v>
      </c>
      <c r="AH458">
        <v>61.47</v>
      </c>
      <c r="AI458">
        <v>21.06</v>
      </c>
      <c r="AJ458">
        <v>0</v>
      </c>
      <c r="AK458">
        <v>0</v>
      </c>
      <c r="AL458">
        <v>0</v>
      </c>
      <c r="AM458">
        <v>0.03</v>
      </c>
      <c r="AN458">
        <f t="shared" si="22"/>
        <v>6</v>
      </c>
      <c r="AO458" t="str">
        <f t="shared" si="23"/>
        <v>Friday</v>
      </c>
    </row>
    <row r="459" spans="1:41" x14ac:dyDescent="0.2">
      <c r="B459" s="1">
        <v>45933</v>
      </c>
      <c r="C459" s="1">
        <f t="shared" si="21"/>
        <v>45961</v>
      </c>
      <c r="D459">
        <v>450</v>
      </c>
      <c r="E459">
        <v>0</v>
      </c>
      <c r="F459">
        <v>0</v>
      </c>
      <c r="G459">
        <v>0</v>
      </c>
      <c r="H459">
        <v>0</v>
      </c>
      <c r="I459">
        <v>0</v>
      </c>
      <c r="J459">
        <v>0</v>
      </c>
      <c r="K459">
        <v>0</v>
      </c>
      <c r="AN459">
        <f t="shared" si="22"/>
        <v>6</v>
      </c>
      <c r="AO459" t="str">
        <f t="shared" si="23"/>
        <v>Friday</v>
      </c>
    </row>
    <row r="460" spans="1:41" x14ac:dyDescent="0.2">
      <c r="A460" t="s">
        <v>37</v>
      </c>
      <c r="B460" s="1">
        <v>45932</v>
      </c>
      <c r="C460" s="1">
        <f t="shared" si="21"/>
        <v>45961</v>
      </c>
      <c r="D460">
        <v>17</v>
      </c>
      <c r="E460">
        <v>39</v>
      </c>
      <c r="F460">
        <v>3</v>
      </c>
      <c r="G460">
        <v>2</v>
      </c>
      <c r="H460">
        <v>0</v>
      </c>
      <c r="I460">
        <v>0</v>
      </c>
      <c r="J460">
        <v>0</v>
      </c>
      <c r="K460">
        <v>18</v>
      </c>
      <c r="L460" t="s">
        <v>37</v>
      </c>
      <c r="M460" t="s">
        <v>38</v>
      </c>
      <c r="N460" s="1">
        <v>45932</v>
      </c>
      <c r="O460" s="2">
        <v>0.54226851851851854</v>
      </c>
      <c r="P460" s="2">
        <v>0.91690972222222222</v>
      </c>
      <c r="Q460">
        <v>9</v>
      </c>
      <c r="R460">
        <v>7.97</v>
      </c>
      <c r="S460">
        <v>0.86</v>
      </c>
      <c r="T460">
        <v>0.22</v>
      </c>
      <c r="U460">
        <v>0</v>
      </c>
      <c r="V460">
        <v>0.18</v>
      </c>
      <c r="W460">
        <v>5.68</v>
      </c>
      <c r="X460">
        <v>0.17</v>
      </c>
      <c r="Y460">
        <v>0.81</v>
      </c>
      <c r="Z460">
        <v>0</v>
      </c>
      <c r="AA460">
        <v>0</v>
      </c>
      <c r="AB460">
        <v>0.04</v>
      </c>
      <c r="AC460">
        <v>7.97</v>
      </c>
      <c r="AD460">
        <v>10.76</v>
      </c>
      <c r="AE460">
        <v>2.82</v>
      </c>
      <c r="AF460">
        <v>0</v>
      </c>
      <c r="AG460">
        <v>2.29</v>
      </c>
      <c r="AH460">
        <v>71.3</v>
      </c>
      <c r="AI460">
        <v>2.14</v>
      </c>
      <c r="AJ460">
        <v>10.17</v>
      </c>
      <c r="AK460">
        <v>0</v>
      </c>
      <c r="AL460">
        <v>0</v>
      </c>
      <c r="AM460">
        <v>0.52</v>
      </c>
      <c r="AN460">
        <f t="shared" si="22"/>
        <v>5</v>
      </c>
      <c r="AO460" t="str">
        <f t="shared" si="23"/>
        <v>Thursday</v>
      </c>
    </row>
    <row r="461" spans="1:41" x14ac:dyDescent="0.2">
      <c r="A461" t="s">
        <v>39</v>
      </c>
      <c r="B461" s="1">
        <v>45932</v>
      </c>
      <c r="C461" s="1">
        <f t="shared" si="21"/>
        <v>45961</v>
      </c>
      <c r="D461">
        <v>14</v>
      </c>
      <c r="E461">
        <v>22</v>
      </c>
      <c r="F461">
        <v>2</v>
      </c>
      <c r="G461">
        <v>1</v>
      </c>
      <c r="H461">
        <v>0</v>
      </c>
      <c r="I461">
        <v>2</v>
      </c>
      <c r="J461">
        <v>0</v>
      </c>
      <c r="K461">
        <v>8</v>
      </c>
      <c r="L461" t="s">
        <v>39</v>
      </c>
      <c r="M461" t="s">
        <v>38</v>
      </c>
      <c r="N461" s="1">
        <v>45932</v>
      </c>
      <c r="O461" s="2">
        <v>0.54244212962962968</v>
      </c>
      <c r="P461" s="2">
        <v>0.91678240740740746</v>
      </c>
      <c r="Q461">
        <v>8.98</v>
      </c>
      <c r="R461">
        <v>8.98</v>
      </c>
      <c r="S461">
        <v>0.68</v>
      </c>
      <c r="T461">
        <v>0.03</v>
      </c>
      <c r="U461">
        <v>0</v>
      </c>
      <c r="V461">
        <v>0.02</v>
      </c>
      <c r="W461">
        <v>5.98</v>
      </c>
      <c r="X461">
        <v>1.47</v>
      </c>
      <c r="Y461">
        <v>0.8</v>
      </c>
      <c r="Z461">
        <v>0</v>
      </c>
      <c r="AA461">
        <v>0</v>
      </c>
      <c r="AB461">
        <v>0</v>
      </c>
      <c r="AC461">
        <v>8.98</v>
      </c>
      <c r="AD461">
        <v>7.56</v>
      </c>
      <c r="AE461">
        <v>0.32</v>
      </c>
      <c r="AF461">
        <v>0</v>
      </c>
      <c r="AG461">
        <v>0.24</v>
      </c>
      <c r="AH461">
        <v>66.59</v>
      </c>
      <c r="AI461">
        <v>16.37</v>
      </c>
      <c r="AJ461">
        <v>8.8800000000000008</v>
      </c>
      <c r="AK461">
        <v>0</v>
      </c>
      <c r="AL461">
        <v>0</v>
      </c>
      <c r="AM461">
        <v>0.04</v>
      </c>
      <c r="AN461">
        <f t="shared" si="22"/>
        <v>5</v>
      </c>
      <c r="AO461" t="str">
        <f t="shared" si="23"/>
        <v>Thursday</v>
      </c>
    </row>
    <row r="462" spans="1:41" x14ac:dyDescent="0.2">
      <c r="A462" t="s">
        <v>40</v>
      </c>
      <c r="B462" s="1">
        <v>45932</v>
      </c>
      <c r="C462" s="1">
        <f t="shared" si="21"/>
        <v>45961</v>
      </c>
      <c r="D462">
        <v>22</v>
      </c>
      <c r="E462">
        <v>55</v>
      </c>
      <c r="F462">
        <v>3</v>
      </c>
      <c r="G462">
        <v>3</v>
      </c>
      <c r="H462">
        <v>3</v>
      </c>
      <c r="I462">
        <v>0</v>
      </c>
      <c r="J462">
        <v>0</v>
      </c>
      <c r="K462">
        <v>35</v>
      </c>
      <c r="L462" t="s">
        <v>40</v>
      </c>
      <c r="M462" t="s">
        <v>38</v>
      </c>
      <c r="N462" s="1">
        <v>45932</v>
      </c>
      <c r="O462" s="2">
        <v>0.54265046296296293</v>
      </c>
      <c r="P462" s="2">
        <v>0.91668981481481482</v>
      </c>
      <c r="Q462">
        <v>8.98</v>
      </c>
      <c r="R462">
        <v>8.98</v>
      </c>
      <c r="S462">
        <v>0.8</v>
      </c>
      <c r="T462">
        <v>0</v>
      </c>
      <c r="U462">
        <v>0</v>
      </c>
      <c r="V462">
        <v>0.14000000000000001</v>
      </c>
      <c r="W462">
        <v>5.84</v>
      </c>
      <c r="X462">
        <v>1.52</v>
      </c>
      <c r="Y462">
        <v>0.68</v>
      </c>
      <c r="Z462">
        <v>0</v>
      </c>
      <c r="AA462">
        <v>0</v>
      </c>
      <c r="AB462">
        <v>0</v>
      </c>
      <c r="AC462">
        <v>8.98</v>
      </c>
      <c r="AD462">
        <v>8.93</v>
      </c>
      <c r="AE462">
        <v>0</v>
      </c>
      <c r="AF462">
        <v>0</v>
      </c>
      <c r="AG462">
        <v>1.51</v>
      </c>
      <c r="AH462">
        <v>65.069999999999993</v>
      </c>
      <c r="AI462">
        <v>16.89</v>
      </c>
      <c r="AJ462">
        <v>7.57</v>
      </c>
      <c r="AK462">
        <v>0</v>
      </c>
      <c r="AL462">
        <v>0</v>
      </c>
      <c r="AM462">
        <v>0.03</v>
      </c>
      <c r="AN462">
        <f t="shared" si="22"/>
        <v>5</v>
      </c>
      <c r="AO462" t="str">
        <f t="shared" si="23"/>
        <v>Thursday</v>
      </c>
    </row>
    <row r="463" spans="1:41" x14ac:dyDescent="0.2">
      <c r="A463" t="s">
        <v>41</v>
      </c>
      <c r="B463" s="1">
        <v>45932</v>
      </c>
      <c r="C463" s="1">
        <f t="shared" si="21"/>
        <v>45961</v>
      </c>
      <c r="D463">
        <v>19</v>
      </c>
      <c r="E463">
        <v>46</v>
      </c>
      <c r="F463">
        <v>1</v>
      </c>
      <c r="G463">
        <v>1</v>
      </c>
      <c r="H463">
        <v>1</v>
      </c>
      <c r="I463">
        <v>0</v>
      </c>
      <c r="J463">
        <v>0</v>
      </c>
      <c r="K463">
        <v>26</v>
      </c>
      <c r="L463" t="s">
        <v>41</v>
      </c>
      <c r="M463" t="s">
        <v>38</v>
      </c>
      <c r="N463" s="1">
        <v>45932</v>
      </c>
      <c r="O463" s="2">
        <v>0.54174768518518523</v>
      </c>
      <c r="P463" s="2">
        <v>0.91605324074074079</v>
      </c>
      <c r="Q463">
        <v>8.98</v>
      </c>
      <c r="R463">
        <v>8.98</v>
      </c>
      <c r="S463">
        <v>0.52</v>
      </c>
      <c r="T463">
        <v>0.17</v>
      </c>
      <c r="U463">
        <v>0</v>
      </c>
      <c r="V463">
        <v>0.05</v>
      </c>
      <c r="W463">
        <v>5.98</v>
      </c>
      <c r="X463">
        <v>1.46</v>
      </c>
      <c r="Y463">
        <v>0.8</v>
      </c>
      <c r="Z463">
        <v>0</v>
      </c>
      <c r="AA463">
        <v>0</v>
      </c>
      <c r="AB463">
        <v>0</v>
      </c>
      <c r="AC463">
        <v>8.98</v>
      </c>
      <c r="AD463">
        <v>5.77</v>
      </c>
      <c r="AE463">
        <v>1.93</v>
      </c>
      <c r="AF463">
        <v>0</v>
      </c>
      <c r="AG463">
        <v>0.56999999999999995</v>
      </c>
      <c r="AH463">
        <v>66.52</v>
      </c>
      <c r="AI463">
        <v>16.23</v>
      </c>
      <c r="AJ463">
        <v>8.9499999999999993</v>
      </c>
      <c r="AK463">
        <v>0</v>
      </c>
      <c r="AL463">
        <v>0</v>
      </c>
      <c r="AM463">
        <v>0.04</v>
      </c>
      <c r="AN463">
        <f t="shared" si="22"/>
        <v>5</v>
      </c>
      <c r="AO463" t="str">
        <f t="shared" si="23"/>
        <v>Thursday</v>
      </c>
    </row>
    <row r="464" spans="1:41" x14ac:dyDescent="0.2">
      <c r="A464" t="s">
        <v>43</v>
      </c>
      <c r="B464" s="1">
        <v>45932</v>
      </c>
      <c r="C464" s="1">
        <f t="shared" si="21"/>
        <v>45961</v>
      </c>
      <c r="D464">
        <v>20</v>
      </c>
      <c r="E464">
        <v>52</v>
      </c>
      <c r="F464">
        <v>2</v>
      </c>
      <c r="G464">
        <v>5</v>
      </c>
      <c r="H464">
        <v>2</v>
      </c>
      <c r="I464">
        <v>0</v>
      </c>
      <c r="J464">
        <v>0</v>
      </c>
      <c r="K464">
        <v>24</v>
      </c>
      <c r="L464" t="s">
        <v>43</v>
      </c>
      <c r="M464" t="s">
        <v>38</v>
      </c>
      <c r="N464" s="1">
        <v>45932</v>
      </c>
      <c r="O464" s="2">
        <v>0.54164351851851855</v>
      </c>
      <c r="P464" s="2">
        <v>0.92283564814814811</v>
      </c>
      <c r="Q464">
        <v>9.15</v>
      </c>
      <c r="R464">
        <v>9.15</v>
      </c>
      <c r="S464">
        <v>0.88</v>
      </c>
      <c r="T464">
        <v>0.33</v>
      </c>
      <c r="U464">
        <v>0</v>
      </c>
      <c r="V464">
        <v>0.28000000000000003</v>
      </c>
      <c r="W464">
        <v>5.01</v>
      </c>
      <c r="X464">
        <v>1.54</v>
      </c>
      <c r="Y464">
        <v>1.1100000000000001</v>
      </c>
      <c r="Z464">
        <v>0</v>
      </c>
      <c r="AA464">
        <v>0</v>
      </c>
      <c r="AB464">
        <v>0</v>
      </c>
      <c r="AC464">
        <v>9.15</v>
      </c>
      <c r="AD464">
        <v>9.58</v>
      </c>
      <c r="AE464">
        <v>3.57</v>
      </c>
      <c r="AF464">
        <v>0</v>
      </c>
      <c r="AG464">
        <v>3.09</v>
      </c>
      <c r="AH464">
        <v>54.76</v>
      </c>
      <c r="AI464">
        <v>16.8</v>
      </c>
      <c r="AJ464">
        <v>12.17</v>
      </c>
      <c r="AK464">
        <v>0</v>
      </c>
      <c r="AL464">
        <v>0</v>
      </c>
      <c r="AM464">
        <v>0.03</v>
      </c>
      <c r="AN464">
        <f t="shared" si="22"/>
        <v>5</v>
      </c>
      <c r="AO464" t="str">
        <f t="shared" si="23"/>
        <v>Thursday</v>
      </c>
    </row>
    <row r="465" spans="1:41" x14ac:dyDescent="0.2">
      <c r="B465" s="1">
        <v>45932</v>
      </c>
      <c r="C465" s="1">
        <f t="shared" si="21"/>
        <v>45961</v>
      </c>
      <c r="D465">
        <v>445</v>
      </c>
      <c r="E465">
        <v>0</v>
      </c>
      <c r="F465">
        <v>0</v>
      </c>
      <c r="G465">
        <v>0</v>
      </c>
      <c r="H465">
        <v>0</v>
      </c>
      <c r="I465">
        <v>0</v>
      </c>
      <c r="J465">
        <v>0</v>
      </c>
      <c r="K465">
        <v>0</v>
      </c>
      <c r="AN465">
        <f t="shared" si="22"/>
        <v>5</v>
      </c>
      <c r="AO465" t="str">
        <f t="shared" si="23"/>
        <v>Thursday</v>
      </c>
    </row>
    <row r="466" spans="1:41" x14ac:dyDescent="0.2">
      <c r="A466" t="s">
        <v>37</v>
      </c>
      <c r="B466" s="1">
        <v>45931</v>
      </c>
      <c r="C466" s="1">
        <f t="shared" si="21"/>
        <v>45961</v>
      </c>
      <c r="D466">
        <v>41</v>
      </c>
      <c r="E466">
        <v>61</v>
      </c>
      <c r="F466">
        <v>1</v>
      </c>
      <c r="G466">
        <v>3</v>
      </c>
      <c r="H466">
        <v>0</v>
      </c>
      <c r="I466">
        <v>0</v>
      </c>
      <c r="J466">
        <v>0</v>
      </c>
      <c r="K466">
        <v>22</v>
      </c>
      <c r="L466" t="s">
        <v>37</v>
      </c>
      <c r="M466" t="s">
        <v>38</v>
      </c>
      <c r="N466" s="1">
        <v>45931</v>
      </c>
      <c r="O466" s="2">
        <v>0.54245370370370372</v>
      </c>
      <c r="P466" s="2">
        <v>0.71847222222222218</v>
      </c>
      <c r="Q466">
        <v>4.22</v>
      </c>
      <c r="R466">
        <v>4.2300000000000004</v>
      </c>
      <c r="S466">
        <v>2.5299999999999998</v>
      </c>
      <c r="T466">
        <v>0</v>
      </c>
      <c r="U466">
        <v>0</v>
      </c>
      <c r="V466">
        <v>0.17</v>
      </c>
      <c r="W466">
        <v>1.51</v>
      </c>
      <c r="X466">
        <v>0</v>
      </c>
      <c r="Y466">
        <v>0</v>
      </c>
      <c r="Z466">
        <v>0</v>
      </c>
      <c r="AA466">
        <v>0</v>
      </c>
      <c r="AB466">
        <v>0.01</v>
      </c>
      <c r="AC466">
        <v>4.2300000000000004</v>
      </c>
      <c r="AD466">
        <v>59.94</v>
      </c>
      <c r="AE466">
        <v>0</v>
      </c>
      <c r="AF466">
        <v>0</v>
      </c>
      <c r="AG466">
        <v>4.0199999999999996</v>
      </c>
      <c r="AH466">
        <v>35.81</v>
      </c>
      <c r="AI466">
        <v>0</v>
      </c>
      <c r="AJ466">
        <v>0</v>
      </c>
      <c r="AK466">
        <v>0</v>
      </c>
      <c r="AL466">
        <v>0</v>
      </c>
      <c r="AM466">
        <v>0.24</v>
      </c>
      <c r="AN466">
        <f t="shared" si="22"/>
        <v>4</v>
      </c>
      <c r="AO466" t="str">
        <f t="shared" si="23"/>
        <v>Wednesday</v>
      </c>
    </row>
    <row r="467" spans="1:41" x14ac:dyDescent="0.2">
      <c r="A467" t="s">
        <v>39</v>
      </c>
      <c r="B467" s="1">
        <v>45931</v>
      </c>
      <c r="C467" s="1">
        <f t="shared" si="21"/>
        <v>45961</v>
      </c>
      <c r="D467">
        <v>99</v>
      </c>
      <c r="E467">
        <v>168</v>
      </c>
      <c r="F467">
        <v>9</v>
      </c>
      <c r="G467">
        <v>3</v>
      </c>
      <c r="H467">
        <v>7</v>
      </c>
      <c r="I467">
        <v>3</v>
      </c>
      <c r="J467">
        <v>1</v>
      </c>
      <c r="K467">
        <v>47</v>
      </c>
      <c r="L467" t="s">
        <v>39</v>
      </c>
      <c r="M467" t="s">
        <v>38</v>
      </c>
      <c r="N467" s="1">
        <v>45931</v>
      </c>
      <c r="O467" s="2">
        <v>0.54182870370370373</v>
      </c>
      <c r="P467" s="2">
        <v>0.91737268518518522</v>
      </c>
      <c r="Q467">
        <v>9.02</v>
      </c>
      <c r="R467">
        <v>9.01</v>
      </c>
      <c r="S467">
        <v>4.82</v>
      </c>
      <c r="T467">
        <v>0.09</v>
      </c>
      <c r="U467">
        <v>0</v>
      </c>
      <c r="V467">
        <v>0.2</v>
      </c>
      <c r="W467">
        <v>2.5499999999999998</v>
      </c>
      <c r="X467">
        <v>1.35</v>
      </c>
      <c r="Y467">
        <v>0</v>
      </c>
      <c r="Z467">
        <v>0</v>
      </c>
      <c r="AA467">
        <v>0</v>
      </c>
      <c r="AB467">
        <v>0</v>
      </c>
      <c r="AC467">
        <v>9.01</v>
      </c>
      <c r="AD467">
        <v>53.54</v>
      </c>
      <c r="AE467">
        <v>0.97</v>
      </c>
      <c r="AF467">
        <v>0</v>
      </c>
      <c r="AG467">
        <v>2.1800000000000002</v>
      </c>
      <c r="AH467">
        <v>28.32</v>
      </c>
      <c r="AI467">
        <v>14.94</v>
      </c>
      <c r="AJ467">
        <v>0</v>
      </c>
      <c r="AK467">
        <v>0</v>
      </c>
      <c r="AL467">
        <v>0</v>
      </c>
      <c r="AM467">
        <v>0.05</v>
      </c>
      <c r="AN467">
        <f t="shared" si="22"/>
        <v>4</v>
      </c>
      <c r="AO467" t="str">
        <f t="shared" si="23"/>
        <v>Wednesday</v>
      </c>
    </row>
    <row r="468" spans="1:41" x14ac:dyDescent="0.2">
      <c r="A468" t="s">
        <v>40</v>
      </c>
      <c r="B468" s="1">
        <v>45931</v>
      </c>
      <c r="C468" s="1">
        <f t="shared" si="21"/>
        <v>45961</v>
      </c>
      <c r="D468">
        <v>111</v>
      </c>
      <c r="E468">
        <v>174</v>
      </c>
      <c r="F468">
        <v>8</v>
      </c>
      <c r="G468">
        <v>2</v>
      </c>
      <c r="H468">
        <v>10</v>
      </c>
      <c r="I468">
        <v>1</v>
      </c>
      <c r="J468">
        <v>0</v>
      </c>
      <c r="K468">
        <v>52</v>
      </c>
      <c r="L468" t="s">
        <v>40</v>
      </c>
      <c r="M468" t="s">
        <v>38</v>
      </c>
      <c r="N468" s="1">
        <v>45931</v>
      </c>
      <c r="O468" s="2">
        <v>0.54282407407407407</v>
      </c>
      <c r="P468" s="2">
        <v>0.91667824074074078</v>
      </c>
      <c r="Q468">
        <v>8.98</v>
      </c>
      <c r="R468">
        <v>8.9700000000000006</v>
      </c>
      <c r="S468">
        <v>4.74</v>
      </c>
      <c r="T468">
        <v>0.64</v>
      </c>
      <c r="U468">
        <v>0</v>
      </c>
      <c r="V468">
        <v>0.56000000000000005</v>
      </c>
      <c r="W468">
        <v>1.56</v>
      </c>
      <c r="X468">
        <v>1.47</v>
      </c>
      <c r="Y468">
        <v>0</v>
      </c>
      <c r="Z468">
        <v>0</v>
      </c>
      <c r="AA468">
        <v>0</v>
      </c>
      <c r="AB468">
        <v>0</v>
      </c>
      <c r="AC468">
        <v>8.9700000000000006</v>
      </c>
      <c r="AD468">
        <v>52.88</v>
      </c>
      <c r="AE468">
        <v>7.1</v>
      </c>
      <c r="AF468">
        <v>0</v>
      </c>
      <c r="AG468">
        <v>6.22</v>
      </c>
      <c r="AH468">
        <v>17.34</v>
      </c>
      <c r="AI468">
        <v>16.43</v>
      </c>
      <c r="AJ468">
        <v>0</v>
      </c>
      <c r="AK468">
        <v>0</v>
      </c>
      <c r="AL468">
        <v>0</v>
      </c>
      <c r="AM468">
        <v>0.04</v>
      </c>
      <c r="AN468">
        <f t="shared" si="22"/>
        <v>4</v>
      </c>
      <c r="AO468" t="str">
        <f t="shared" si="23"/>
        <v>Wednesday</v>
      </c>
    </row>
    <row r="469" spans="1:41" x14ac:dyDescent="0.2">
      <c r="A469" t="s">
        <v>41</v>
      </c>
      <c r="B469" s="1">
        <v>45931</v>
      </c>
      <c r="C469" s="1">
        <f t="shared" si="21"/>
        <v>45961</v>
      </c>
      <c r="D469">
        <v>107</v>
      </c>
      <c r="E469">
        <v>178</v>
      </c>
      <c r="F469">
        <v>2</v>
      </c>
      <c r="G469">
        <v>7</v>
      </c>
      <c r="H469">
        <v>4</v>
      </c>
      <c r="I469">
        <v>0</v>
      </c>
      <c r="J469">
        <v>0</v>
      </c>
      <c r="K469">
        <v>51</v>
      </c>
      <c r="L469" t="s">
        <v>41</v>
      </c>
      <c r="M469" t="s">
        <v>38</v>
      </c>
      <c r="N469" s="1">
        <v>45931</v>
      </c>
      <c r="O469" s="2">
        <v>0.54173611111111108</v>
      </c>
      <c r="P469" s="2">
        <v>0.9160300925925926</v>
      </c>
      <c r="Q469">
        <v>8.98</v>
      </c>
      <c r="R469">
        <v>7.49</v>
      </c>
      <c r="S469">
        <v>2.56</v>
      </c>
      <c r="T469">
        <v>0.3</v>
      </c>
      <c r="U469">
        <v>0</v>
      </c>
      <c r="V469">
        <v>0.19</v>
      </c>
      <c r="W469">
        <v>2.95</v>
      </c>
      <c r="X469">
        <v>1.47</v>
      </c>
      <c r="Y469">
        <v>0</v>
      </c>
      <c r="Z469">
        <v>0</v>
      </c>
      <c r="AA469">
        <v>0</v>
      </c>
      <c r="AB469">
        <v>0.01</v>
      </c>
      <c r="AC469">
        <v>7.49</v>
      </c>
      <c r="AD469">
        <v>34.24</v>
      </c>
      <c r="AE469">
        <v>4.0599999999999996</v>
      </c>
      <c r="AF469">
        <v>0</v>
      </c>
      <c r="AG469">
        <v>2.5499999999999998</v>
      </c>
      <c r="AH469">
        <v>39.43</v>
      </c>
      <c r="AI469">
        <v>19.62</v>
      </c>
      <c r="AJ469">
        <v>0</v>
      </c>
      <c r="AK469">
        <v>0</v>
      </c>
      <c r="AL469">
        <v>0</v>
      </c>
      <c r="AM469">
        <v>0.1</v>
      </c>
      <c r="AN469">
        <f t="shared" si="22"/>
        <v>4</v>
      </c>
      <c r="AO469" t="str">
        <f t="shared" si="23"/>
        <v>Wednesday</v>
      </c>
    </row>
    <row r="470" spans="1:41" x14ac:dyDescent="0.2">
      <c r="A470" t="s">
        <v>43</v>
      </c>
      <c r="B470" s="1">
        <v>45931</v>
      </c>
      <c r="C470" s="1">
        <f t="shared" si="21"/>
        <v>45961</v>
      </c>
      <c r="D470">
        <v>110</v>
      </c>
      <c r="E470">
        <v>243</v>
      </c>
      <c r="F470">
        <v>22</v>
      </c>
      <c r="G470">
        <v>4</v>
      </c>
      <c r="H470">
        <v>1</v>
      </c>
      <c r="I470">
        <v>1</v>
      </c>
      <c r="J470">
        <v>5</v>
      </c>
      <c r="K470">
        <v>72</v>
      </c>
      <c r="L470" t="s">
        <v>43</v>
      </c>
      <c r="M470" t="s">
        <v>38</v>
      </c>
      <c r="N470" s="1">
        <v>45931</v>
      </c>
      <c r="O470" s="2">
        <v>0.54251157407407402</v>
      </c>
      <c r="P470" s="2">
        <v>0.91913194444444446</v>
      </c>
      <c r="Q470">
        <v>9.0299999999999994</v>
      </c>
      <c r="R470">
        <v>9.0399999999999991</v>
      </c>
      <c r="S470">
        <v>4.1900000000000004</v>
      </c>
      <c r="T470">
        <v>0.4</v>
      </c>
      <c r="U470">
        <v>0</v>
      </c>
      <c r="V470">
        <v>0.52</v>
      </c>
      <c r="W470">
        <v>2.48</v>
      </c>
      <c r="X470">
        <v>1.44</v>
      </c>
      <c r="Y470">
        <v>0</v>
      </c>
      <c r="Z470">
        <v>0</v>
      </c>
      <c r="AA470">
        <v>0</v>
      </c>
      <c r="AB470">
        <v>0</v>
      </c>
      <c r="AC470">
        <v>9.0399999999999991</v>
      </c>
      <c r="AD470">
        <v>46.39</v>
      </c>
      <c r="AE470">
        <v>4.45</v>
      </c>
      <c r="AF470">
        <v>0</v>
      </c>
      <c r="AG470">
        <v>5.75</v>
      </c>
      <c r="AH470">
        <v>27.48</v>
      </c>
      <c r="AI470">
        <v>15.91</v>
      </c>
      <c r="AJ470">
        <v>0</v>
      </c>
      <c r="AK470">
        <v>0</v>
      </c>
      <c r="AL470">
        <v>0</v>
      </c>
      <c r="AM470">
        <v>0.03</v>
      </c>
      <c r="AN470">
        <f t="shared" si="22"/>
        <v>4</v>
      </c>
      <c r="AO470" t="str">
        <f t="shared" si="23"/>
        <v>Wednesday</v>
      </c>
    </row>
    <row r="471" spans="1:41" x14ac:dyDescent="0.2">
      <c r="A471" t="s">
        <v>49</v>
      </c>
      <c r="B471" s="1">
        <v>45931</v>
      </c>
      <c r="C471" s="1">
        <f t="shared" si="21"/>
        <v>45961</v>
      </c>
      <c r="D471">
        <v>6</v>
      </c>
      <c r="E471">
        <v>6</v>
      </c>
      <c r="F471">
        <v>0</v>
      </c>
      <c r="G471">
        <v>0</v>
      </c>
      <c r="H471">
        <v>1</v>
      </c>
      <c r="I471">
        <v>0</v>
      </c>
      <c r="J471">
        <v>0</v>
      </c>
      <c r="K471">
        <v>0</v>
      </c>
      <c r="L471" t="s">
        <v>49</v>
      </c>
      <c r="M471" t="s">
        <v>38</v>
      </c>
      <c r="N471" s="1">
        <v>45931</v>
      </c>
      <c r="O471" s="2">
        <v>0.86370370370370375</v>
      </c>
      <c r="P471" s="2">
        <v>0.88968749999999996</v>
      </c>
      <c r="Q471">
        <v>0.63</v>
      </c>
      <c r="R471">
        <v>0.62</v>
      </c>
      <c r="S471">
        <v>0.19</v>
      </c>
      <c r="T471">
        <v>0</v>
      </c>
      <c r="U471">
        <v>0</v>
      </c>
      <c r="V471">
        <v>0.02</v>
      </c>
      <c r="W471">
        <v>0</v>
      </c>
      <c r="X471">
        <v>0</v>
      </c>
      <c r="Y471">
        <v>0</v>
      </c>
      <c r="Z471">
        <v>0</v>
      </c>
      <c r="AA471">
        <v>0</v>
      </c>
      <c r="AB471">
        <v>0.41</v>
      </c>
      <c r="AC471">
        <v>0.62</v>
      </c>
      <c r="AD471">
        <v>29.95</v>
      </c>
      <c r="AE471">
        <v>0</v>
      </c>
      <c r="AF471">
        <v>0</v>
      </c>
      <c r="AG471">
        <v>4</v>
      </c>
      <c r="AH471">
        <v>0</v>
      </c>
      <c r="AI471">
        <v>0</v>
      </c>
      <c r="AJ471">
        <v>0</v>
      </c>
      <c r="AK471">
        <v>0</v>
      </c>
      <c r="AL471">
        <v>0</v>
      </c>
      <c r="AM471">
        <v>66.05</v>
      </c>
      <c r="AN471">
        <f t="shared" si="22"/>
        <v>4</v>
      </c>
      <c r="AO471" t="str">
        <f t="shared" si="23"/>
        <v>Wednesday</v>
      </c>
    </row>
    <row r="472" spans="1:41" x14ac:dyDescent="0.2">
      <c r="B472" s="1">
        <v>45931</v>
      </c>
      <c r="C472" s="1">
        <f t="shared" si="21"/>
        <v>45961</v>
      </c>
      <c r="D472">
        <v>360</v>
      </c>
      <c r="E472">
        <v>0</v>
      </c>
      <c r="F472">
        <v>0</v>
      </c>
      <c r="G472">
        <v>0</v>
      </c>
      <c r="H472">
        <v>0</v>
      </c>
      <c r="I472">
        <v>0</v>
      </c>
      <c r="J472">
        <v>0</v>
      </c>
      <c r="K472">
        <v>0</v>
      </c>
      <c r="AN472">
        <f t="shared" si="22"/>
        <v>4</v>
      </c>
      <c r="AO472" t="str">
        <f t="shared" si="23"/>
        <v>Wednesday</v>
      </c>
    </row>
    <row r="473" spans="1:41" x14ac:dyDescent="0.2">
      <c r="A473" t="s">
        <v>37</v>
      </c>
      <c r="B473" s="1">
        <v>45930</v>
      </c>
      <c r="C473" s="1">
        <f t="shared" si="21"/>
        <v>45930</v>
      </c>
      <c r="D473">
        <v>98</v>
      </c>
      <c r="E473">
        <v>146</v>
      </c>
      <c r="F473">
        <v>3</v>
      </c>
      <c r="G473">
        <v>10</v>
      </c>
      <c r="H473">
        <v>8</v>
      </c>
      <c r="I473">
        <v>0</v>
      </c>
      <c r="J473">
        <v>3</v>
      </c>
      <c r="K473">
        <v>32</v>
      </c>
      <c r="L473" t="s">
        <v>37</v>
      </c>
      <c r="M473" t="s">
        <v>38</v>
      </c>
      <c r="N473" s="1">
        <v>45930</v>
      </c>
      <c r="O473" s="2">
        <v>0.53978009259259263</v>
      </c>
      <c r="P473" s="2">
        <v>0.91685185185185181</v>
      </c>
      <c r="Q473">
        <v>9.0500000000000007</v>
      </c>
      <c r="R473">
        <v>8.23</v>
      </c>
      <c r="S473">
        <v>5.15</v>
      </c>
      <c r="T473">
        <v>0.24</v>
      </c>
      <c r="U473">
        <v>0</v>
      </c>
      <c r="V473">
        <v>0.78</v>
      </c>
      <c r="W473">
        <v>1.46</v>
      </c>
      <c r="X473">
        <v>0.41</v>
      </c>
      <c r="Y473">
        <v>0.06</v>
      </c>
      <c r="Z473">
        <v>0</v>
      </c>
      <c r="AA473">
        <v>0.05</v>
      </c>
      <c r="AB473">
        <v>0.1</v>
      </c>
      <c r="AC473">
        <v>8.23</v>
      </c>
      <c r="AD473">
        <v>62.5</v>
      </c>
      <c r="AE473">
        <v>2.87</v>
      </c>
      <c r="AF473">
        <v>0</v>
      </c>
      <c r="AG473">
        <v>9.51</v>
      </c>
      <c r="AH473">
        <v>17.71</v>
      </c>
      <c r="AI473">
        <v>4.99</v>
      </c>
      <c r="AJ473">
        <v>0.67</v>
      </c>
      <c r="AK473">
        <v>0</v>
      </c>
      <c r="AL473">
        <v>0.56999999999999995</v>
      </c>
      <c r="AM473">
        <v>1.18</v>
      </c>
      <c r="AN473">
        <f t="shared" si="22"/>
        <v>3</v>
      </c>
      <c r="AO473" t="str">
        <f t="shared" si="23"/>
        <v>Tuesday</v>
      </c>
    </row>
    <row r="474" spans="1:41" x14ac:dyDescent="0.2">
      <c r="A474" t="s">
        <v>39</v>
      </c>
      <c r="B474" s="1">
        <v>45930</v>
      </c>
      <c r="C474" s="1">
        <f t="shared" si="21"/>
        <v>45930</v>
      </c>
      <c r="D474">
        <v>113</v>
      </c>
      <c r="E474">
        <v>169</v>
      </c>
      <c r="F474">
        <v>7</v>
      </c>
      <c r="G474">
        <v>2</v>
      </c>
      <c r="H474">
        <v>11</v>
      </c>
      <c r="I474">
        <v>0</v>
      </c>
      <c r="J474">
        <v>0</v>
      </c>
      <c r="K474">
        <v>39</v>
      </c>
      <c r="L474" t="s">
        <v>39</v>
      </c>
      <c r="M474" t="s">
        <v>38</v>
      </c>
      <c r="N474" s="1">
        <v>45930</v>
      </c>
      <c r="O474" s="2">
        <v>0.54199074074074072</v>
      </c>
      <c r="P474" s="2">
        <v>0.9167939814814815</v>
      </c>
      <c r="Q474">
        <v>9</v>
      </c>
      <c r="R474">
        <v>8.99</v>
      </c>
      <c r="S474">
        <v>5.09</v>
      </c>
      <c r="T474">
        <v>0.25</v>
      </c>
      <c r="U474">
        <v>0</v>
      </c>
      <c r="V474">
        <v>0.17</v>
      </c>
      <c r="W474">
        <v>1.4</v>
      </c>
      <c r="X474">
        <v>1.41</v>
      </c>
      <c r="Y474">
        <v>0.67</v>
      </c>
      <c r="Z474">
        <v>0</v>
      </c>
      <c r="AA474">
        <v>0</v>
      </c>
      <c r="AB474">
        <v>0.01</v>
      </c>
      <c r="AC474">
        <v>8.99</v>
      </c>
      <c r="AD474">
        <v>56.61</v>
      </c>
      <c r="AE474">
        <v>2.83</v>
      </c>
      <c r="AF474">
        <v>0</v>
      </c>
      <c r="AG474">
        <v>1.86</v>
      </c>
      <c r="AH474">
        <v>15.53</v>
      </c>
      <c r="AI474">
        <v>15.68</v>
      </c>
      <c r="AJ474">
        <v>7.43</v>
      </c>
      <c r="AK474">
        <v>0</v>
      </c>
      <c r="AL474">
        <v>0</v>
      </c>
      <c r="AM474">
        <v>7.0000000000000007E-2</v>
      </c>
      <c r="AN474">
        <f t="shared" si="22"/>
        <v>3</v>
      </c>
      <c r="AO474" t="str">
        <f t="shared" si="23"/>
        <v>Tuesday</v>
      </c>
    </row>
    <row r="475" spans="1:41" x14ac:dyDescent="0.2">
      <c r="A475" t="s">
        <v>40</v>
      </c>
      <c r="B475" s="1">
        <v>45930</v>
      </c>
      <c r="C475" s="1">
        <f t="shared" si="21"/>
        <v>45930</v>
      </c>
      <c r="D475">
        <v>112</v>
      </c>
      <c r="E475">
        <v>157</v>
      </c>
      <c r="F475">
        <v>5</v>
      </c>
      <c r="G475">
        <v>2</v>
      </c>
      <c r="H475">
        <v>9</v>
      </c>
      <c r="I475">
        <v>0</v>
      </c>
      <c r="J475">
        <v>1</v>
      </c>
      <c r="K475">
        <v>23</v>
      </c>
      <c r="L475" t="s">
        <v>40</v>
      </c>
      <c r="M475" t="s">
        <v>38</v>
      </c>
      <c r="N475" s="1">
        <v>45930</v>
      </c>
      <c r="O475" s="2">
        <v>0.54526620370370371</v>
      </c>
      <c r="P475" s="2">
        <v>0.91670138888888886</v>
      </c>
      <c r="Q475">
        <v>8.92</v>
      </c>
      <c r="R475">
        <v>8.91</v>
      </c>
      <c r="S475">
        <v>5.82</v>
      </c>
      <c r="T475">
        <v>0.17</v>
      </c>
      <c r="U475">
        <v>0</v>
      </c>
      <c r="V475">
        <v>0.4</v>
      </c>
      <c r="W475">
        <v>1.04</v>
      </c>
      <c r="X475">
        <v>1.48</v>
      </c>
      <c r="Y475">
        <v>0</v>
      </c>
      <c r="Z475">
        <v>0</v>
      </c>
      <c r="AA475">
        <v>0</v>
      </c>
      <c r="AB475">
        <v>0</v>
      </c>
      <c r="AC475">
        <v>8.91</v>
      </c>
      <c r="AD475">
        <v>65.33</v>
      </c>
      <c r="AE475">
        <v>1.86</v>
      </c>
      <c r="AF475">
        <v>0</v>
      </c>
      <c r="AG475">
        <v>4.4400000000000004</v>
      </c>
      <c r="AH475">
        <v>11.7</v>
      </c>
      <c r="AI475">
        <v>16.63</v>
      </c>
      <c r="AJ475">
        <v>0</v>
      </c>
      <c r="AK475">
        <v>0</v>
      </c>
      <c r="AL475">
        <v>0</v>
      </c>
      <c r="AM475">
        <v>0.04</v>
      </c>
      <c r="AN475">
        <f t="shared" si="22"/>
        <v>3</v>
      </c>
      <c r="AO475" t="str">
        <f t="shared" si="23"/>
        <v>Tuesday</v>
      </c>
    </row>
    <row r="476" spans="1:41" x14ac:dyDescent="0.2">
      <c r="A476" t="s">
        <v>41</v>
      </c>
      <c r="B476" s="1">
        <v>45930</v>
      </c>
      <c r="C476" s="1">
        <f t="shared" si="21"/>
        <v>45930</v>
      </c>
      <c r="D476">
        <v>133</v>
      </c>
      <c r="E476">
        <v>211</v>
      </c>
      <c r="F476">
        <v>7</v>
      </c>
      <c r="G476">
        <v>12</v>
      </c>
      <c r="H476">
        <v>8</v>
      </c>
      <c r="I476">
        <v>1</v>
      </c>
      <c r="J476">
        <v>1</v>
      </c>
      <c r="K476">
        <v>64</v>
      </c>
      <c r="L476" t="s">
        <v>41</v>
      </c>
      <c r="M476" t="s">
        <v>38</v>
      </c>
      <c r="N476" s="1">
        <v>45930</v>
      </c>
      <c r="O476" s="2">
        <v>0.54142361111111115</v>
      </c>
      <c r="P476" s="2">
        <v>0.91822916666666665</v>
      </c>
      <c r="Q476">
        <v>9.0500000000000007</v>
      </c>
      <c r="R476">
        <v>9.0399999999999991</v>
      </c>
      <c r="S476">
        <v>4.37</v>
      </c>
      <c r="T476">
        <v>0.13</v>
      </c>
      <c r="U476">
        <v>0</v>
      </c>
      <c r="V476">
        <v>0.67</v>
      </c>
      <c r="W476">
        <v>2.44</v>
      </c>
      <c r="X476">
        <v>1.42</v>
      </c>
      <c r="Y476">
        <v>0</v>
      </c>
      <c r="Z476">
        <v>0</v>
      </c>
      <c r="AA476">
        <v>0</v>
      </c>
      <c r="AB476">
        <v>0.01</v>
      </c>
      <c r="AC476">
        <v>9.0399999999999991</v>
      </c>
      <c r="AD476">
        <v>48.3</v>
      </c>
      <c r="AE476">
        <v>1.48</v>
      </c>
      <c r="AF476">
        <v>0</v>
      </c>
      <c r="AG476">
        <v>7.39</v>
      </c>
      <c r="AH476">
        <v>26.94</v>
      </c>
      <c r="AI476">
        <v>15.73</v>
      </c>
      <c r="AJ476">
        <v>0</v>
      </c>
      <c r="AK476">
        <v>0</v>
      </c>
      <c r="AL476">
        <v>0</v>
      </c>
      <c r="AM476">
        <v>0.16</v>
      </c>
      <c r="AN476">
        <f t="shared" si="22"/>
        <v>3</v>
      </c>
      <c r="AO476" t="str">
        <f t="shared" si="23"/>
        <v>Tuesday</v>
      </c>
    </row>
    <row r="477" spans="1:41" x14ac:dyDescent="0.2">
      <c r="A477" t="s">
        <v>43</v>
      </c>
      <c r="B477" s="1">
        <v>45930</v>
      </c>
      <c r="C477" s="1">
        <f t="shared" si="21"/>
        <v>45930</v>
      </c>
      <c r="D477">
        <v>120</v>
      </c>
      <c r="E477">
        <v>180</v>
      </c>
      <c r="F477">
        <v>10</v>
      </c>
      <c r="G477">
        <v>2</v>
      </c>
      <c r="H477">
        <v>4</v>
      </c>
      <c r="I477">
        <v>2</v>
      </c>
      <c r="J477">
        <v>7</v>
      </c>
      <c r="K477">
        <v>40</v>
      </c>
      <c r="L477" t="s">
        <v>43</v>
      </c>
      <c r="M477" t="s">
        <v>38</v>
      </c>
      <c r="N477" s="1">
        <v>45930</v>
      </c>
      <c r="O477" s="2">
        <v>0.54204861111111113</v>
      </c>
      <c r="P477" s="2">
        <v>0.91844907407407406</v>
      </c>
      <c r="Q477">
        <v>9.0299999999999994</v>
      </c>
      <c r="R477">
        <v>9.0299999999999994</v>
      </c>
      <c r="S477">
        <v>5.21</v>
      </c>
      <c r="T477">
        <v>0.43</v>
      </c>
      <c r="U477">
        <v>0</v>
      </c>
      <c r="V477">
        <v>0.57999999999999996</v>
      </c>
      <c r="W477">
        <v>1.32</v>
      </c>
      <c r="X477">
        <v>1.48</v>
      </c>
      <c r="Y477">
        <v>0</v>
      </c>
      <c r="Z477">
        <v>0</v>
      </c>
      <c r="AA477">
        <v>0</v>
      </c>
      <c r="AB477">
        <v>0</v>
      </c>
      <c r="AC477">
        <v>9.0299999999999994</v>
      </c>
      <c r="AD477">
        <v>57.7</v>
      </c>
      <c r="AE477">
        <v>4.7300000000000004</v>
      </c>
      <c r="AF477">
        <v>0</v>
      </c>
      <c r="AG477">
        <v>6.46</v>
      </c>
      <c r="AH477">
        <v>14.66</v>
      </c>
      <c r="AI477">
        <v>16.420000000000002</v>
      </c>
      <c r="AJ477">
        <v>0</v>
      </c>
      <c r="AK477">
        <v>0</v>
      </c>
      <c r="AL477">
        <v>0</v>
      </c>
      <c r="AM477">
        <v>0.03</v>
      </c>
      <c r="AN477">
        <f t="shared" si="22"/>
        <v>3</v>
      </c>
      <c r="AO477" t="str">
        <f t="shared" si="23"/>
        <v>Tuesday</v>
      </c>
    </row>
    <row r="478" spans="1:41" x14ac:dyDescent="0.2">
      <c r="B478" s="1">
        <v>45930</v>
      </c>
      <c r="C478" s="1">
        <f t="shared" si="21"/>
        <v>45930</v>
      </c>
      <c r="D478">
        <v>354</v>
      </c>
      <c r="E478">
        <v>0</v>
      </c>
      <c r="F478">
        <v>0</v>
      </c>
      <c r="G478">
        <v>0</v>
      </c>
      <c r="H478">
        <v>0</v>
      </c>
      <c r="I478">
        <v>0</v>
      </c>
      <c r="J478">
        <v>0</v>
      </c>
      <c r="K478">
        <v>0</v>
      </c>
      <c r="AN478">
        <f t="shared" si="22"/>
        <v>3</v>
      </c>
      <c r="AO478" t="str">
        <f t="shared" si="23"/>
        <v>Tuesday</v>
      </c>
    </row>
    <row r="479" spans="1:41" x14ac:dyDescent="0.2">
      <c r="A479" t="s">
        <v>37</v>
      </c>
      <c r="B479" s="1">
        <v>45929</v>
      </c>
      <c r="C479" s="1">
        <f t="shared" si="21"/>
        <v>45930</v>
      </c>
      <c r="D479">
        <v>93</v>
      </c>
      <c r="E479">
        <v>141</v>
      </c>
      <c r="F479">
        <v>5</v>
      </c>
      <c r="G479">
        <v>5</v>
      </c>
      <c r="H479">
        <v>1</v>
      </c>
      <c r="I479">
        <v>1</v>
      </c>
      <c r="J479">
        <v>5</v>
      </c>
      <c r="K479">
        <v>37</v>
      </c>
      <c r="L479" t="s">
        <v>37</v>
      </c>
      <c r="M479" t="s">
        <v>38</v>
      </c>
      <c r="N479" s="1">
        <v>45929</v>
      </c>
      <c r="O479" s="2">
        <v>0.54158564814814814</v>
      </c>
      <c r="P479" s="2">
        <v>0.91677083333333331</v>
      </c>
      <c r="Q479">
        <v>9.02</v>
      </c>
      <c r="R479">
        <v>7.88</v>
      </c>
      <c r="S479">
        <v>5.2</v>
      </c>
      <c r="T479">
        <v>0.11</v>
      </c>
      <c r="U479">
        <v>0</v>
      </c>
      <c r="V479">
        <v>0.5</v>
      </c>
      <c r="W479">
        <v>1.37</v>
      </c>
      <c r="X479">
        <v>0.14000000000000001</v>
      </c>
      <c r="Y479">
        <v>0.53</v>
      </c>
      <c r="Z479">
        <v>0</v>
      </c>
      <c r="AA479">
        <v>0</v>
      </c>
      <c r="AB479">
        <v>0.02</v>
      </c>
      <c r="AC479">
        <v>7.88</v>
      </c>
      <c r="AD479">
        <v>66.08</v>
      </c>
      <c r="AE479">
        <v>1.42</v>
      </c>
      <c r="AF479">
        <v>0</v>
      </c>
      <c r="AG479">
        <v>6.33</v>
      </c>
      <c r="AH479">
        <v>17.350000000000001</v>
      </c>
      <c r="AI479">
        <v>1.79</v>
      </c>
      <c r="AJ479">
        <v>6.76</v>
      </c>
      <c r="AK479">
        <v>0</v>
      </c>
      <c r="AL479">
        <v>0</v>
      </c>
      <c r="AM479">
        <v>0.27</v>
      </c>
      <c r="AN479">
        <f t="shared" si="22"/>
        <v>2</v>
      </c>
      <c r="AO479" t="str">
        <f t="shared" si="23"/>
        <v>Monday</v>
      </c>
    </row>
    <row r="480" spans="1:41" x14ac:dyDescent="0.2">
      <c r="A480" t="s">
        <v>39</v>
      </c>
      <c r="B480" s="1">
        <v>45929</v>
      </c>
      <c r="C480" s="1">
        <f t="shared" si="21"/>
        <v>45930</v>
      </c>
      <c r="D480">
        <v>141</v>
      </c>
      <c r="E480">
        <v>192</v>
      </c>
      <c r="F480">
        <v>13</v>
      </c>
      <c r="G480">
        <v>11</v>
      </c>
      <c r="H480">
        <v>7</v>
      </c>
      <c r="I480">
        <v>0</v>
      </c>
      <c r="J480">
        <v>2</v>
      </c>
      <c r="K480">
        <v>39</v>
      </c>
      <c r="L480" t="s">
        <v>39</v>
      </c>
      <c r="M480" t="s">
        <v>38</v>
      </c>
      <c r="N480" s="1">
        <v>45929</v>
      </c>
      <c r="O480" s="2">
        <v>0.54210648148148144</v>
      </c>
      <c r="P480" s="2">
        <v>0.93322916666666667</v>
      </c>
      <c r="Q480">
        <v>9.3800000000000008</v>
      </c>
      <c r="R480">
        <v>9.39</v>
      </c>
      <c r="S480">
        <v>5.74</v>
      </c>
      <c r="T480">
        <v>7.0000000000000007E-2</v>
      </c>
      <c r="U480">
        <v>0</v>
      </c>
      <c r="V480">
        <v>0.19</v>
      </c>
      <c r="W480">
        <v>1.94</v>
      </c>
      <c r="X480">
        <v>1.44</v>
      </c>
      <c r="Y480">
        <v>0</v>
      </c>
      <c r="Z480">
        <v>0</v>
      </c>
      <c r="AA480">
        <v>0</v>
      </c>
      <c r="AB480">
        <v>0</v>
      </c>
      <c r="AC480">
        <v>9.39</v>
      </c>
      <c r="AD480">
        <v>61.13</v>
      </c>
      <c r="AE480">
        <v>0.75</v>
      </c>
      <c r="AF480">
        <v>0</v>
      </c>
      <c r="AG480">
        <v>2.0699999999999998</v>
      </c>
      <c r="AH480">
        <v>20.68</v>
      </c>
      <c r="AI480">
        <v>15.33</v>
      </c>
      <c r="AJ480">
        <v>0</v>
      </c>
      <c r="AK480">
        <v>0</v>
      </c>
      <c r="AL480">
        <v>0</v>
      </c>
      <c r="AM480">
        <v>0.04</v>
      </c>
      <c r="AN480">
        <f t="shared" si="22"/>
        <v>2</v>
      </c>
      <c r="AO480" t="str">
        <f t="shared" si="23"/>
        <v>Monday</v>
      </c>
    </row>
    <row r="481" spans="1:41" x14ac:dyDescent="0.2">
      <c r="A481" t="s">
        <v>40</v>
      </c>
      <c r="B481" s="1">
        <v>45929</v>
      </c>
      <c r="C481" s="1">
        <f t="shared" si="21"/>
        <v>45930</v>
      </c>
      <c r="D481">
        <v>91</v>
      </c>
      <c r="E481">
        <v>104</v>
      </c>
      <c r="F481">
        <v>4</v>
      </c>
      <c r="G481">
        <v>2</v>
      </c>
      <c r="H481">
        <v>6</v>
      </c>
      <c r="I481">
        <v>0</v>
      </c>
      <c r="J481">
        <v>2</v>
      </c>
      <c r="K481">
        <v>10</v>
      </c>
      <c r="L481" t="s">
        <v>40</v>
      </c>
      <c r="M481" t="s">
        <v>38</v>
      </c>
      <c r="N481" s="1">
        <v>45929</v>
      </c>
      <c r="O481" s="2">
        <v>0.54120370370370374</v>
      </c>
      <c r="P481" s="2">
        <v>0.91672453703703705</v>
      </c>
      <c r="Q481">
        <v>9.02</v>
      </c>
      <c r="R481">
        <v>9.01</v>
      </c>
      <c r="S481">
        <v>6.32</v>
      </c>
      <c r="T481">
        <v>0.32</v>
      </c>
      <c r="U481">
        <v>0</v>
      </c>
      <c r="V481">
        <v>0.38</v>
      </c>
      <c r="W481">
        <v>0.47</v>
      </c>
      <c r="X481">
        <v>1.5</v>
      </c>
      <c r="Y481">
        <v>0</v>
      </c>
      <c r="Z481">
        <v>0</v>
      </c>
      <c r="AA481">
        <v>0</v>
      </c>
      <c r="AB481">
        <v>0.03</v>
      </c>
      <c r="AC481">
        <v>9.01</v>
      </c>
      <c r="AD481">
        <v>70.150000000000006</v>
      </c>
      <c r="AE481">
        <v>3.51</v>
      </c>
      <c r="AF481">
        <v>0</v>
      </c>
      <c r="AG481">
        <v>4.1900000000000004</v>
      </c>
      <c r="AH481">
        <v>5.18</v>
      </c>
      <c r="AI481">
        <v>16.670000000000002</v>
      </c>
      <c r="AJ481">
        <v>0</v>
      </c>
      <c r="AK481">
        <v>0</v>
      </c>
      <c r="AL481">
        <v>0</v>
      </c>
      <c r="AM481">
        <v>0.3</v>
      </c>
      <c r="AN481">
        <f t="shared" si="22"/>
        <v>2</v>
      </c>
      <c r="AO481" t="str">
        <f t="shared" si="23"/>
        <v>Monday</v>
      </c>
    </row>
    <row r="482" spans="1:41" x14ac:dyDescent="0.2">
      <c r="A482" t="s">
        <v>41</v>
      </c>
      <c r="B482" s="1">
        <v>45929</v>
      </c>
      <c r="C482" s="1">
        <f t="shared" si="21"/>
        <v>45930</v>
      </c>
      <c r="D482">
        <v>146</v>
      </c>
      <c r="E482">
        <v>196</v>
      </c>
      <c r="F482">
        <v>7</v>
      </c>
      <c r="G482">
        <v>9</v>
      </c>
      <c r="H482">
        <v>10</v>
      </c>
      <c r="I482">
        <v>0</v>
      </c>
      <c r="J482">
        <v>1</v>
      </c>
      <c r="K482">
        <v>44</v>
      </c>
      <c r="L482" t="s">
        <v>41</v>
      </c>
      <c r="M482" t="s">
        <v>38</v>
      </c>
      <c r="N482" s="1">
        <v>45929</v>
      </c>
      <c r="O482" s="2">
        <v>0.54175925925925927</v>
      </c>
      <c r="P482" s="2">
        <v>0.91621527777777778</v>
      </c>
      <c r="Q482">
        <v>8.98</v>
      </c>
      <c r="R482">
        <v>8.99</v>
      </c>
      <c r="S482">
        <v>4.78</v>
      </c>
      <c r="T482">
        <v>0.6</v>
      </c>
      <c r="U482">
        <v>0</v>
      </c>
      <c r="V482">
        <v>0.63</v>
      </c>
      <c r="W482">
        <v>1.55</v>
      </c>
      <c r="X482">
        <v>1.41</v>
      </c>
      <c r="Y482">
        <v>0</v>
      </c>
      <c r="Z482">
        <v>0</v>
      </c>
      <c r="AA482">
        <v>0</v>
      </c>
      <c r="AB482">
        <v>0.01</v>
      </c>
      <c r="AC482">
        <v>8.99</v>
      </c>
      <c r="AD482">
        <v>53.19</v>
      </c>
      <c r="AE482">
        <v>6.72</v>
      </c>
      <c r="AF482">
        <v>0</v>
      </c>
      <c r="AG482">
        <v>7.06</v>
      </c>
      <c r="AH482">
        <v>17.25</v>
      </c>
      <c r="AI482">
        <v>15.71</v>
      </c>
      <c r="AJ482">
        <v>0</v>
      </c>
      <c r="AK482">
        <v>0</v>
      </c>
      <c r="AL482">
        <v>0</v>
      </c>
      <c r="AM482">
        <v>0.06</v>
      </c>
      <c r="AN482">
        <f t="shared" si="22"/>
        <v>2</v>
      </c>
      <c r="AO482" t="str">
        <f t="shared" si="23"/>
        <v>Monday</v>
      </c>
    </row>
    <row r="483" spans="1:41" x14ac:dyDescent="0.2">
      <c r="A483" t="s">
        <v>43</v>
      </c>
      <c r="B483" s="1">
        <v>45929</v>
      </c>
      <c r="C483" s="1">
        <f t="shared" si="21"/>
        <v>45930</v>
      </c>
      <c r="D483">
        <v>106</v>
      </c>
      <c r="E483">
        <v>143</v>
      </c>
      <c r="F483">
        <v>6</v>
      </c>
      <c r="G483">
        <v>9</v>
      </c>
      <c r="H483">
        <v>6</v>
      </c>
      <c r="I483">
        <v>1</v>
      </c>
      <c r="J483">
        <v>2</v>
      </c>
      <c r="K483">
        <v>23</v>
      </c>
      <c r="L483" t="s">
        <v>43</v>
      </c>
      <c r="M483" t="s">
        <v>38</v>
      </c>
      <c r="N483" s="1">
        <v>45929</v>
      </c>
      <c r="O483" s="2">
        <v>0.541412037037037</v>
      </c>
      <c r="P483" s="2">
        <v>0.92038194444444443</v>
      </c>
      <c r="Q483">
        <v>9.1</v>
      </c>
      <c r="R483">
        <v>9.1</v>
      </c>
      <c r="S483">
        <v>5.73</v>
      </c>
      <c r="T483">
        <v>0.26</v>
      </c>
      <c r="U483">
        <v>0</v>
      </c>
      <c r="V483">
        <v>0.6</v>
      </c>
      <c r="W483">
        <v>0.97</v>
      </c>
      <c r="X483">
        <v>1.47</v>
      </c>
      <c r="Y483">
        <v>0</v>
      </c>
      <c r="Z483">
        <v>0</v>
      </c>
      <c r="AA483">
        <v>0.06</v>
      </c>
      <c r="AB483">
        <v>0</v>
      </c>
      <c r="AC483">
        <v>9.1</v>
      </c>
      <c r="AD483">
        <v>62.98</v>
      </c>
      <c r="AE483">
        <v>2.81</v>
      </c>
      <c r="AF483">
        <v>0</v>
      </c>
      <c r="AG483">
        <v>6.65</v>
      </c>
      <c r="AH483">
        <v>10.72</v>
      </c>
      <c r="AI483">
        <v>16.14</v>
      </c>
      <c r="AJ483">
        <v>0</v>
      </c>
      <c r="AK483">
        <v>0</v>
      </c>
      <c r="AL483">
        <v>0.68</v>
      </c>
      <c r="AM483">
        <v>0.03</v>
      </c>
      <c r="AN483">
        <f t="shared" si="22"/>
        <v>2</v>
      </c>
      <c r="AO483" t="str">
        <f t="shared" si="23"/>
        <v>Monday</v>
      </c>
    </row>
    <row r="484" spans="1:41" x14ac:dyDescent="0.2">
      <c r="B484" s="1">
        <v>45929</v>
      </c>
      <c r="C484" s="1">
        <f t="shared" si="21"/>
        <v>45930</v>
      </c>
      <c r="D484">
        <v>361</v>
      </c>
      <c r="E484">
        <v>0</v>
      </c>
      <c r="F484">
        <v>0</v>
      </c>
      <c r="G484">
        <v>0</v>
      </c>
      <c r="H484">
        <v>0</v>
      </c>
      <c r="I484">
        <v>0</v>
      </c>
      <c r="J484">
        <v>0</v>
      </c>
      <c r="K484">
        <v>0</v>
      </c>
      <c r="AN484">
        <f t="shared" si="22"/>
        <v>2</v>
      </c>
      <c r="AO484" t="str">
        <f t="shared" si="23"/>
        <v>Monday</v>
      </c>
    </row>
    <row r="485" spans="1:41" x14ac:dyDescent="0.2">
      <c r="A485" t="s">
        <v>37</v>
      </c>
      <c r="B485" s="1">
        <v>45926</v>
      </c>
      <c r="C485" s="1">
        <f t="shared" si="21"/>
        <v>45930</v>
      </c>
      <c r="D485">
        <v>15</v>
      </c>
      <c r="E485">
        <v>26</v>
      </c>
      <c r="F485">
        <v>2</v>
      </c>
      <c r="G485">
        <v>3</v>
      </c>
      <c r="H485">
        <v>2</v>
      </c>
      <c r="I485">
        <v>2</v>
      </c>
      <c r="J485">
        <v>1</v>
      </c>
      <c r="K485">
        <v>10</v>
      </c>
      <c r="L485" t="s">
        <v>37</v>
      </c>
      <c r="M485" t="s">
        <v>38</v>
      </c>
      <c r="N485" s="1">
        <v>45926</v>
      </c>
      <c r="O485" s="2">
        <v>0.54165509259259259</v>
      </c>
      <c r="P485" s="2">
        <v>0.91710648148148144</v>
      </c>
      <c r="Q485">
        <v>9.02</v>
      </c>
      <c r="R485">
        <v>8.1199999999999992</v>
      </c>
      <c r="S485">
        <v>1.86</v>
      </c>
      <c r="T485">
        <v>0.28000000000000003</v>
      </c>
      <c r="U485">
        <v>0</v>
      </c>
      <c r="V485">
        <v>0.31</v>
      </c>
      <c r="W485">
        <v>5.28</v>
      </c>
      <c r="X485">
        <v>0.36</v>
      </c>
      <c r="Y485">
        <v>0</v>
      </c>
      <c r="Z485">
        <v>0</v>
      </c>
      <c r="AA485">
        <v>0</v>
      </c>
      <c r="AB485">
        <v>0.04</v>
      </c>
      <c r="AC485">
        <v>8.1199999999999992</v>
      </c>
      <c r="AD485">
        <v>22.86</v>
      </c>
      <c r="AE485">
        <v>3.45</v>
      </c>
      <c r="AF485">
        <v>0</v>
      </c>
      <c r="AG485">
        <v>3.79</v>
      </c>
      <c r="AH485">
        <v>64.97</v>
      </c>
      <c r="AI485">
        <v>4.3899999999999997</v>
      </c>
      <c r="AJ485">
        <v>0</v>
      </c>
      <c r="AK485">
        <v>0</v>
      </c>
      <c r="AL485">
        <v>0</v>
      </c>
      <c r="AM485">
        <v>0.53</v>
      </c>
      <c r="AN485">
        <f t="shared" si="22"/>
        <v>6</v>
      </c>
      <c r="AO485" t="str">
        <f t="shared" si="23"/>
        <v>Friday</v>
      </c>
    </row>
    <row r="486" spans="1:41" x14ac:dyDescent="0.2">
      <c r="A486" t="s">
        <v>39</v>
      </c>
      <c r="B486" s="1">
        <v>45926</v>
      </c>
      <c r="C486" s="1">
        <f t="shared" si="21"/>
        <v>45930</v>
      </c>
      <c r="D486">
        <v>18</v>
      </c>
      <c r="E486">
        <v>22</v>
      </c>
      <c r="F486">
        <v>3</v>
      </c>
      <c r="G486">
        <v>4</v>
      </c>
      <c r="H486">
        <v>0</v>
      </c>
      <c r="I486">
        <v>1</v>
      </c>
      <c r="J486">
        <v>0</v>
      </c>
      <c r="K486">
        <v>3</v>
      </c>
      <c r="L486" t="s">
        <v>39</v>
      </c>
      <c r="M486" t="s">
        <v>38</v>
      </c>
      <c r="N486" s="1">
        <v>45926</v>
      </c>
      <c r="O486" s="2">
        <v>0.54189814814814818</v>
      </c>
      <c r="P486" s="2">
        <v>0.91670138888888886</v>
      </c>
      <c r="Q486">
        <v>9</v>
      </c>
      <c r="R486">
        <v>8.99</v>
      </c>
      <c r="S486">
        <v>0.96</v>
      </c>
      <c r="T486">
        <v>0.03</v>
      </c>
      <c r="U486">
        <v>0</v>
      </c>
      <c r="V486">
        <v>0.02</v>
      </c>
      <c r="W486">
        <v>6.49</v>
      </c>
      <c r="X486">
        <v>1.48</v>
      </c>
      <c r="Y486">
        <v>0</v>
      </c>
      <c r="Z486">
        <v>0</v>
      </c>
      <c r="AA486">
        <v>0</v>
      </c>
      <c r="AB486">
        <v>0.01</v>
      </c>
      <c r="AC486">
        <v>8.99</v>
      </c>
      <c r="AD486">
        <v>10.72</v>
      </c>
      <c r="AE486">
        <v>0.31</v>
      </c>
      <c r="AF486">
        <v>0</v>
      </c>
      <c r="AG486">
        <v>0.18</v>
      </c>
      <c r="AH486">
        <v>72.17</v>
      </c>
      <c r="AI486">
        <v>16.510000000000002</v>
      </c>
      <c r="AJ486">
        <v>0</v>
      </c>
      <c r="AK486">
        <v>0</v>
      </c>
      <c r="AL486">
        <v>0</v>
      </c>
      <c r="AM486">
        <v>0.11</v>
      </c>
      <c r="AN486">
        <f t="shared" si="22"/>
        <v>6</v>
      </c>
      <c r="AO486" t="str">
        <f t="shared" si="23"/>
        <v>Friday</v>
      </c>
    </row>
    <row r="487" spans="1:41" x14ac:dyDescent="0.2">
      <c r="A487" t="s">
        <v>40</v>
      </c>
      <c r="B487" s="1">
        <v>45926</v>
      </c>
      <c r="C487" s="1">
        <f t="shared" si="21"/>
        <v>45930</v>
      </c>
      <c r="D487">
        <v>16</v>
      </c>
      <c r="E487">
        <v>28</v>
      </c>
      <c r="F487">
        <v>5</v>
      </c>
      <c r="G487">
        <v>0</v>
      </c>
      <c r="H487">
        <v>2</v>
      </c>
      <c r="I487">
        <v>0</v>
      </c>
      <c r="J487">
        <v>0</v>
      </c>
      <c r="K487">
        <v>12</v>
      </c>
      <c r="L487" t="s">
        <v>40</v>
      </c>
      <c r="M487" t="s">
        <v>38</v>
      </c>
      <c r="N487" s="1">
        <v>45926</v>
      </c>
      <c r="O487" s="2">
        <v>0.54172453703703705</v>
      </c>
      <c r="P487" s="2">
        <v>0.91666666666666663</v>
      </c>
      <c r="Q487">
        <v>9</v>
      </c>
      <c r="R487">
        <v>9</v>
      </c>
      <c r="S487">
        <v>0.96</v>
      </c>
      <c r="T487">
        <v>0.3</v>
      </c>
      <c r="U487">
        <v>0</v>
      </c>
      <c r="V487">
        <v>0.2</v>
      </c>
      <c r="W487">
        <v>5.17</v>
      </c>
      <c r="X487">
        <v>1.51</v>
      </c>
      <c r="Y487">
        <v>0.86</v>
      </c>
      <c r="Z487">
        <v>0</v>
      </c>
      <c r="AA487">
        <v>0</v>
      </c>
      <c r="AB487">
        <v>0</v>
      </c>
      <c r="AC487">
        <v>9</v>
      </c>
      <c r="AD487">
        <v>10.67</v>
      </c>
      <c r="AE487">
        <v>3.3</v>
      </c>
      <c r="AF487">
        <v>0</v>
      </c>
      <c r="AG487">
        <v>2.2200000000000002</v>
      </c>
      <c r="AH487">
        <v>57.49</v>
      </c>
      <c r="AI487">
        <v>16.75</v>
      </c>
      <c r="AJ487">
        <v>9.5399999999999991</v>
      </c>
      <c r="AK487">
        <v>0</v>
      </c>
      <c r="AL487">
        <v>0</v>
      </c>
      <c r="AM487">
        <v>0.03</v>
      </c>
      <c r="AN487">
        <f t="shared" si="22"/>
        <v>6</v>
      </c>
      <c r="AO487" t="str">
        <f t="shared" si="23"/>
        <v>Friday</v>
      </c>
    </row>
    <row r="488" spans="1:41" x14ac:dyDescent="0.2">
      <c r="A488" t="s">
        <v>41</v>
      </c>
      <c r="B488" s="1">
        <v>45926</v>
      </c>
      <c r="C488" s="1">
        <f t="shared" si="21"/>
        <v>45930</v>
      </c>
      <c r="D488">
        <v>21</v>
      </c>
      <c r="E488">
        <v>34</v>
      </c>
      <c r="F488">
        <v>6</v>
      </c>
      <c r="G488">
        <v>0</v>
      </c>
      <c r="H488">
        <v>1</v>
      </c>
      <c r="I488">
        <v>0</v>
      </c>
      <c r="J488">
        <v>1</v>
      </c>
      <c r="K488">
        <v>10</v>
      </c>
      <c r="L488" t="s">
        <v>41</v>
      </c>
      <c r="M488" t="s">
        <v>38</v>
      </c>
      <c r="N488" s="1">
        <v>45926</v>
      </c>
      <c r="O488" s="2">
        <v>0.54188657407407403</v>
      </c>
      <c r="P488" s="2">
        <v>0.91651620370370368</v>
      </c>
      <c r="Q488">
        <v>8.98</v>
      </c>
      <c r="R488">
        <v>8.99</v>
      </c>
      <c r="S488">
        <v>1.23</v>
      </c>
      <c r="T488">
        <v>0.36</v>
      </c>
      <c r="U488">
        <v>0</v>
      </c>
      <c r="V488">
        <v>0.25</v>
      </c>
      <c r="W488">
        <v>5.66</v>
      </c>
      <c r="X488">
        <v>1.49</v>
      </c>
      <c r="Y488">
        <v>0</v>
      </c>
      <c r="Z488">
        <v>0</v>
      </c>
      <c r="AA488">
        <v>0</v>
      </c>
      <c r="AB488">
        <v>0.01</v>
      </c>
      <c r="AC488">
        <v>8.99</v>
      </c>
      <c r="AD488">
        <v>13.7</v>
      </c>
      <c r="AE488">
        <v>3.96</v>
      </c>
      <c r="AF488">
        <v>0</v>
      </c>
      <c r="AG488">
        <v>2.78</v>
      </c>
      <c r="AH488">
        <v>62.9</v>
      </c>
      <c r="AI488">
        <v>16.61</v>
      </c>
      <c r="AJ488">
        <v>0</v>
      </c>
      <c r="AK488">
        <v>0</v>
      </c>
      <c r="AL488">
        <v>0</v>
      </c>
      <c r="AM488">
        <v>0.06</v>
      </c>
      <c r="AN488">
        <f t="shared" si="22"/>
        <v>6</v>
      </c>
      <c r="AO488" t="str">
        <f t="shared" si="23"/>
        <v>Friday</v>
      </c>
    </row>
    <row r="489" spans="1:41" x14ac:dyDescent="0.2">
      <c r="A489" t="s">
        <v>43</v>
      </c>
      <c r="B489" s="1">
        <v>45926</v>
      </c>
      <c r="C489" s="1">
        <f t="shared" si="21"/>
        <v>45930</v>
      </c>
      <c r="D489">
        <v>12</v>
      </c>
      <c r="E489">
        <v>22</v>
      </c>
      <c r="F489">
        <v>5</v>
      </c>
      <c r="G489">
        <v>1</v>
      </c>
      <c r="H489">
        <v>1</v>
      </c>
      <c r="I489">
        <v>2</v>
      </c>
      <c r="J489">
        <v>0</v>
      </c>
      <c r="K489">
        <v>5</v>
      </c>
      <c r="L489" t="s">
        <v>43</v>
      </c>
      <c r="M489" t="s">
        <v>38</v>
      </c>
      <c r="N489" s="1">
        <v>45926</v>
      </c>
      <c r="O489" s="2">
        <v>0.54182870370370373</v>
      </c>
      <c r="P489" s="2">
        <v>0.77582175925925922</v>
      </c>
      <c r="Q489">
        <v>5.62</v>
      </c>
      <c r="R489">
        <v>5.62</v>
      </c>
      <c r="S489">
        <v>1.47</v>
      </c>
      <c r="T489">
        <v>0.28000000000000003</v>
      </c>
      <c r="U489">
        <v>0</v>
      </c>
      <c r="V489">
        <v>0.37</v>
      </c>
      <c r="W489">
        <v>3.49</v>
      </c>
      <c r="X489">
        <v>0</v>
      </c>
      <c r="Y489">
        <v>0</v>
      </c>
      <c r="Z489">
        <v>0</v>
      </c>
      <c r="AA489">
        <v>0</v>
      </c>
      <c r="AB489">
        <v>0</v>
      </c>
      <c r="AC489">
        <v>5.62</v>
      </c>
      <c r="AD489">
        <v>26.15</v>
      </c>
      <c r="AE489">
        <v>5.01</v>
      </c>
      <c r="AF489">
        <v>0</v>
      </c>
      <c r="AG489">
        <v>6.61</v>
      </c>
      <c r="AH489">
        <v>62.17</v>
      </c>
      <c r="AI489">
        <v>0</v>
      </c>
      <c r="AJ489">
        <v>0</v>
      </c>
      <c r="AK489">
        <v>0</v>
      </c>
      <c r="AL489">
        <v>0</v>
      </c>
      <c r="AM489">
        <v>0.06</v>
      </c>
      <c r="AN489">
        <f t="shared" si="22"/>
        <v>6</v>
      </c>
      <c r="AO489" t="str">
        <f t="shared" si="23"/>
        <v>Friday</v>
      </c>
    </row>
    <row r="490" spans="1:41" x14ac:dyDescent="0.2">
      <c r="B490" s="1">
        <v>45926</v>
      </c>
      <c r="C490" s="1">
        <f t="shared" si="21"/>
        <v>45930</v>
      </c>
      <c r="D490">
        <v>312</v>
      </c>
      <c r="E490">
        <v>0</v>
      </c>
      <c r="F490">
        <v>0</v>
      </c>
      <c r="G490">
        <v>0</v>
      </c>
      <c r="H490">
        <v>0</v>
      </c>
      <c r="I490">
        <v>0</v>
      </c>
      <c r="J490">
        <v>0</v>
      </c>
      <c r="K490">
        <v>0</v>
      </c>
      <c r="AN490">
        <f t="shared" si="22"/>
        <v>6</v>
      </c>
      <c r="AO490" t="str">
        <f t="shared" si="23"/>
        <v>Friday</v>
      </c>
    </row>
    <row r="491" spans="1:41" x14ac:dyDescent="0.2">
      <c r="A491" t="s">
        <v>37</v>
      </c>
      <c r="B491" s="1">
        <v>45925</v>
      </c>
      <c r="C491" s="1">
        <f t="shared" si="21"/>
        <v>45930</v>
      </c>
      <c r="D491">
        <v>31</v>
      </c>
      <c r="E491">
        <v>57</v>
      </c>
      <c r="F491">
        <v>1</v>
      </c>
      <c r="G491">
        <v>7</v>
      </c>
      <c r="H491">
        <v>1</v>
      </c>
      <c r="I491">
        <v>0</v>
      </c>
      <c r="J491">
        <v>0</v>
      </c>
      <c r="K491">
        <v>22</v>
      </c>
      <c r="L491" t="s">
        <v>37</v>
      </c>
      <c r="M491" t="s">
        <v>38</v>
      </c>
      <c r="N491" s="1">
        <v>45925</v>
      </c>
      <c r="O491" s="2">
        <v>0.54200231481481487</v>
      </c>
      <c r="P491" s="2">
        <v>0.91957175925925927</v>
      </c>
      <c r="Q491">
        <v>9.07</v>
      </c>
      <c r="R491">
        <v>8.19</v>
      </c>
      <c r="S491">
        <v>2.31</v>
      </c>
      <c r="T491">
        <v>0.51</v>
      </c>
      <c r="U491">
        <v>0</v>
      </c>
      <c r="V491">
        <v>0.34</v>
      </c>
      <c r="W491">
        <v>3.55</v>
      </c>
      <c r="X491">
        <v>0.15</v>
      </c>
      <c r="Y491">
        <v>1.3</v>
      </c>
      <c r="Z491">
        <v>0</v>
      </c>
      <c r="AA491">
        <v>0</v>
      </c>
      <c r="AB491">
        <v>0.03</v>
      </c>
      <c r="AC491">
        <v>8.19</v>
      </c>
      <c r="AD491">
        <v>28.21</v>
      </c>
      <c r="AE491">
        <v>6.26</v>
      </c>
      <c r="AF491">
        <v>0</v>
      </c>
      <c r="AG491">
        <v>4.1500000000000004</v>
      </c>
      <c r="AH491">
        <v>43.33</v>
      </c>
      <c r="AI491">
        <v>1.85</v>
      </c>
      <c r="AJ491">
        <v>15.89</v>
      </c>
      <c r="AK491">
        <v>0</v>
      </c>
      <c r="AL491">
        <v>0</v>
      </c>
      <c r="AM491">
        <v>0.31</v>
      </c>
      <c r="AN491">
        <f t="shared" si="22"/>
        <v>5</v>
      </c>
      <c r="AO491" t="str">
        <f t="shared" si="23"/>
        <v>Thursday</v>
      </c>
    </row>
    <row r="492" spans="1:41" x14ac:dyDescent="0.2">
      <c r="A492" t="s">
        <v>39</v>
      </c>
      <c r="B492" s="1">
        <v>45925</v>
      </c>
      <c r="C492" s="1">
        <f t="shared" si="21"/>
        <v>45930</v>
      </c>
      <c r="D492">
        <v>30</v>
      </c>
      <c r="E492">
        <v>57</v>
      </c>
      <c r="F492">
        <v>7</v>
      </c>
      <c r="G492">
        <v>2</v>
      </c>
      <c r="H492">
        <v>9</v>
      </c>
      <c r="I492">
        <v>2</v>
      </c>
      <c r="J492">
        <v>0</v>
      </c>
      <c r="K492">
        <v>24</v>
      </c>
      <c r="L492" t="s">
        <v>39</v>
      </c>
      <c r="M492" t="s">
        <v>38</v>
      </c>
      <c r="N492" s="1">
        <v>45925</v>
      </c>
      <c r="O492" s="2">
        <v>0.54188657407407403</v>
      </c>
      <c r="P492" s="2">
        <v>0.91675925925925927</v>
      </c>
      <c r="Q492">
        <v>9</v>
      </c>
      <c r="R492">
        <v>9</v>
      </c>
      <c r="S492">
        <v>2.39</v>
      </c>
      <c r="T492">
        <v>0.18</v>
      </c>
      <c r="U492">
        <v>0</v>
      </c>
      <c r="V492">
        <v>0.03</v>
      </c>
      <c r="W492">
        <v>3.88</v>
      </c>
      <c r="X492">
        <v>1.37</v>
      </c>
      <c r="Y492">
        <v>1.1399999999999999</v>
      </c>
      <c r="Z492">
        <v>0</v>
      </c>
      <c r="AA492">
        <v>0</v>
      </c>
      <c r="AB492">
        <v>0.01</v>
      </c>
      <c r="AC492">
        <v>9</v>
      </c>
      <c r="AD492">
        <v>26.52</v>
      </c>
      <c r="AE492">
        <v>2.0299999999999998</v>
      </c>
      <c r="AF492">
        <v>0</v>
      </c>
      <c r="AG492">
        <v>0.35</v>
      </c>
      <c r="AH492">
        <v>43.15</v>
      </c>
      <c r="AI492">
        <v>15.18</v>
      </c>
      <c r="AJ492">
        <v>12.71</v>
      </c>
      <c r="AK492">
        <v>0</v>
      </c>
      <c r="AL492">
        <v>0</v>
      </c>
      <c r="AM492">
        <v>0.06</v>
      </c>
      <c r="AN492">
        <f t="shared" si="22"/>
        <v>5</v>
      </c>
      <c r="AO492" t="str">
        <f t="shared" si="23"/>
        <v>Thursday</v>
      </c>
    </row>
    <row r="493" spans="1:41" x14ac:dyDescent="0.2">
      <c r="A493" t="s">
        <v>40</v>
      </c>
      <c r="B493" s="1">
        <v>45925</v>
      </c>
      <c r="C493" s="1">
        <f t="shared" si="21"/>
        <v>45930</v>
      </c>
      <c r="D493">
        <v>27</v>
      </c>
      <c r="E493">
        <v>43</v>
      </c>
      <c r="F493">
        <v>3</v>
      </c>
      <c r="G493">
        <v>0</v>
      </c>
      <c r="H493">
        <v>6</v>
      </c>
      <c r="I493">
        <v>0</v>
      </c>
      <c r="J493">
        <v>1</v>
      </c>
      <c r="K493">
        <v>12</v>
      </c>
      <c r="L493" t="s">
        <v>40</v>
      </c>
      <c r="M493" t="s">
        <v>38</v>
      </c>
      <c r="N493" s="1">
        <v>45925</v>
      </c>
      <c r="O493" s="2">
        <v>0.5428587962962963</v>
      </c>
      <c r="P493" s="2">
        <v>0.91668981481481482</v>
      </c>
      <c r="Q493">
        <v>8.98</v>
      </c>
      <c r="R493">
        <v>8.9700000000000006</v>
      </c>
      <c r="S493">
        <v>2</v>
      </c>
      <c r="T493">
        <v>0</v>
      </c>
      <c r="U493">
        <v>0</v>
      </c>
      <c r="V493">
        <v>0.18</v>
      </c>
      <c r="W493">
        <v>4.0599999999999996</v>
      </c>
      <c r="X493">
        <v>1.48</v>
      </c>
      <c r="Y493">
        <v>1.25</v>
      </c>
      <c r="Z493">
        <v>0</v>
      </c>
      <c r="AA493">
        <v>0</v>
      </c>
      <c r="AB493">
        <v>0</v>
      </c>
      <c r="AC493">
        <v>8.9700000000000006</v>
      </c>
      <c r="AD493">
        <v>22.31</v>
      </c>
      <c r="AE493">
        <v>0</v>
      </c>
      <c r="AF493">
        <v>0</v>
      </c>
      <c r="AG493">
        <v>2.06</v>
      </c>
      <c r="AH493">
        <v>45.24</v>
      </c>
      <c r="AI493">
        <v>16.440000000000001</v>
      </c>
      <c r="AJ493">
        <v>13.92</v>
      </c>
      <c r="AK493">
        <v>0</v>
      </c>
      <c r="AL493">
        <v>0</v>
      </c>
      <c r="AM493">
        <v>0.03</v>
      </c>
      <c r="AN493">
        <f t="shared" si="22"/>
        <v>5</v>
      </c>
      <c r="AO493" t="str">
        <f t="shared" si="23"/>
        <v>Thursday</v>
      </c>
    </row>
    <row r="494" spans="1:41" x14ac:dyDescent="0.2">
      <c r="A494" t="s">
        <v>41</v>
      </c>
      <c r="B494" s="1">
        <v>45925</v>
      </c>
      <c r="C494" s="1">
        <f t="shared" si="21"/>
        <v>45930</v>
      </c>
      <c r="D494">
        <v>25</v>
      </c>
      <c r="E494">
        <v>41</v>
      </c>
      <c r="F494">
        <v>5</v>
      </c>
      <c r="G494">
        <v>4</v>
      </c>
      <c r="H494">
        <v>6</v>
      </c>
      <c r="I494">
        <v>0</v>
      </c>
      <c r="J494">
        <v>4</v>
      </c>
      <c r="K494">
        <v>15</v>
      </c>
      <c r="L494" t="s">
        <v>41</v>
      </c>
      <c r="M494" t="s">
        <v>38</v>
      </c>
      <c r="N494" s="1">
        <v>45925</v>
      </c>
      <c r="O494" s="2">
        <v>0.54188657407407403</v>
      </c>
      <c r="P494" s="2">
        <v>0.91605324074074079</v>
      </c>
      <c r="Q494">
        <v>8.98</v>
      </c>
      <c r="R494">
        <v>8.98</v>
      </c>
      <c r="S494">
        <v>1.45</v>
      </c>
      <c r="T494">
        <v>0.31</v>
      </c>
      <c r="U494">
        <v>0</v>
      </c>
      <c r="V494">
        <v>0.19</v>
      </c>
      <c r="W494">
        <v>4.2699999999999996</v>
      </c>
      <c r="X494">
        <v>1.47</v>
      </c>
      <c r="Y494">
        <v>1.29</v>
      </c>
      <c r="Z494">
        <v>0</v>
      </c>
      <c r="AA494">
        <v>0</v>
      </c>
      <c r="AB494">
        <v>0</v>
      </c>
      <c r="AC494">
        <v>8.98</v>
      </c>
      <c r="AD494">
        <v>16.14</v>
      </c>
      <c r="AE494">
        <v>3.41</v>
      </c>
      <c r="AF494">
        <v>0</v>
      </c>
      <c r="AG494">
        <v>2.08</v>
      </c>
      <c r="AH494">
        <v>47.56</v>
      </c>
      <c r="AI494">
        <v>16.420000000000002</v>
      </c>
      <c r="AJ494">
        <v>14.34</v>
      </c>
      <c r="AK494">
        <v>0</v>
      </c>
      <c r="AL494">
        <v>0</v>
      </c>
      <c r="AM494">
        <v>0.05</v>
      </c>
      <c r="AN494">
        <f t="shared" si="22"/>
        <v>5</v>
      </c>
      <c r="AO494" t="str">
        <f t="shared" si="23"/>
        <v>Thursday</v>
      </c>
    </row>
    <row r="495" spans="1:41" x14ac:dyDescent="0.2">
      <c r="A495" t="s">
        <v>50</v>
      </c>
      <c r="B495" s="1">
        <v>45925</v>
      </c>
      <c r="C495" s="1">
        <f t="shared" si="21"/>
        <v>45930</v>
      </c>
      <c r="D495">
        <v>1</v>
      </c>
      <c r="E495">
        <v>2</v>
      </c>
      <c r="F495">
        <v>0</v>
      </c>
      <c r="G495">
        <v>0</v>
      </c>
      <c r="H495">
        <v>1</v>
      </c>
      <c r="I495">
        <v>0</v>
      </c>
      <c r="J495">
        <v>0</v>
      </c>
      <c r="K495">
        <v>0</v>
      </c>
      <c r="AN495">
        <f t="shared" si="22"/>
        <v>5</v>
      </c>
      <c r="AO495" t="str">
        <f t="shared" si="23"/>
        <v>Thursday</v>
      </c>
    </row>
    <row r="496" spans="1:41" x14ac:dyDescent="0.2">
      <c r="A496" t="s">
        <v>43</v>
      </c>
      <c r="B496" s="1">
        <v>45925</v>
      </c>
      <c r="C496" s="1">
        <f t="shared" si="21"/>
        <v>45930</v>
      </c>
      <c r="D496">
        <v>29</v>
      </c>
      <c r="E496">
        <v>67</v>
      </c>
      <c r="F496">
        <v>7</v>
      </c>
      <c r="G496">
        <v>3</v>
      </c>
      <c r="H496">
        <v>4</v>
      </c>
      <c r="I496">
        <v>1</v>
      </c>
      <c r="J496">
        <v>1</v>
      </c>
      <c r="K496">
        <v>32</v>
      </c>
      <c r="L496" t="s">
        <v>43</v>
      </c>
      <c r="M496" t="s">
        <v>38</v>
      </c>
      <c r="N496" s="1">
        <v>45925</v>
      </c>
      <c r="O496" s="2">
        <v>0.54159722222222217</v>
      </c>
      <c r="P496" s="2">
        <v>0.92574074074074075</v>
      </c>
      <c r="Q496">
        <v>9.23</v>
      </c>
      <c r="R496">
        <v>9.2200000000000006</v>
      </c>
      <c r="S496">
        <v>2.42</v>
      </c>
      <c r="T496">
        <v>0.3</v>
      </c>
      <c r="U496">
        <v>0</v>
      </c>
      <c r="V496">
        <v>0.69</v>
      </c>
      <c r="W496">
        <v>2.75</v>
      </c>
      <c r="X496">
        <v>1.32</v>
      </c>
      <c r="Y496">
        <v>1.74</v>
      </c>
      <c r="Z496">
        <v>0</v>
      </c>
      <c r="AA496">
        <v>0</v>
      </c>
      <c r="AB496">
        <v>0</v>
      </c>
      <c r="AC496">
        <v>9.2200000000000006</v>
      </c>
      <c r="AD496">
        <v>26.23</v>
      </c>
      <c r="AE496">
        <v>3.24</v>
      </c>
      <c r="AF496">
        <v>0</v>
      </c>
      <c r="AG496">
        <v>7.46</v>
      </c>
      <c r="AH496">
        <v>29.87</v>
      </c>
      <c r="AI496">
        <v>14.33</v>
      </c>
      <c r="AJ496">
        <v>18.84</v>
      </c>
      <c r="AK496">
        <v>0</v>
      </c>
      <c r="AL496">
        <v>0</v>
      </c>
      <c r="AM496">
        <v>0.03</v>
      </c>
      <c r="AN496">
        <f t="shared" si="22"/>
        <v>5</v>
      </c>
      <c r="AO496" t="str">
        <f t="shared" si="23"/>
        <v>Thursday</v>
      </c>
    </row>
    <row r="497" spans="1:41" x14ac:dyDescent="0.2">
      <c r="B497" s="1">
        <v>45925</v>
      </c>
      <c r="C497" s="1">
        <f t="shared" si="21"/>
        <v>45930</v>
      </c>
      <c r="D497">
        <v>453</v>
      </c>
      <c r="E497">
        <v>0</v>
      </c>
      <c r="F497">
        <v>0</v>
      </c>
      <c r="G497">
        <v>0</v>
      </c>
      <c r="H497">
        <v>0</v>
      </c>
      <c r="I497">
        <v>0</v>
      </c>
      <c r="J497">
        <v>0</v>
      </c>
      <c r="K497">
        <v>0</v>
      </c>
      <c r="AN497">
        <f t="shared" si="22"/>
        <v>5</v>
      </c>
      <c r="AO497" t="str">
        <f t="shared" si="23"/>
        <v>Thursday</v>
      </c>
    </row>
    <row r="498" spans="1:41" x14ac:dyDescent="0.2">
      <c r="A498" t="s">
        <v>37</v>
      </c>
      <c r="B498" s="1">
        <v>45924</v>
      </c>
      <c r="C498" s="1">
        <f t="shared" si="21"/>
        <v>45930</v>
      </c>
      <c r="D498">
        <v>99</v>
      </c>
      <c r="E498">
        <v>165</v>
      </c>
      <c r="F498">
        <v>10</v>
      </c>
      <c r="G498">
        <v>16</v>
      </c>
      <c r="H498">
        <v>12</v>
      </c>
      <c r="I498">
        <v>0</v>
      </c>
      <c r="J498">
        <v>0</v>
      </c>
      <c r="K498">
        <v>44</v>
      </c>
      <c r="L498" t="s">
        <v>37</v>
      </c>
      <c r="M498" t="s">
        <v>38</v>
      </c>
      <c r="N498" s="1">
        <v>45924</v>
      </c>
      <c r="O498" s="2">
        <v>0.54177083333333331</v>
      </c>
      <c r="P498" s="2">
        <v>0.91696759259259264</v>
      </c>
      <c r="Q498">
        <v>9</v>
      </c>
      <c r="R498">
        <v>8.11</v>
      </c>
      <c r="S498">
        <v>4.0199999999999996</v>
      </c>
      <c r="T498">
        <v>0.23</v>
      </c>
      <c r="U498">
        <v>0</v>
      </c>
      <c r="V498">
        <v>0.97</v>
      </c>
      <c r="W498">
        <v>2.52</v>
      </c>
      <c r="X498">
        <v>0.35</v>
      </c>
      <c r="Y498">
        <v>0</v>
      </c>
      <c r="Z498">
        <v>0</v>
      </c>
      <c r="AA498">
        <v>0</v>
      </c>
      <c r="AB498">
        <v>0.02</v>
      </c>
      <c r="AC498">
        <v>8.11</v>
      </c>
      <c r="AD498">
        <v>49.61</v>
      </c>
      <c r="AE498">
        <v>2.8</v>
      </c>
      <c r="AF498">
        <v>0</v>
      </c>
      <c r="AG498">
        <v>11.97</v>
      </c>
      <c r="AH498">
        <v>31.06</v>
      </c>
      <c r="AI498">
        <v>4.3099999999999996</v>
      </c>
      <c r="AJ498">
        <v>0</v>
      </c>
      <c r="AK498">
        <v>0</v>
      </c>
      <c r="AL498">
        <v>0</v>
      </c>
      <c r="AM498">
        <v>0.25</v>
      </c>
      <c r="AN498">
        <f t="shared" si="22"/>
        <v>4</v>
      </c>
      <c r="AO498" t="str">
        <f t="shared" si="23"/>
        <v>Wednesday</v>
      </c>
    </row>
    <row r="499" spans="1:41" x14ac:dyDescent="0.2">
      <c r="A499" t="s">
        <v>39</v>
      </c>
      <c r="B499" s="1">
        <v>45924</v>
      </c>
      <c r="C499" s="1">
        <f t="shared" si="21"/>
        <v>45930</v>
      </c>
      <c r="D499">
        <v>116</v>
      </c>
      <c r="E499">
        <v>171</v>
      </c>
      <c r="F499">
        <v>4</v>
      </c>
      <c r="G499">
        <v>5</v>
      </c>
      <c r="H499">
        <v>15</v>
      </c>
      <c r="I499">
        <v>0</v>
      </c>
      <c r="J499">
        <v>1</v>
      </c>
      <c r="K499">
        <v>40</v>
      </c>
      <c r="L499" t="s">
        <v>39</v>
      </c>
      <c r="M499" t="s">
        <v>38</v>
      </c>
      <c r="N499" s="1">
        <v>45924</v>
      </c>
      <c r="O499" s="2">
        <v>0.54181712962962958</v>
      </c>
      <c r="P499" s="2">
        <v>0.91674768518518523</v>
      </c>
      <c r="Q499">
        <v>9</v>
      </c>
      <c r="R499">
        <v>9</v>
      </c>
      <c r="S499">
        <v>4.4400000000000004</v>
      </c>
      <c r="T499">
        <v>0.09</v>
      </c>
      <c r="U499">
        <v>0</v>
      </c>
      <c r="V499">
        <v>0.1</v>
      </c>
      <c r="W499">
        <v>2.91</v>
      </c>
      <c r="X499">
        <v>1.46</v>
      </c>
      <c r="Y499">
        <v>0</v>
      </c>
      <c r="Z499">
        <v>0</v>
      </c>
      <c r="AA499">
        <v>0</v>
      </c>
      <c r="AB499">
        <v>0.01</v>
      </c>
      <c r="AC499">
        <v>9</v>
      </c>
      <c r="AD499">
        <v>49.3</v>
      </c>
      <c r="AE499">
        <v>0.95</v>
      </c>
      <c r="AF499">
        <v>0</v>
      </c>
      <c r="AG499">
        <v>1.1399999999999999</v>
      </c>
      <c r="AH499">
        <v>32.340000000000003</v>
      </c>
      <c r="AI499">
        <v>16.190000000000001</v>
      </c>
      <c r="AJ499">
        <v>0</v>
      </c>
      <c r="AK499">
        <v>0</v>
      </c>
      <c r="AL499">
        <v>0</v>
      </c>
      <c r="AM499">
        <v>0.08</v>
      </c>
      <c r="AN499">
        <f t="shared" si="22"/>
        <v>4</v>
      </c>
      <c r="AO499" t="str">
        <f t="shared" si="23"/>
        <v>Wednesday</v>
      </c>
    </row>
    <row r="500" spans="1:41" x14ac:dyDescent="0.2">
      <c r="A500" t="s">
        <v>40</v>
      </c>
      <c r="B500" s="1">
        <v>45924</v>
      </c>
      <c r="C500" s="1">
        <f t="shared" si="21"/>
        <v>45930</v>
      </c>
      <c r="D500">
        <v>98</v>
      </c>
      <c r="E500">
        <v>125</v>
      </c>
      <c r="F500">
        <v>4</v>
      </c>
      <c r="G500">
        <v>3</v>
      </c>
      <c r="H500">
        <v>10</v>
      </c>
      <c r="I500">
        <v>0</v>
      </c>
      <c r="J500">
        <v>1</v>
      </c>
      <c r="K500">
        <v>25</v>
      </c>
      <c r="L500" t="s">
        <v>40</v>
      </c>
      <c r="M500" t="s">
        <v>38</v>
      </c>
      <c r="N500" s="1">
        <v>45924</v>
      </c>
      <c r="O500" s="2">
        <v>0.54386574074074079</v>
      </c>
      <c r="P500" s="2">
        <v>0.91706018518518517</v>
      </c>
      <c r="Q500">
        <v>8.9499999999999993</v>
      </c>
      <c r="R500">
        <v>8.9499999999999993</v>
      </c>
      <c r="S500">
        <v>5.65</v>
      </c>
      <c r="T500">
        <v>0.28999999999999998</v>
      </c>
      <c r="U500">
        <v>0</v>
      </c>
      <c r="V500">
        <v>0.4</v>
      </c>
      <c r="W500">
        <v>1.1000000000000001</v>
      </c>
      <c r="X500">
        <v>1.5</v>
      </c>
      <c r="Y500">
        <v>0</v>
      </c>
      <c r="Z500">
        <v>0</v>
      </c>
      <c r="AA500">
        <v>0</v>
      </c>
      <c r="AB500">
        <v>0.01</v>
      </c>
      <c r="AC500">
        <v>8.9499999999999993</v>
      </c>
      <c r="AD500">
        <v>63.15</v>
      </c>
      <c r="AE500">
        <v>3.25</v>
      </c>
      <c r="AF500">
        <v>0</v>
      </c>
      <c r="AG500">
        <v>4.49</v>
      </c>
      <c r="AH500">
        <v>12.27</v>
      </c>
      <c r="AI500">
        <v>16.760000000000002</v>
      </c>
      <c r="AJ500">
        <v>0</v>
      </c>
      <c r="AK500">
        <v>0</v>
      </c>
      <c r="AL500">
        <v>0</v>
      </c>
      <c r="AM500">
        <v>7.0000000000000007E-2</v>
      </c>
      <c r="AN500">
        <f t="shared" si="22"/>
        <v>4</v>
      </c>
      <c r="AO500" t="str">
        <f t="shared" si="23"/>
        <v>Wednesday</v>
      </c>
    </row>
    <row r="501" spans="1:41" x14ac:dyDescent="0.2">
      <c r="A501" t="s">
        <v>41</v>
      </c>
      <c r="B501" s="1">
        <v>45924</v>
      </c>
      <c r="C501" s="1">
        <f t="shared" si="21"/>
        <v>45930</v>
      </c>
      <c r="D501">
        <v>124</v>
      </c>
      <c r="E501">
        <v>196</v>
      </c>
      <c r="F501">
        <v>5</v>
      </c>
      <c r="G501">
        <v>5</v>
      </c>
      <c r="H501">
        <v>3</v>
      </c>
      <c r="I501">
        <v>0</v>
      </c>
      <c r="J501">
        <v>2</v>
      </c>
      <c r="K501">
        <v>61</v>
      </c>
      <c r="L501" t="s">
        <v>41</v>
      </c>
      <c r="M501" t="s">
        <v>38</v>
      </c>
      <c r="N501" s="1">
        <v>45924</v>
      </c>
      <c r="O501" s="2">
        <v>0.54234953703703703</v>
      </c>
      <c r="P501" s="2">
        <v>0.91609953703703706</v>
      </c>
      <c r="Q501">
        <v>8.98</v>
      </c>
      <c r="R501">
        <v>8.94</v>
      </c>
      <c r="S501">
        <v>3.09</v>
      </c>
      <c r="T501">
        <v>0.75</v>
      </c>
      <c r="U501">
        <v>0</v>
      </c>
      <c r="V501">
        <v>0.32</v>
      </c>
      <c r="W501">
        <v>3.31</v>
      </c>
      <c r="X501">
        <v>1.47</v>
      </c>
      <c r="Y501">
        <v>0</v>
      </c>
      <c r="Z501">
        <v>0</v>
      </c>
      <c r="AA501">
        <v>0</v>
      </c>
      <c r="AB501">
        <v>0.01</v>
      </c>
      <c r="AC501">
        <v>8.94</v>
      </c>
      <c r="AD501">
        <v>34.56</v>
      </c>
      <c r="AE501">
        <v>8.34</v>
      </c>
      <c r="AF501">
        <v>0</v>
      </c>
      <c r="AG501">
        <v>3.54</v>
      </c>
      <c r="AH501">
        <v>37.049999999999997</v>
      </c>
      <c r="AI501">
        <v>16.41</v>
      </c>
      <c r="AJ501">
        <v>0</v>
      </c>
      <c r="AK501">
        <v>0</v>
      </c>
      <c r="AL501">
        <v>0</v>
      </c>
      <c r="AM501">
        <v>0.1</v>
      </c>
      <c r="AN501">
        <f t="shared" si="22"/>
        <v>4</v>
      </c>
      <c r="AO501" t="str">
        <f t="shared" si="23"/>
        <v>Wednesday</v>
      </c>
    </row>
    <row r="502" spans="1:41" x14ac:dyDescent="0.2">
      <c r="A502" t="s">
        <v>43</v>
      </c>
      <c r="B502" s="1">
        <v>45924</v>
      </c>
      <c r="C502" s="1">
        <f t="shared" si="21"/>
        <v>45930</v>
      </c>
      <c r="D502">
        <v>115</v>
      </c>
      <c r="E502">
        <v>168</v>
      </c>
      <c r="F502">
        <v>10</v>
      </c>
      <c r="G502">
        <v>10</v>
      </c>
      <c r="H502">
        <v>10</v>
      </c>
      <c r="I502">
        <v>0</v>
      </c>
      <c r="J502">
        <v>1</v>
      </c>
      <c r="K502">
        <v>41</v>
      </c>
      <c r="L502" t="s">
        <v>43</v>
      </c>
      <c r="M502" t="s">
        <v>38</v>
      </c>
      <c r="N502" s="1">
        <v>45924</v>
      </c>
      <c r="O502" s="2">
        <v>0.5427777777777778</v>
      </c>
      <c r="P502" s="2">
        <v>0.91811342592592593</v>
      </c>
      <c r="Q502">
        <v>9.02</v>
      </c>
      <c r="R502">
        <v>9.01</v>
      </c>
      <c r="S502">
        <v>4.95</v>
      </c>
      <c r="T502">
        <v>0.26</v>
      </c>
      <c r="U502">
        <v>0</v>
      </c>
      <c r="V502">
        <v>0.61</v>
      </c>
      <c r="W502">
        <v>1.48</v>
      </c>
      <c r="X502">
        <v>1.44</v>
      </c>
      <c r="Y502">
        <v>0.28000000000000003</v>
      </c>
      <c r="Z502">
        <v>0</v>
      </c>
      <c r="AA502">
        <v>0</v>
      </c>
      <c r="AB502">
        <v>0</v>
      </c>
      <c r="AC502">
        <v>9.01</v>
      </c>
      <c r="AD502">
        <v>54.9</v>
      </c>
      <c r="AE502">
        <v>2.91</v>
      </c>
      <c r="AF502">
        <v>0</v>
      </c>
      <c r="AG502">
        <v>6.76</v>
      </c>
      <c r="AH502">
        <v>16.37</v>
      </c>
      <c r="AI502">
        <v>15.96</v>
      </c>
      <c r="AJ502">
        <v>3.06</v>
      </c>
      <c r="AK502">
        <v>0</v>
      </c>
      <c r="AL502">
        <v>0</v>
      </c>
      <c r="AM502">
        <v>0.03</v>
      </c>
      <c r="AN502">
        <f t="shared" si="22"/>
        <v>4</v>
      </c>
      <c r="AO502" t="str">
        <f t="shared" si="23"/>
        <v>Wednesday</v>
      </c>
    </row>
    <row r="503" spans="1:41" x14ac:dyDescent="0.2">
      <c r="B503" s="1">
        <v>45924</v>
      </c>
      <c r="C503" s="1">
        <f t="shared" si="21"/>
        <v>45930</v>
      </c>
      <c r="D503">
        <v>353</v>
      </c>
      <c r="E503">
        <v>0</v>
      </c>
      <c r="F503">
        <v>0</v>
      </c>
      <c r="G503">
        <v>0</v>
      </c>
      <c r="H503">
        <v>0</v>
      </c>
      <c r="I503">
        <v>0</v>
      </c>
      <c r="J503">
        <v>0</v>
      </c>
      <c r="K503">
        <v>0</v>
      </c>
      <c r="AN503">
        <f t="shared" si="22"/>
        <v>4</v>
      </c>
      <c r="AO503" t="str">
        <f t="shared" si="23"/>
        <v>Wednesday</v>
      </c>
    </row>
    <row r="504" spans="1:41" x14ac:dyDescent="0.2">
      <c r="A504" t="s">
        <v>37</v>
      </c>
      <c r="B504" s="1">
        <v>45923</v>
      </c>
      <c r="C504" s="1">
        <f t="shared" si="21"/>
        <v>45930</v>
      </c>
      <c r="D504">
        <v>74</v>
      </c>
      <c r="E504">
        <v>113</v>
      </c>
      <c r="F504">
        <v>13</v>
      </c>
      <c r="G504">
        <v>7</v>
      </c>
      <c r="H504">
        <v>8</v>
      </c>
      <c r="I504">
        <v>0</v>
      </c>
      <c r="J504">
        <v>1</v>
      </c>
      <c r="K504">
        <v>32</v>
      </c>
      <c r="L504" t="s">
        <v>37</v>
      </c>
      <c r="M504" t="s">
        <v>38</v>
      </c>
      <c r="N504" s="1">
        <v>45923</v>
      </c>
      <c r="O504" s="2">
        <v>0.54194444444444445</v>
      </c>
      <c r="P504" s="2">
        <v>0.92248842592592595</v>
      </c>
      <c r="Q504">
        <v>9.1300000000000008</v>
      </c>
      <c r="R504">
        <v>8.24</v>
      </c>
      <c r="S504">
        <v>5.2</v>
      </c>
      <c r="T504">
        <v>0.33</v>
      </c>
      <c r="U504">
        <v>0</v>
      </c>
      <c r="V504">
        <v>0.76</v>
      </c>
      <c r="W504">
        <v>1.4</v>
      </c>
      <c r="X504">
        <v>0.54</v>
      </c>
      <c r="Y504">
        <v>0</v>
      </c>
      <c r="Z504">
        <v>0</v>
      </c>
      <c r="AA504">
        <v>0</v>
      </c>
      <c r="AB504">
        <v>0.02</v>
      </c>
      <c r="AC504">
        <v>8.24</v>
      </c>
      <c r="AD504">
        <v>63.14</v>
      </c>
      <c r="AE504">
        <v>3.99</v>
      </c>
      <c r="AF504">
        <v>0</v>
      </c>
      <c r="AG504">
        <v>9.17</v>
      </c>
      <c r="AH504">
        <v>16.95</v>
      </c>
      <c r="AI504">
        <v>6.56</v>
      </c>
      <c r="AJ504">
        <v>0</v>
      </c>
      <c r="AK504">
        <v>0</v>
      </c>
      <c r="AL504">
        <v>0</v>
      </c>
      <c r="AM504">
        <v>0.2</v>
      </c>
      <c r="AN504">
        <f t="shared" si="22"/>
        <v>3</v>
      </c>
      <c r="AO504" t="str">
        <f t="shared" si="23"/>
        <v>Tuesday</v>
      </c>
    </row>
    <row r="505" spans="1:41" x14ac:dyDescent="0.2">
      <c r="A505" t="s">
        <v>39</v>
      </c>
      <c r="B505" s="1">
        <v>45923</v>
      </c>
      <c r="C505" s="1">
        <f t="shared" si="21"/>
        <v>45930</v>
      </c>
      <c r="D505">
        <v>125</v>
      </c>
      <c r="E505">
        <v>186</v>
      </c>
      <c r="F505">
        <v>16</v>
      </c>
      <c r="G505">
        <v>5</v>
      </c>
      <c r="H505">
        <v>10</v>
      </c>
      <c r="I505">
        <v>1</v>
      </c>
      <c r="J505">
        <v>0</v>
      </c>
      <c r="K505">
        <v>36</v>
      </c>
      <c r="L505" t="s">
        <v>39</v>
      </c>
      <c r="M505" t="s">
        <v>38</v>
      </c>
      <c r="N505" s="1">
        <v>45923</v>
      </c>
      <c r="O505" s="2">
        <v>0.54173611111111108</v>
      </c>
      <c r="P505" s="2">
        <v>0.91673611111111108</v>
      </c>
      <c r="Q505">
        <v>9</v>
      </c>
      <c r="R505">
        <v>9</v>
      </c>
      <c r="S505">
        <v>5.91</v>
      </c>
      <c r="T505">
        <v>0</v>
      </c>
      <c r="U505">
        <v>0</v>
      </c>
      <c r="V505">
        <v>0.11</v>
      </c>
      <c r="W505">
        <v>1.51</v>
      </c>
      <c r="X505">
        <v>1.46</v>
      </c>
      <c r="Y505">
        <v>0</v>
      </c>
      <c r="Z505">
        <v>0</v>
      </c>
      <c r="AA505">
        <v>0</v>
      </c>
      <c r="AB505">
        <v>0.01</v>
      </c>
      <c r="AC505">
        <v>9</v>
      </c>
      <c r="AD505">
        <v>65.7</v>
      </c>
      <c r="AE505">
        <v>0</v>
      </c>
      <c r="AF505">
        <v>0</v>
      </c>
      <c r="AG505">
        <v>1.2</v>
      </c>
      <c r="AH505">
        <v>16.78</v>
      </c>
      <c r="AI505">
        <v>16.239999999999998</v>
      </c>
      <c r="AJ505">
        <v>0</v>
      </c>
      <c r="AK505">
        <v>0</v>
      </c>
      <c r="AL505">
        <v>0</v>
      </c>
      <c r="AM505">
        <v>0.08</v>
      </c>
      <c r="AN505">
        <f t="shared" si="22"/>
        <v>3</v>
      </c>
      <c r="AO505" t="str">
        <f t="shared" si="23"/>
        <v>Tuesday</v>
      </c>
    </row>
    <row r="506" spans="1:41" x14ac:dyDescent="0.2">
      <c r="A506" t="s">
        <v>40</v>
      </c>
      <c r="B506" s="1">
        <v>45923</v>
      </c>
      <c r="C506" s="1">
        <f t="shared" si="21"/>
        <v>45930</v>
      </c>
      <c r="D506">
        <v>73</v>
      </c>
      <c r="E506">
        <v>92</v>
      </c>
      <c r="F506">
        <v>9</v>
      </c>
      <c r="G506">
        <v>2</v>
      </c>
      <c r="H506">
        <v>11</v>
      </c>
      <c r="I506">
        <v>0</v>
      </c>
      <c r="J506">
        <v>2</v>
      </c>
      <c r="K506">
        <v>11</v>
      </c>
      <c r="L506" t="s">
        <v>40</v>
      </c>
      <c r="M506" t="s">
        <v>38</v>
      </c>
      <c r="N506" s="1">
        <v>45923</v>
      </c>
      <c r="O506" s="2">
        <v>0.54342592592592598</v>
      </c>
      <c r="P506" s="2">
        <v>0.91668981481481482</v>
      </c>
      <c r="Q506">
        <v>8.9700000000000006</v>
      </c>
      <c r="R506">
        <v>8.9600000000000009</v>
      </c>
      <c r="S506">
        <v>6.01</v>
      </c>
      <c r="T506">
        <v>0.05</v>
      </c>
      <c r="U506">
        <v>0</v>
      </c>
      <c r="V506">
        <v>0.5</v>
      </c>
      <c r="W506">
        <v>0.82</v>
      </c>
      <c r="X506">
        <v>1.52</v>
      </c>
      <c r="Y506">
        <v>0</v>
      </c>
      <c r="Z506">
        <v>0</v>
      </c>
      <c r="AA506">
        <v>0.06</v>
      </c>
      <c r="AB506">
        <v>0</v>
      </c>
      <c r="AC506">
        <v>8.9600000000000009</v>
      </c>
      <c r="AD506">
        <v>67.099999999999994</v>
      </c>
      <c r="AE506">
        <v>0.51</v>
      </c>
      <c r="AF506">
        <v>0</v>
      </c>
      <c r="AG506">
        <v>5.6</v>
      </c>
      <c r="AH506">
        <v>9.11</v>
      </c>
      <c r="AI506">
        <v>16.940000000000001</v>
      </c>
      <c r="AJ506">
        <v>0</v>
      </c>
      <c r="AK506">
        <v>0</v>
      </c>
      <c r="AL506">
        <v>0.71</v>
      </c>
      <c r="AM506">
        <v>0.03</v>
      </c>
      <c r="AN506">
        <f t="shared" si="22"/>
        <v>3</v>
      </c>
      <c r="AO506" t="str">
        <f t="shared" si="23"/>
        <v>Tuesday</v>
      </c>
    </row>
    <row r="507" spans="1:41" x14ac:dyDescent="0.2">
      <c r="A507" t="s">
        <v>41</v>
      </c>
      <c r="B507" s="1">
        <v>45923</v>
      </c>
      <c r="C507" s="1">
        <f t="shared" si="21"/>
        <v>45930</v>
      </c>
      <c r="D507">
        <v>123</v>
      </c>
      <c r="E507">
        <v>173</v>
      </c>
      <c r="F507">
        <v>13</v>
      </c>
      <c r="G507">
        <v>9</v>
      </c>
      <c r="H507">
        <v>6</v>
      </c>
      <c r="I507">
        <v>0</v>
      </c>
      <c r="J507">
        <v>2</v>
      </c>
      <c r="K507">
        <v>34</v>
      </c>
      <c r="L507" t="s">
        <v>41</v>
      </c>
      <c r="M507" t="s">
        <v>38</v>
      </c>
      <c r="N507" s="1">
        <v>45923</v>
      </c>
      <c r="O507" s="2">
        <v>0.54123842592592597</v>
      </c>
      <c r="P507" s="2">
        <v>0.91609953703703706</v>
      </c>
      <c r="Q507">
        <v>9</v>
      </c>
      <c r="R507">
        <v>8.93</v>
      </c>
      <c r="S507">
        <v>4.9800000000000004</v>
      </c>
      <c r="T507">
        <v>0.22</v>
      </c>
      <c r="U507">
        <v>0</v>
      </c>
      <c r="V507">
        <v>0.46</v>
      </c>
      <c r="W507">
        <v>1.8</v>
      </c>
      <c r="X507">
        <v>1.45</v>
      </c>
      <c r="Y507">
        <v>0</v>
      </c>
      <c r="Z507">
        <v>0</v>
      </c>
      <c r="AA507">
        <v>0</v>
      </c>
      <c r="AB507">
        <v>0.01</v>
      </c>
      <c r="AC507">
        <v>8.93</v>
      </c>
      <c r="AD507">
        <v>55.75</v>
      </c>
      <c r="AE507">
        <v>2.5099999999999998</v>
      </c>
      <c r="AF507">
        <v>0</v>
      </c>
      <c r="AG507">
        <v>5.19</v>
      </c>
      <c r="AH507">
        <v>20.18</v>
      </c>
      <c r="AI507">
        <v>16.28</v>
      </c>
      <c r="AJ507">
        <v>0</v>
      </c>
      <c r="AK507">
        <v>0</v>
      </c>
      <c r="AL507">
        <v>0</v>
      </c>
      <c r="AM507">
        <v>0.09</v>
      </c>
      <c r="AN507">
        <f t="shared" si="22"/>
        <v>3</v>
      </c>
      <c r="AO507" t="str">
        <f t="shared" si="23"/>
        <v>Tuesday</v>
      </c>
    </row>
    <row r="508" spans="1:41" x14ac:dyDescent="0.2">
      <c r="A508" t="s">
        <v>43</v>
      </c>
      <c r="B508" s="1">
        <v>45923</v>
      </c>
      <c r="C508" s="1">
        <f t="shared" si="21"/>
        <v>45930</v>
      </c>
      <c r="D508">
        <v>109</v>
      </c>
      <c r="E508">
        <v>136</v>
      </c>
      <c r="F508">
        <v>4</v>
      </c>
      <c r="G508">
        <v>3</v>
      </c>
      <c r="H508">
        <v>6</v>
      </c>
      <c r="I508">
        <v>1</v>
      </c>
      <c r="J508">
        <v>0</v>
      </c>
      <c r="K508">
        <v>21</v>
      </c>
      <c r="L508" t="s">
        <v>43</v>
      </c>
      <c r="M508" t="s">
        <v>38</v>
      </c>
      <c r="N508" s="1">
        <v>45923</v>
      </c>
      <c r="O508" s="2">
        <v>0.54215277777777782</v>
      </c>
      <c r="P508" s="2">
        <v>0.91856481481481478</v>
      </c>
      <c r="Q508">
        <v>9.0299999999999994</v>
      </c>
      <c r="R508">
        <v>9.0399999999999991</v>
      </c>
      <c r="S508">
        <v>5.48</v>
      </c>
      <c r="T508">
        <v>0.48</v>
      </c>
      <c r="U508">
        <v>0</v>
      </c>
      <c r="V508">
        <v>0.27</v>
      </c>
      <c r="W508">
        <v>1.36</v>
      </c>
      <c r="X508">
        <v>1.45</v>
      </c>
      <c r="Y508">
        <v>0</v>
      </c>
      <c r="Z508">
        <v>0</v>
      </c>
      <c r="AA508">
        <v>0</v>
      </c>
      <c r="AB508">
        <v>0</v>
      </c>
      <c r="AC508">
        <v>9.0399999999999991</v>
      </c>
      <c r="AD508">
        <v>60.61</v>
      </c>
      <c r="AE508">
        <v>5.27</v>
      </c>
      <c r="AF508">
        <v>0</v>
      </c>
      <c r="AG508">
        <v>3.02</v>
      </c>
      <c r="AH508">
        <v>15</v>
      </c>
      <c r="AI508">
        <v>16.059999999999999</v>
      </c>
      <c r="AJ508">
        <v>0</v>
      </c>
      <c r="AK508">
        <v>0</v>
      </c>
      <c r="AL508">
        <v>0</v>
      </c>
      <c r="AM508">
        <v>0.03</v>
      </c>
      <c r="AN508">
        <f t="shared" si="22"/>
        <v>3</v>
      </c>
      <c r="AO508" t="str">
        <f t="shared" si="23"/>
        <v>Tuesday</v>
      </c>
    </row>
    <row r="509" spans="1:41" x14ac:dyDescent="0.2">
      <c r="B509" s="1">
        <v>45923</v>
      </c>
      <c r="C509" s="1">
        <f t="shared" si="21"/>
        <v>45930</v>
      </c>
      <c r="D509">
        <v>408</v>
      </c>
      <c r="E509">
        <v>0</v>
      </c>
      <c r="F509">
        <v>0</v>
      </c>
      <c r="G509">
        <v>0</v>
      </c>
      <c r="H509">
        <v>0</v>
      </c>
      <c r="I509">
        <v>0</v>
      </c>
      <c r="J509">
        <v>0</v>
      </c>
      <c r="K509">
        <v>0</v>
      </c>
      <c r="AN509">
        <f t="shared" si="22"/>
        <v>3</v>
      </c>
      <c r="AO509" t="str">
        <f t="shared" si="23"/>
        <v>Tuesday</v>
      </c>
    </row>
    <row r="510" spans="1:41" x14ac:dyDescent="0.2">
      <c r="A510" t="s">
        <v>37</v>
      </c>
      <c r="B510" s="1">
        <v>45922</v>
      </c>
      <c r="C510" s="1">
        <f t="shared" si="21"/>
        <v>45930</v>
      </c>
      <c r="D510">
        <v>73</v>
      </c>
      <c r="E510">
        <v>113</v>
      </c>
      <c r="F510">
        <v>1</v>
      </c>
      <c r="G510">
        <v>7</v>
      </c>
      <c r="H510">
        <v>5</v>
      </c>
      <c r="I510">
        <v>0</v>
      </c>
      <c r="J510">
        <v>5</v>
      </c>
      <c r="K510">
        <v>23</v>
      </c>
      <c r="L510" t="s">
        <v>37</v>
      </c>
      <c r="M510" t="s">
        <v>38</v>
      </c>
      <c r="N510" s="1">
        <v>45922</v>
      </c>
      <c r="O510" s="2">
        <v>0.54231481481481481</v>
      </c>
      <c r="P510" s="2">
        <v>0.92</v>
      </c>
      <c r="Q510">
        <v>9.07</v>
      </c>
      <c r="R510">
        <v>8.17</v>
      </c>
      <c r="S510">
        <v>3.79</v>
      </c>
      <c r="T510">
        <v>0.04</v>
      </c>
      <c r="U510">
        <v>0</v>
      </c>
      <c r="V510">
        <v>0.55000000000000004</v>
      </c>
      <c r="W510">
        <v>3.28</v>
      </c>
      <c r="X510">
        <v>0.46</v>
      </c>
      <c r="Y510">
        <v>0</v>
      </c>
      <c r="Z510">
        <v>0</v>
      </c>
      <c r="AA510">
        <v>0.01</v>
      </c>
      <c r="AB510">
        <v>0.04</v>
      </c>
      <c r="AC510">
        <v>8.17</v>
      </c>
      <c r="AD510">
        <v>46.44</v>
      </c>
      <c r="AE510">
        <v>0.5</v>
      </c>
      <c r="AF510">
        <v>0</v>
      </c>
      <c r="AG510">
        <v>6.69</v>
      </c>
      <c r="AH510">
        <v>40.130000000000003</v>
      </c>
      <c r="AI510">
        <v>5.69</v>
      </c>
      <c r="AJ510">
        <v>0</v>
      </c>
      <c r="AK510">
        <v>0</v>
      </c>
      <c r="AL510">
        <v>0.08</v>
      </c>
      <c r="AM510">
        <v>0.48</v>
      </c>
      <c r="AN510">
        <f t="shared" si="22"/>
        <v>2</v>
      </c>
      <c r="AO510" t="str">
        <f t="shared" si="23"/>
        <v>Monday</v>
      </c>
    </row>
    <row r="511" spans="1:41" x14ac:dyDescent="0.2">
      <c r="A511" t="s">
        <v>39</v>
      </c>
      <c r="B511" s="1">
        <v>45922</v>
      </c>
      <c r="C511" s="1">
        <f t="shared" si="21"/>
        <v>45930</v>
      </c>
      <c r="D511">
        <v>88</v>
      </c>
      <c r="E511">
        <v>140</v>
      </c>
      <c r="F511">
        <v>11</v>
      </c>
      <c r="G511">
        <v>8</v>
      </c>
      <c r="H511">
        <v>30</v>
      </c>
      <c r="I511">
        <v>0</v>
      </c>
      <c r="J511">
        <v>0</v>
      </c>
      <c r="K511">
        <v>28</v>
      </c>
      <c r="L511" t="s">
        <v>39</v>
      </c>
      <c r="M511" t="s">
        <v>38</v>
      </c>
      <c r="N511" s="1">
        <v>45922</v>
      </c>
      <c r="O511" s="2">
        <v>0.54201388888888891</v>
      </c>
      <c r="P511" s="2">
        <v>0.91726851851851854</v>
      </c>
      <c r="Q511">
        <v>9</v>
      </c>
      <c r="R511">
        <v>8.9600000000000009</v>
      </c>
      <c r="S511">
        <v>4</v>
      </c>
      <c r="T511">
        <v>0.09</v>
      </c>
      <c r="U511">
        <v>0</v>
      </c>
      <c r="V511">
        <v>0.12</v>
      </c>
      <c r="W511">
        <v>3.2</v>
      </c>
      <c r="X511">
        <v>1.24</v>
      </c>
      <c r="Y511">
        <v>0.3</v>
      </c>
      <c r="Z511">
        <v>0</v>
      </c>
      <c r="AA511">
        <v>0</v>
      </c>
      <c r="AB511">
        <v>0.01</v>
      </c>
      <c r="AC511">
        <v>8.9600000000000009</v>
      </c>
      <c r="AD511">
        <v>44.67</v>
      </c>
      <c r="AE511">
        <v>0.99</v>
      </c>
      <c r="AF511">
        <v>0</v>
      </c>
      <c r="AG511">
        <v>1.36</v>
      </c>
      <c r="AH511">
        <v>35.700000000000003</v>
      </c>
      <c r="AI511">
        <v>13.8</v>
      </c>
      <c r="AJ511">
        <v>3.38</v>
      </c>
      <c r="AK511">
        <v>0</v>
      </c>
      <c r="AL511">
        <v>0</v>
      </c>
      <c r="AM511">
        <v>0.1</v>
      </c>
      <c r="AN511">
        <f t="shared" si="22"/>
        <v>2</v>
      </c>
      <c r="AO511" t="str">
        <f t="shared" si="23"/>
        <v>Monday</v>
      </c>
    </row>
    <row r="512" spans="1:41" x14ac:dyDescent="0.2">
      <c r="A512" t="s">
        <v>40</v>
      </c>
      <c r="B512" s="1">
        <v>45922</v>
      </c>
      <c r="C512" s="1">
        <f t="shared" si="21"/>
        <v>45930</v>
      </c>
      <c r="D512">
        <v>53</v>
      </c>
      <c r="E512">
        <v>77</v>
      </c>
      <c r="F512">
        <v>4</v>
      </c>
      <c r="G512">
        <v>8</v>
      </c>
      <c r="H512">
        <v>6</v>
      </c>
      <c r="I512">
        <v>0</v>
      </c>
      <c r="J512">
        <v>1</v>
      </c>
      <c r="K512">
        <v>22</v>
      </c>
      <c r="L512" t="s">
        <v>40</v>
      </c>
      <c r="M512" t="s">
        <v>38</v>
      </c>
      <c r="N512" s="1">
        <v>45922</v>
      </c>
      <c r="O512" s="2">
        <v>0.54319444444444442</v>
      </c>
      <c r="P512" s="2">
        <v>0.91891203703703705</v>
      </c>
      <c r="Q512">
        <v>9.02</v>
      </c>
      <c r="R512">
        <v>9.02</v>
      </c>
      <c r="S512">
        <v>3.89</v>
      </c>
      <c r="T512">
        <v>0.2</v>
      </c>
      <c r="U512">
        <v>0</v>
      </c>
      <c r="V512">
        <v>0.4</v>
      </c>
      <c r="W512">
        <v>2.5499999999999998</v>
      </c>
      <c r="X512">
        <v>1.48</v>
      </c>
      <c r="Y512">
        <v>0.47</v>
      </c>
      <c r="Z512">
        <v>0.03</v>
      </c>
      <c r="AA512">
        <v>0</v>
      </c>
      <c r="AB512">
        <v>0</v>
      </c>
      <c r="AC512">
        <v>9.02</v>
      </c>
      <c r="AD512">
        <v>43.12</v>
      </c>
      <c r="AE512">
        <v>2.25</v>
      </c>
      <c r="AF512">
        <v>0</v>
      </c>
      <c r="AG512">
        <v>4.4400000000000004</v>
      </c>
      <c r="AH512">
        <v>28.29</v>
      </c>
      <c r="AI512">
        <v>16.41</v>
      </c>
      <c r="AJ512">
        <v>5.17</v>
      </c>
      <c r="AK512">
        <v>0.28999999999999998</v>
      </c>
      <c r="AL512">
        <v>0</v>
      </c>
      <c r="AM512">
        <v>0.04</v>
      </c>
      <c r="AN512">
        <f t="shared" si="22"/>
        <v>2</v>
      </c>
      <c r="AO512" t="str">
        <f t="shared" si="23"/>
        <v>Monday</v>
      </c>
    </row>
    <row r="513" spans="1:41" x14ac:dyDescent="0.2">
      <c r="A513" t="s">
        <v>41</v>
      </c>
      <c r="B513" s="1">
        <v>45922</v>
      </c>
      <c r="C513" s="1">
        <f t="shared" si="21"/>
        <v>45930</v>
      </c>
      <c r="D513">
        <v>127</v>
      </c>
      <c r="E513">
        <v>153</v>
      </c>
      <c r="F513">
        <v>2</v>
      </c>
      <c r="G513">
        <v>9</v>
      </c>
      <c r="H513">
        <v>4</v>
      </c>
      <c r="I513">
        <v>0</v>
      </c>
      <c r="J513">
        <v>4</v>
      </c>
      <c r="K513">
        <v>25</v>
      </c>
      <c r="L513" t="s">
        <v>41</v>
      </c>
      <c r="M513" t="s">
        <v>38</v>
      </c>
      <c r="N513" s="1">
        <v>45922</v>
      </c>
      <c r="O513" s="2">
        <v>0.54201388888888891</v>
      </c>
      <c r="P513" s="2">
        <v>0.91672453703703705</v>
      </c>
      <c r="Q513">
        <v>9</v>
      </c>
      <c r="R513">
        <v>8.99</v>
      </c>
      <c r="S513">
        <v>4.6399999999999997</v>
      </c>
      <c r="T513">
        <v>0.51</v>
      </c>
      <c r="U513">
        <v>0</v>
      </c>
      <c r="V513">
        <v>0.46</v>
      </c>
      <c r="W513">
        <v>1.94</v>
      </c>
      <c r="X513">
        <v>1.44</v>
      </c>
      <c r="Y513">
        <v>0</v>
      </c>
      <c r="Z513">
        <v>0</v>
      </c>
      <c r="AA513">
        <v>0</v>
      </c>
      <c r="AB513">
        <v>0</v>
      </c>
      <c r="AC513">
        <v>8.99</v>
      </c>
      <c r="AD513">
        <v>51.58</v>
      </c>
      <c r="AE513">
        <v>5.63</v>
      </c>
      <c r="AF513">
        <v>0</v>
      </c>
      <c r="AG513">
        <v>5.08</v>
      </c>
      <c r="AH513">
        <v>21.61</v>
      </c>
      <c r="AI513">
        <v>16.059999999999999</v>
      </c>
      <c r="AJ513">
        <v>0</v>
      </c>
      <c r="AK513">
        <v>0</v>
      </c>
      <c r="AL513">
        <v>0</v>
      </c>
      <c r="AM513">
        <v>0.04</v>
      </c>
      <c r="AN513">
        <f t="shared" si="22"/>
        <v>2</v>
      </c>
      <c r="AO513" t="str">
        <f t="shared" si="23"/>
        <v>Monday</v>
      </c>
    </row>
    <row r="514" spans="1:41" x14ac:dyDescent="0.2">
      <c r="A514" t="s">
        <v>42</v>
      </c>
      <c r="B514" s="1">
        <v>45922</v>
      </c>
      <c r="C514" s="1">
        <f t="shared" si="21"/>
        <v>45930</v>
      </c>
      <c r="D514">
        <v>1</v>
      </c>
      <c r="E514">
        <v>2</v>
      </c>
      <c r="F514">
        <v>0</v>
      </c>
      <c r="G514">
        <v>0</v>
      </c>
      <c r="H514">
        <v>0</v>
      </c>
      <c r="I514">
        <v>0</v>
      </c>
      <c r="J514">
        <v>0</v>
      </c>
      <c r="K514">
        <v>0</v>
      </c>
      <c r="L514" t="s">
        <v>42</v>
      </c>
      <c r="M514" t="s">
        <v>38</v>
      </c>
      <c r="N514" s="1">
        <v>45922</v>
      </c>
      <c r="O514" s="2">
        <v>0.66035879629629635</v>
      </c>
      <c r="P514" s="2">
        <v>0.66215277777777781</v>
      </c>
      <c r="Q514">
        <v>0.05</v>
      </c>
      <c r="R514">
        <v>0.04</v>
      </c>
      <c r="S514">
        <v>0.03</v>
      </c>
      <c r="T514">
        <v>0</v>
      </c>
      <c r="U514">
        <v>0</v>
      </c>
      <c r="V514">
        <v>0</v>
      </c>
      <c r="W514">
        <v>0</v>
      </c>
      <c r="X514">
        <v>0</v>
      </c>
      <c r="Y514">
        <v>0</v>
      </c>
      <c r="Z514">
        <v>0</v>
      </c>
      <c r="AA514">
        <v>0</v>
      </c>
      <c r="AB514">
        <v>0</v>
      </c>
      <c r="AC514">
        <v>0.04</v>
      </c>
      <c r="AD514">
        <v>81.17</v>
      </c>
      <c r="AE514">
        <v>0</v>
      </c>
      <c r="AF514">
        <v>0</v>
      </c>
      <c r="AG514">
        <v>9.74</v>
      </c>
      <c r="AH514">
        <v>0</v>
      </c>
      <c r="AI514">
        <v>0</v>
      </c>
      <c r="AJ514">
        <v>0</v>
      </c>
      <c r="AK514">
        <v>0</v>
      </c>
      <c r="AL514">
        <v>0</v>
      </c>
      <c r="AM514">
        <v>9.09</v>
      </c>
      <c r="AN514">
        <f t="shared" si="22"/>
        <v>2</v>
      </c>
      <c r="AO514" t="str">
        <f t="shared" si="23"/>
        <v>Monday</v>
      </c>
    </row>
    <row r="515" spans="1:41" x14ac:dyDescent="0.2">
      <c r="A515" t="s">
        <v>43</v>
      </c>
      <c r="B515" s="1">
        <v>45922</v>
      </c>
      <c r="C515" s="1">
        <f t="shared" ref="C515:C578" si="24">EOMONTH(B515,0)</f>
        <v>45930</v>
      </c>
      <c r="D515">
        <v>86</v>
      </c>
      <c r="E515">
        <v>111</v>
      </c>
      <c r="F515">
        <v>8</v>
      </c>
      <c r="G515">
        <v>9</v>
      </c>
      <c r="H515">
        <v>7</v>
      </c>
      <c r="I515">
        <v>0</v>
      </c>
      <c r="J515">
        <v>0</v>
      </c>
      <c r="K515">
        <v>16</v>
      </c>
      <c r="L515" t="s">
        <v>43</v>
      </c>
      <c r="M515" t="s">
        <v>38</v>
      </c>
      <c r="N515" s="1">
        <v>45922</v>
      </c>
      <c r="O515" s="2">
        <v>0.5417939814814815</v>
      </c>
      <c r="P515" s="2">
        <v>0.91769675925925931</v>
      </c>
      <c r="Q515">
        <v>9.02</v>
      </c>
      <c r="R515">
        <v>9.0299999999999994</v>
      </c>
      <c r="S515">
        <v>4.6100000000000003</v>
      </c>
      <c r="T515">
        <v>0.26</v>
      </c>
      <c r="U515">
        <v>0</v>
      </c>
      <c r="V515">
        <v>0.64</v>
      </c>
      <c r="W515">
        <v>2.0699999999999998</v>
      </c>
      <c r="X515">
        <v>1.45</v>
      </c>
      <c r="Y515">
        <v>0</v>
      </c>
      <c r="Z515">
        <v>0</v>
      </c>
      <c r="AA515">
        <v>0</v>
      </c>
      <c r="AB515">
        <v>0</v>
      </c>
      <c r="AC515">
        <v>9.0299999999999994</v>
      </c>
      <c r="AD515">
        <v>51.05</v>
      </c>
      <c r="AE515">
        <v>2.93</v>
      </c>
      <c r="AF515">
        <v>0</v>
      </c>
      <c r="AG515">
        <v>7.08</v>
      </c>
      <c r="AH515">
        <v>22.89</v>
      </c>
      <c r="AI515">
        <v>16.02</v>
      </c>
      <c r="AJ515">
        <v>0</v>
      </c>
      <c r="AK515">
        <v>0</v>
      </c>
      <c r="AL515">
        <v>0</v>
      </c>
      <c r="AM515">
        <v>0.03</v>
      </c>
      <c r="AN515">
        <f t="shared" ref="AN515:AN578" si="25">WEEKDAY(B515,1)</f>
        <v>2</v>
      </c>
      <c r="AO515" t="str">
        <f t="shared" ref="AO515:AO578" si="26">VLOOKUP(AN515,$AY$2:$AZ$8,2,FALSE)</f>
        <v>Monday</v>
      </c>
    </row>
    <row r="516" spans="1:41" x14ac:dyDescent="0.2">
      <c r="B516" s="1">
        <v>45922</v>
      </c>
      <c r="C516" s="1">
        <f t="shared" si="24"/>
        <v>45930</v>
      </c>
      <c r="D516">
        <v>384</v>
      </c>
      <c r="E516">
        <v>0</v>
      </c>
      <c r="F516">
        <v>0</v>
      </c>
      <c r="G516">
        <v>0</v>
      </c>
      <c r="H516">
        <v>0</v>
      </c>
      <c r="I516">
        <v>0</v>
      </c>
      <c r="J516">
        <v>0</v>
      </c>
      <c r="K516">
        <v>0</v>
      </c>
      <c r="AN516">
        <f t="shared" si="25"/>
        <v>2</v>
      </c>
      <c r="AO516" t="str">
        <f t="shared" si="26"/>
        <v>Monday</v>
      </c>
    </row>
    <row r="517" spans="1:41" x14ac:dyDescent="0.2">
      <c r="A517" t="s">
        <v>37</v>
      </c>
      <c r="B517" s="1">
        <v>45919</v>
      </c>
      <c r="C517" s="1">
        <f t="shared" si="24"/>
        <v>45930</v>
      </c>
      <c r="D517">
        <v>21</v>
      </c>
      <c r="E517">
        <v>54</v>
      </c>
      <c r="F517">
        <v>5</v>
      </c>
      <c r="G517">
        <v>13</v>
      </c>
      <c r="H517">
        <v>8</v>
      </c>
      <c r="I517">
        <v>2</v>
      </c>
      <c r="J517">
        <v>2</v>
      </c>
      <c r="K517">
        <v>18</v>
      </c>
      <c r="L517" t="s">
        <v>37</v>
      </c>
      <c r="M517" t="s">
        <v>38</v>
      </c>
      <c r="N517" s="1">
        <v>45919</v>
      </c>
      <c r="O517" s="2">
        <v>0.5408680555555555</v>
      </c>
      <c r="P517" s="2">
        <v>0.91760416666666667</v>
      </c>
      <c r="Q517">
        <v>9.0500000000000007</v>
      </c>
      <c r="R517">
        <v>8.56</v>
      </c>
      <c r="S517">
        <v>2.4300000000000002</v>
      </c>
      <c r="T517">
        <v>0.11</v>
      </c>
      <c r="U517">
        <v>0</v>
      </c>
      <c r="V517">
        <v>0.31</v>
      </c>
      <c r="W517">
        <v>4.57</v>
      </c>
      <c r="X517">
        <v>0.78</v>
      </c>
      <c r="Y517">
        <v>0.33</v>
      </c>
      <c r="Z517">
        <v>0</v>
      </c>
      <c r="AA517">
        <v>0</v>
      </c>
      <c r="AB517">
        <v>0.04</v>
      </c>
      <c r="AC517">
        <v>8.56</v>
      </c>
      <c r="AD517">
        <v>28.38</v>
      </c>
      <c r="AE517">
        <v>1.27</v>
      </c>
      <c r="AF517">
        <v>0</v>
      </c>
      <c r="AG517">
        <v>3.58</v>
      </c>
      <c r="AH517">
        <v>53.37</v>
      </c>
      <c r="AI517">
        <v>9.1</v>
      </c>
      <c r="AJ517">
        <v>3.87</v>
      </c>
      <c r="AK517">
        <v>0</v>
      </c>
      <c r="AL517">
        <v>0</v>
      </c>
      <c r="AM517">
        <v>0.43</v>
      </c>
      <c r="AN517">
        <f t="shared" si="25"/>
        <v>6</v>
      </c>
      <c r="AO517" t="str">
        <f t="shared" si="26"/>
        <v>Friday</v>
      </c>
    </row>
    <row r="518" spans="1:41" x14ac:dyDescent="0.2">
      <c r="A518" t="s">
        <v>39</v>
      </c>
      <c r="B518" s="1">
        <v>45919</v>
      </c>
      <c r="C518" s="1">
        <f t="shared" si="24"/>
        <v>45930</v>
      </c>
      <c r="D518">
        <v>7</v>
      </c>
      <c r="E518">
        <v>19</v>
      </c>
      <c r="F518">
        <v>1</v>
      </c>
      <c r="G518">
        <v>0</v>
      </c>
      <c r="H518">
        <v>4</v>
      </c>
      <c r="I518">
        <v>0</v>
      </c>
      <c r="J518">
        <v>0</v>
      </c>
      <c r="K518">
        <v>10</v>
      </c>
      <c r="L518" t="s">
        <v>39</v>
      </c>
      <c r="M518" t="s">
        <v>38</v>
      </c>
      <c r="N518" s="1">
        <v>45919</v>
      </c>
      <c r="O518" s="2">
        <v>0.54223379629629631</v>
      </c>
      <c r="P518" s="2">
        <v>0.66678240740740746</v>
      </c>
      <c r="Q518">
        <v>3</v>
      </c>
      <c r="R518">
        <v>2.99</v>
      </c>
      <c r="S518">
        <v>0.47</v>
      </c>
      <c r="T518">
        <v>0.12</v>
      </c>
      <c r="U518">
        <v>0</v>
      </c>
      <c r="V518">
        <v>0.01</v>
      </c>
      <c r="W518">
        <v>2.16</v>
      </c>
      <c r="X518">
        <v>0.24</v>
      </c>
      <c r="Y518">
        <v>0</v>
      </c>
      <c r="Z518">
        <v>0</v>
      </c>
      <c r="AA518">
        <v>0</v>
      </c>
      <c r="AB518">
        <v>0</v>
      </c>
      <c r="AC518">
        <v>2.99</v>
      </c>
      <c r="AD518">
        <v>15.62</v>
      </c>
      <c r="AE518">
        <v>3.92</v>
      </c>
      <c r="AF518">
        <v>0</v>
      </c>
      <c r="AG518">
        <v>0.2</v>
      </c>
      <c r="AH518">
        <v>72.16</v>
      </c>
      <c r="AI518">
        <v>7.94</v>
      </c>
      <c r="AJ518">
        <v>0</v>
      </c>
      <c r="AK518">
        <v>0</v>
      </c>
      <c r="AL518">
        <v>0</v>
      </c>
      <c r="AM518">
        <v>0.16</v>
      </c>
      <c r="AN518">
        <f t="shared" si="25"/>
        <v>6</v>
      </c>
      <c r="AO518" t="str">
        <f t="shared" si="26"/>
        <v>Friday</v>
      </c>
    </row>
    <row r="519" spans="1:41" x14ac:dyDescent="0.2">
      <c r="A519" t="s">
        <v>40</v>
      </c>
      <c r="B519" s="1">
        <v>45919</v>
      </c>
      <c r="C519" s="1">
        <f t="shared" si="24"/>
        <v>45930</v>
      </c>
      <c r="D519">
        <v>19</v>
      </c>
      <c r="E519">
        <v>63</v>
      </c>
      <c r="F519">
        <v>3</v>
      </c>
      <c r="G519">
        <v>2</v>
      </c>
      <c r="H519">
        <v>2</v>
      </c>
      <c r="I519">
        <v>0</v>
      </c>
      <c r="J519">
        <v>0</v>
      </c>
      <c r="K519">
        <v>50</v>
      </c>
      <c r="L519" t="s">
        <v>40</v>
      </c>
      <c r="M519" t="s">
        <v>38</v>
      </c>
      <c r="N519" s="1">
        <v>45919</v>
      </c>
      <c r="O519" s="2">
        <v>0.54299768518518521</v>
      </c>
      <c r="P519" s="2">
        <v>0.91668981481481482</v>
      </c>
      <c r="Q519">
        <v>8.98</v>
      </c>
      <c r="R519">
        <v>8.92</v>
      </c>
      <c r="S519">
        <v>0.6</v>
      </c>
      <c r="T519">
        <v>0</v>
      </c>
      <c r="U519">
        <v>0</v>
      </c>
      <c r="V519">
        <v>0.17</v>
      </c>
      <c r="W519">
        <v>6.88</v>
      </c>
      <c r="X519">
        <v>1.26</v>
      </c>
      <c r="Y519">
        <v>0</v>
      </c>
      <c r="Z519">
        <v>0</v>
      </c>
      <c r="AA519">
        <v>0</v>
      </c>
      <c r="AB519">
        <v>0.01</v>
      </c>
      <c r="AC519">
        <v>8.92</v>
      </c>
      <c r="AD519">
        <v>6.78</v>
      </c>
      <c r="AE519">
        <v>0</v>
      </c>
      <c r="AF519">
        <v>0</v>
      </c>
      <c r="AG519">
        <v>1.9</v>
      </c>
      <c r="AH519">
        <v>77.12</v>
      </c>
      <c r="AI519">
        <v>14.13</v>
      </c>
      <c r="AJ519">
        <v>0</v>
      </c>
      <c r="AK519">
        <v>0</v>
      </c>
      <c r="AL519">
        <v>0</v>
      </c>
      <c r="AM519">
        <v>7.0000000000000007E-2</v>
      </c>
      <c r="AN519">
        <f t="shared" si="25"/>
        <v>6</v>
      </c>
      <c r="AO519" t="str">
        <f t="shared" si="26"/>
        <v>Friday</v>
      </c>
    </row>
    <row r="520" spans="1:41" x14ac:dyDescent="0.2">
      <c r="A520" t="s">
        <v>43</v>
      </c>
      <c r="B520" s="1">
        <v>45919</v>
      </c>
      <c r="C520" s="1">
        <f t="shared" si="24"/>
        <v>45930</v>
      </c>
      <c r="D520">
        <v>16</v>
      </c>
      <c r="E520">
        <v>40</v>
      </c>
      <c r="F520">
        <v>4</v>
      </c>
      <c r="G520">
        <v>2</v>
      </c>
      <c r="H520">
        <v>4</v>
      </c>
      <c r="I520">
        <v>0</v>
      </c>
      <c r="J520">
        <v>0</v>
      </c>
      <c r="K520">
        <v>20</v>
      </c>
      <c r="L520" t="s">
        <v>43</v>
      </c>
      <c r="M520" t="s">
        <v>38</v>
      </c>
      <c r="N520" s="1">
        <v>45919</v>
      </c>
      <c r="O520" s="2">
        <v>0.54212962962962963</v>
      </c>
      <c r="P520" s="2">
        <v>0.92041666666666666</v>
      </c>
      <c r="Q520">
        <v>9.08</v>
      </c>
      <c r="R520">
        <v>8.9700000000000006</v>
      </c>
      <c r="S520">
        <v>1.75</v>
      </c>
      <c r="T520">
        <v>0.23</v>
      </c>
      <c r="U520">
        <v>0</v>
      </c>
      <c r="V520">
        <v>0.32</v>
      </c>
      <c r="W520">
        <v>4.57</v>
      </c>
      <c r="X520">
        <v>1.89</v>
      </c>
      <c r="Y520">
        <v>0</v>
      </c>
      <c r="Z520">
        <v>0</v>
      </c>
      <c r="AA520">
        <v>0.09</v>
      </c>
      <c r="AB520">
        <v>0.12</v>
      </c>
      <c r="AC520">
        <v>8.9700000000000006</v>
      </c>
      <c r="AD520">
        <v>19.559999999999999</v>
      </c>
      <c r="AE520">
        <v>2.52</v>
      </c>
      <c r="AF520">
        <v>0</v>
      </c>
      <c r="AG520">
        <v>3.55</v>
      </c>
      <c r="AH520">
        <v>50.99</v>
      </c>
      <c r="AI520">
        <v>21.05</v>
      </c>
      <c r="AJ520">
        <v>0</v>
      </c>
      <c r="AK520">
        <v>0</v>
      </c>
      <c r="AL520">
        <v>1</v>
      </c>
      <c r="AM520">
        <v>1.33</v>
      </c>
      <c r="AN520">
        <f t="shared" si="25"/>
        <v>6</v>
      </c>
      <c r="AO520" t="str">
        <f t="shared" si="26"/>
        <v>Friday</v>
      </c>
    </row>
    <row r="521" spans="1:41" x14ac:dyDescent="0.2">
      <c r="B521" s="1">
        <v>45919</v>
      </c>
      <c r="C521" s="1">
        <f t="shared" si="24"/>
        <v>45930</v>
      </c>
      <c r="D521">
        <v>462</v>
      </c>
      <c r="E521">
        <v>0</v>
      </c>
      <c r="F521">
        <v>0</v>
      </c>
      <c r="G521">
        <v>0</v>
      </c>
      <c r="H521">
        <v>0</v>
      </c>
      <c r="I521">
        <v>0</v>
      </c>
      <c r="J521">
        <v>0</v>
      </c>
      <c r="K521">
        <v>0</v>
      </c>
      <c r="AN521">
        <f t="shared" si="25"/>
        <v>6</v>
      </c>
      <c r="AO521" t="str">
        <f t="shared" si="26"/>
        <v>Friday</v>
      </c>
    </row>
    <row r="522" spans="1:41" x14ac:dyDescent="0.2">
      <c r="A522" t="s">
        <v>37</v>
      </c>
      <c r="B522" s="1">
        <v>45918</v>
      </c>
      <c r="C522" s="1">
        <f t="shared" si="24"/>
        <v>45930</v>
      </c>
      <c r="D522">
        <v>18</v>
      </c>
      <c r="E522">
        <v>44</v>
      </c>
      <c r="F522">
        <v>10</v>
      </c>
      <c r="G522">
        <v>1</v>
      </c>
      <c r="H522">
        <v>5</v>
      </c>
      <c r="I522">
        <v>4</v>
      </c>
      <c r="J522">
        <v>0</v>
      </c>
      <c r="K522">
        <v>19</v>
      </c>
      <c r="L522" t="s">
        <v>37</v>
      </c>
      <c r="M522" t="s">
        <v>38</v>
      </c>
      <c r="N522" s="1">
        <v>45918</v>
      </c>
      <c r="O522" s="2">
        <v>0.5428587962962963</v>
      </c>
      <c r="P522" s="2">
        <v>0.91673611111111108</v>
      </c>
      <c r="Q522">
        <v>8.98</v>
      </c>
      <c r="R522">
        <v>8.0299999999999994</v>
      </c>
      <c r="S522">
        <v>2.0099999999999998</v>
      </c>
      <c r="T522">
        <v>1.1000000000000001</v>
      </c>
      <c r="U522">
        <v>0</v>
      </c>
      <c r="V522">
        <v>0.41</v>
      </c>
      <c r="W522">
        <v>3.66</v>
      </c>
      <c r="X522">
        <v>0.57999999999999996</v>
      </c>
      <c r="Y522">
        <v>0.27</v>
      </c>
      <c r="Z522">
        <v>0</v>
      </c>
      <c r="AA522">
        <v>0</v>
      </c>
      <c r="AB522">
        <v>0.01</v>
      </c>
      <c r="AC522">
        <v>8.0299999999999994</v>
      </c>
      <c r="AD522">
        <v>25.04</v>
      </c>
      <c r="AE522">
        <v>13.65</v>
      </c>
      <c r="AF522">
        <v>0</v>
      </c>
      <c r="AG522">
        <v>5.14</v>
      </c>
      <c r="AH522">
        <v>45.57</v>
      </c>
      <c r="AI522">
        <v>7.16</v>
      </c>
      <c r="AJ522">
        <v>3.32</v>
      </c>
      <c r="AK522">
        <v>0</v>
      </c>
      <c r="AL522">
        <v>0</v>
      </c>
      <c r="AM522">
        <v>0.12</v>
      </c>
      <c r="AN522">
        <f t="shared" si="25"/>
        <v>5</v>
      </c>
      <c r="AO522" t="str">
        <f t="shared" si="26"/>
        <v>Thursday</v>
      </c>
    </row>
    <row r="523" spans="1:41" x14ac:dyDescent="0.2">
      <c r="A523" t="s">
        <v>39</v>
      </c>
      <c r="B523" s="1">
        <v>45918</v>
      </c>
      <c r="C523" s="1">
        <f t="shared" si="24"/>
        <v>45930</v>
      </c>
      <c r="D523">
        <v>23</v>
      </c>
      <c r="E523">
        <v>55</v>
      </c>
      <c r="F523">
        <v>4</v>
      </c>
      <c r="G523">
        <v>1</v>
      </c>
      <c r="H523">
        <v>4</v>
      </c>
      <c r="I523">
        <v>1</v>
      </c>
      <c r="J523">
        <v>0</v>
      </c>
      <c r="K523">
        <v>36</v>
      </c>
      <c r="L523" t="s">
        <v>39</v>
      </c>
      <c r="M523" t="s">
        <v>38</v>
      </c>
      <c r="N523" s="1">
        <v>45918</v>
      </c>
      <c r="O523" s="2">
        <v>0.54167824074074078</v>
      </c>
      <c r="P523" s="2">
        <v>0.87498842592592596</v>
      </c>
      <c r="Q523">
        <v>7.98</v>
      </c>
      <c r="R523">
        <v>8</v>
      </c>
      <c r="S523">
        <v>1.02</v>
      </c>
      <c r="T523">
        <v>0.27</v>
      </c>
      <c r="U523">
        <v>0</v>
      </c>
      <c r="V523">
        <v>0.03</v>
      </c>
      <c r="W523">
        <v>4.5199999999999996</v>
      </c>
      <c r="X523">
        <v>1.5</v>
      </c>
      <c r="Y523">
        <v>0.66</v>
      </c>
      <c r="Z523">
        <v>0</v>
      </c>
      <c r="AA523">
        <v>0</v>
      </c>
      <c r="AB523">
        <v>0.01</v>
      </c>
      <c r="AC523">
        <v>8</v>
      </c>
      <c r="AD523">
        <v>12.76</v>
      </c>
      <c r="AE523">
        <v>3.39</v>
      </c>
      <c r="AF523">
        <v>0</v>
      </c>
      <c r="AG523">
        <v>0.35</v>
      </c>
      <c r="AH523">
        <v>56.47</v>
      </c>
      <c r="AI523">
        <v>18.739999999999998</v>
      </c>
      <c r="AJ523">
        <v>8.2100000000000009</v>
      </c>
      <c r="AK523">
        <v>0</v>
      </c>
      <c r="AL523">
        <v>0</v>
      </c>
      <c r="AM523">
        <v>0.09</v>
      </c>
      <c r="AN523">
        <f t="shared" si="25"/>
        <v>5</v>
      </c>
      <c r="AO523" t="str">
        <f t="shared" si="26"/>
        <v>Thursday</v>
      </c>
    </row>
    <row r="524" spans="1:41" x14ac:dyDescent="0.2">
      <c r="A524" t="s">
        <v>40</v>
      </c>
      <c r="B524" s="1">
        <v>45918</v>
      </c>
      <c r="C524" s="1">
        <f t="shared" si="24"/>
        <v>45930</v>
      </c>
      <c r="D524">
        <v>24</v>
      </c>
      <c r="E524">
        <v>47</v>
      </c>
      <c r="F524">
        <v>7</v>
      </c>
      <c r="G524">
        <v>2</v>
      </c>
      <c r="H524">
        <v>5</v>
      </c>
      <c r="I524">
        <v>0</v>
      </c>
      <c r="J524">
        <v>0</v>
      </c>
      <c r="K524">
        <v>21</v>
      </c>
      <c r="L524" t="s">
        <v>40</v>
      </c>
      <c r="M524" t="s">
        <v>38</v>
      </c>
      <c r="N524" s="1">
        <v>45918</v>
      </c>
      <c r="O524" s="2">
        <v>0.54331018518518515</v>
      </c>
      <c r="P524" s="2">
        <v>0.91668981481481482</v>
      </c>
      <c r="Q524">
        <v>8.9700000000000006</v>
      </c>
      <c r="R524">
        <v>8.9600000000000009</v>
      </c>
      <c r="S524">
        <v>1.47</v>
      </c>
      <c r="T524">
        <v>0.76</v>
      </c>
      <c r="U524">
        <v>0</v>
      </c>
      <c r="V524">
        <v>0.8</v>
      </c>
      <c r="W524">
        <v>3.59</v>
      </c>
      <c r="X524">
        <v>1.49</v>
      </c>
      <c r="Y524">
        <v>0.85</v>
      </c>
      <c r="Z524">
        <v>0</v>
      </c>
      <c r="AA524">
        <v>0</v>
      </c>
      <c r="AB524">
        <v>0</v>
      </c>
      <c r="AC524">
        <v>8.9600000000000009</v>
      </c>
      <c r="AD524">
        <v>16.440000000000001</v>
      </c>
      <c r="AE524">
        <v>8.49</v>
      </c>
      <c r="AF524">
        <v>0</v>
      </c>
      <c r="AG524">
        <v>8.89</v>
      </c>
      <c r="AH524">
        <v>40.04</v>
      </c>
      <c r="AI524">
        <v>16.64</v>
      </c>
      <c r="AJ524">
        <v>9.4499999999999993</v>
      </c>
      <c r="AK524">
        <v>0</v>
      </c>
      <c r="AL524">
        <v>0</v>
      </c>
      <c r="AM524">
        <v>0.04</v>
      </c>
      <c r="AN524">
        <f t="shared" si="25"/>
        <v>5</v>
      </c>
      <c r="AO524" t="str">
        <f t="shared" si="26"/>
        <v>Thursday</v>
      </c>
    </row>
    <row r="525" spans="1:41" x14ac:dyDescent="0.2">
      <c r="A525" t="s">
        <v>43</v>
      </c>
      <c r="B525" s="1">
        <v>45918</v>
      </c>
      <c r="C525" s="1">
        <f t="shared" si="24"/>
        <v>45930</v>
      </c>
      <c r="D525">
        <v>25</v>
      </c>
      <c r="E525">
        <v>54</v>
      </c>
      <c r="F525">
        <v>6</v>
      </c>
      <c r="G525">
        <v>0</v>
      </c>
      <c r="H525">
        <v>6</v>
      </c>
      <c r="I525">
        <v>0</v>
      </c>
      <c r="J525">
        <v>0</v>
      </c>
      <c r="K525">
        <v>28</v>
      </c>
      <c r="L525" t="s">
        <v>43</v>
      </c>
      <c r="M525" t="s">
        <v>38</v>
      </c>
      <c r="N525" s="1">
        <v>45918</v>
      </c>
      <c r="O525" s="2">
        <v>0.54498842592592589</v>
      </c>
      <c r="P525" s="2">
        <v>0.91754629629629625</v>
      </c>
      <c r="Q525">
        <v>8.9499999999999993</v>
      </c>
      <c r="R525">
        <v>8.94</v>
      </c>
      <c r="S525">
        <v>1.56</v>
      </c>
      <c r="T525">
        <v>0.2</v>
      </c>
      <c r="U525">
        <v>0</v>
      </c>
      <c r="V525">
        <v>0.64</v>
      </c>
      <c r="W525">
        <v>4.1399999999999997</v>
      </c>
      <c r="X525">
        <v>1.55</v>
      </c>
      <c r="Y525">
        <v>0.84</v>
      </c>
      <c r="Z525">
        <v>0</v>
      </c>
      <c r="AA525">
        <v>0</v>
      </c>
      <c r="AB525">
        <v>0.01</v>
      </c>
      <c r="AC525">
        <v>8.94</v>
      </c>
      <c r="AD525">
        <v>17.41</v>
      </c>
      <c r="AE525">
        <v>2.27</v>
      </c>
      <c r="AF525">
        <v>0</v>
      </c>
      <c r="AG525">
        <v>7.16</v>
      </c>
      <c r="AH525">
        <v>46.3</v>
      </c>
      <c r="AI525">
        <v>17.329999999999998</v>
      </c>
      <c r="AJ525">
        <v>9.39</v>
      </c>
      <c r="AK525">
        <v>0</v>
      </c>
      <c r="AL525">
        <v>0</v>
      </c>
      <c r="AM525">
        <v>0.15</v>
      </c>
      <c r="AN525">
        <f t="shared" si="25"/>
        <v>5</v>
      </c>
      <c r="AO525" t="str">
        <f t="shared" si="26"/>
        <v>Thursday</v>
      </c>
    </row>
    <row r="526" spans="1:41" x14ac:dyDescent="0.2">
      <c r="B526" s="1">
        <v>45918</v>
      </c>
      <c r="C526" s="1">
        <f t="shared" si="24"/>
        <v>45930</v>
      </c>
      <c r="D526">
        <v>461</v>
      </c>
      <c r="E526">
        <v>0</v>
      </c>
      <c r="F526">
        <v>0</v>
      </c>
      <c r="G526">
        <v>0</v>
      </c>
      <c r="H526">
        <v>0</v>
      </c>
      <c r="I526">
        <v>0</v>
      </c>
      <c r="J526">
        <v>0</v>
      </c>
      <c r="K526">
        <v>0</v>
      </c>
      <c r="AN526">
        <f t="shared" si="25"/>
        <v>5</v>
      </c>
      <c r="AO526" t="str">
        <f t="shared" si="26"/>
        <v>Thursday</v>
      </c>
    </row>
    <row r="527" spans="1:41" x14ac:dyDescent="0.2">
      <c r="A527" t="s">
        <v>37</v>
      </c>
      <c r="B527" s="1">
        <v>45917</v>
      </c>
      <c r="C527" s="1">
        <f t="shared" si="24"/>
        <v>45930</v>
      </c>
      <c r="D527">
        <v>17</v>
      </c>
      <c r="E527">
        <v>44</v>
      </c>
      <c r="F527">
        <v>6</v>
      </c>
      <c r="G527">
        <v>1</v>
      </c>
      <c r="H527">
        <v>2</v>
      </c>
      <c r="I527">
        <v>0</v>
      </c>
      <c r="J527">
        <v>0</v>
      </c>
      <c r="K527">
        <v>28</v>
      </c>
      <c r="L527" t="s">
        <v>37</v>
      </c>
      <c r="M527" t="s">
        <v>38</v>
      </c>
      <c r="N527" s="1">
        <v>45917</v>
      </c>
      <c r="O527" s="2">
        <v>0.54215277777777782</v>
      </c>
      <c r="P527" s="2">
        <v>0.91678240740740746</v>
      </c>
      <c r="Q527">
        <v>9</v>
      </c>
      <c r="R527">
        <v>8.02</v>
      </c>
      <c r="S527">
        <v>1.2</v>
      </c>
      <c r="T527">
        <v>0.14000000000000001</v>
      </c>
      <c r="U527">
        <v>0</v>
      </c>
      <c r="V527">
        <v>0.16</v>
      </c>
      <c r="W527">
        <v>5.74</v>
      </c>
      <c r="X527">
        <v>0.35</v>
      </c>
      <c r="Y527">
        <v>0.42</v>
      </c>
      <c r="Z527">
        <v>0</v>
      </c>
      <c r="AA527">
        <v>0</v>
      </c>
      <c r="AB527">
        <v>0.01</v>
      </c>
      <c r="AC527">
        <v>8.02</v>
      </c>
      <c r="AD527">
        <v>14.9</v>
      </c>
      <c r="AE527">
        <v>1.81</v>
      </c>
      <c r="AF527">
        <v>0</v>
      </c>
      <c r="AG527">
        <v>1.98</v>
      </c>
      <c r="AH527">
        <v>71.540000000000006</v>
      </c>
      <c r="AI527">
        <v>4.3600000000000003</v>
      </c>
      <c r="AJ527">
        <v>5.28</v>
      </c>
      <c r="AK527">
        <v>0</v>
      </c>
      <c r="AL527">
        <v>0</v>
      </c>
      <c r="AM527">
        <v>0.13</v>
      </c>
      <c r="AN527">
        <f t="shared" si="25"/>
        <v>4</v>
      </c>
      <c r="AO527" t="str">
        <f t="shared" si="26"/>
        <v>Wednesday</v>
      </c>
    </row>
    <row r="528" spans="1:41" x14ac:dyDescent="0.2">
      <c r="A528" t="s">
        <v>39</v>
      </c>
      <c r="B528" s="1">
        <v>45917</v>
      </c>
      <c r="C528" s="1">
        <f t="shared" si="24"/>
        <v>45930</v>
      </c>
      <c r="D528">
        <v>22</v>
      </c>
      <c r="E528">
        <v>70</v>
      </c>
      <c r="F528">
        <v>19</v>
      </c>
      <c r="G528">
        <v>6</v>
      </c>
      <c r="H528">
        <v>15</v>
      </c>
      <c r="I528">
        <v>1</v>
      </c>
      <c r="J528">
        <v>0</v>
      </c>
      <c r="K528">
        <v>24</v>
      </c>
      <c r="L528" t="s">
        <v>39</v>
      </c>
      <c r="M528" t="s">
        <v>38</v>
      </c>
      <c r="N528" s="1">
        <v>45917</v>
      </c>
      <c r="O528" s="2">
        <v>0.54219907407407408</v>
      </c>
      <c r="P528" s="2">
        <v>0.91670138888888886</v>
      </c>
      <c r="Q528">
        <v>9</v>
      </c>
      <c r="R528">
        <v>8.99</v>
      </c>
      <c r="S528">
        <v>1.41</v>
      </c>
      <c r="T528">
        <v>0.14000000000000001</v>
      </c>
      <c r="U528">
        <v>0</v>
      </c>
      <c r="V528">
        <v>0.03</v>
      </c>
      <c r="W528">
        <v>5.51</v>
      </c>
      <c r="X528">
        <v>1.47</v>
      </c>
      <c r="Y528">
        <v>0.43</v>
      </c>
      <c r="Z528">
        <v>0</v>
      </c>
      <c r="AA528">
        <v>0</v>
      </c>
      <c r="AB528">
        <v>0</v>
      </c>
      <c r="AC528">
        <v>8.99</v>
      </c>
      <c r="AD528">
        <v>15.67</v>
      </c>
      <c r="AE528">
        <v>1.58</v>
      </c>
      <c r="AF528">
        <v>0</v>
      </c>
      <c r="AG528">
        <v>0.28999999999999998</v>
      </c>
      <c r="AH528">
        <v>61.29</v>
      </c>
      <c r="AI528">
        <v>16.309999999999999</v>
      </c>
      <c r="AJ528">
        <v>4.8099999999999996</v>
      </c>
      <c r="AK528">
        <v>0</v>
      </c>
      <c r="AL528">
        <v>0</v>
      </c>
      <c r="AM528">
        <v>0.04</v>
      </c>
      <c r="AN528">
        <f t="shared" si="25"/>
        <v>4</v>
      </c>
      <c r="AO528" t="str">
        <f t="shared" si="26"/>
        <v>Wednesday</v>
      </c>
    </row>
    <row r="529" spans="1:41" x14ac:dyDescent="0.2">
      <c r="A529" t="s">
        <v>40</v>
      </c>
      <c r="B529" s="1">
        <v>45917</v>
      </c>
      <c r="C529" s="1">
        <f t="shared" si="24"/>
        <v>45930</v>
      </c>
      <c r="D529">
        <v>17</v>
      </c>
      <c r="E529">
        <v>43</v>
      </c>
      <c r="F529">
        <v>1</v>
      </c>
      <c r="G529">
        <v>0</v>
      </c>
      <c r="H529">
        <v>4</v>
      </c>
      <c r="I529">
        <v>0</v>
      </c>
      <c r="J529">
        <v>0</v>
      </c>
      <c r="K529">
        <v>31</v>
      </c>
      <c r="L529" t="s">
        <v>40</v>
      </c>
      <c r="M529" t="s">
        <v>38</v>
      </c>
      <c r="N529" s="1">
        <v>45917</v>
      </c>
      <c r="O529" s="2">
        <v>0.54379629629629633</v>
      </c>
      <c r="P529" s="2">
        <v>0.91668981481481482</v>
      </c>
      <c r="Q529">
        <v>8.9499999999999993</v>
      </c>
      <c r="R529">
        <v>8.9499999999999993</v>
      </c>
      <c r="S529">
        <v>1.65</v>
      </c>
      <c r="T529">
        <v>0.45</v>
      </c>
      <c r="U529">
        <v>0</v>
      </c>
      <c r="V529">
        <v>0.64</v>
      </c>
      <c r="W529">
        <v>4.57</v>
      </c>
      <c r="X529">
        <v>1.1299999999999999</v>
      </c>
      <c r="Y529">
        <v>0.47</v>
      </c>
      <c r="Z529">
        <v>0.03</v>
      </c>
      <c r="AA529">
        <v>0</v>
      </c>
      <c r="AB529">
        <v>0</v>
      </c>
      <c r="AC529">
        <v>8.9499999999999993</v>
      </c>
      <c r="AD529">
        <v>18.48</v>
      </c>
      <c r="AE529">
        <v>4.97</v>
      </c>
      <c r="AF529">
        <v>0</v>
      </c>
      <c r="AG529">
        <v>7.2</v>
      </c>
      <c r="AH529">
        <v>51</v>
      </c>
      <c r="AI529">
        <v>12.64</v>
      </c>
      <c r="AJ529">
        <v>5.3</v>
      </c>
      <c r="AK529">
        <v>0.37</v>
      </c>
      <c r="AL529">
        <v>0</v>
      </c>
      <c r="AM529">
        <v>0.03</v>
      </c>
      <c r="AN529">
        <f t="shared" si="25"/>
        <v>4</v>
      </c>
      <c r="AO529" t="str">
        <f t="shared" si="26"/>
        <v>Wednesday</v>
      </c>
    </row>
    <row r="530" spans="1:41" x14ac:dyDescent="0.2">
      <c r="A530" t="s">
        <v>41</v>
      </c>
      <c r="B530" s="1">
        <v>45917</v>
      </c>
      <c r="C530" s="1">
        <f t="shared" si="24"/>
        <v>45930</v>
      </c>
      <c r="D530">
        <v>18</v>
      </c>
      <c r="E530">
        <v>50</v>
      </c>
      <c r="F530">
        <v>8</v>
      </c>
      <c r="G530">
        <v>3</v>
      </c>
      <c r="H530">
        <v>6</v>
      </c>
      <c r="I530">
        <v>1</v>
      </c>
      <c r="J530">
        <v>0</v>
      </c>
      <c r="K530">
        <v>21</v>
      </c>
      <c r="L530" t="s">
        <v>41</v>
      </c>
      <c r="M530" t="s">
        <v>38</v>
      </c>
      <c r="N530" s="1">
        <v>45917</v>
      </c>
      <c r="O530" s="2">
        <v>0.54248842592592594</v>
      </c>
      <c r="P530" s="2">
        <v>0.81120370370370365</v>
      </c>
      <c r="Q530">
        <v>6.45</v>
      </c>
      <c r="R530">
        <v>6.45</v>
      </c>
      <c r="S530">
        <v>1.03</v>
      </c>
      <c r="T530">
        <v>0.47</v>
      </c>
      <c r="U530">
        <v>0</v>
      </c>
      <c r="V530">
        <v>0.22</v>
      </c>
      <c r="W530">
        <v>3.29</v>
      </c>
      <c r="X530">
        <v>1.45</v>
      </c>
      <c r="Y530">
        <v>0</v>
      </c>
      <c r="Z530">
        <v>0</v>
      </c>
      <c r="AA530">
        <v>0</v>
      </c>
      <c r="AB530">
        <v>0</v>
      </c>
      <c r="AC530">
        <v>6.45</v>
      </c>
      <c r="AD530">
        <v>15.93</v>
      </c>
      <c r="AE530">
        <v>7.25</v>
      </c>
      <c r="AF530">
        <v>0</v>
      </c>
      <c r="AG530">
        <v>3.35</v>
      </c>
      <c r="AH530">
        <v>50.97</v>
      </c>
      <c r="AI530">
        <v>22.45</v>
      </c>
      <c r="AJ530">
        <v>0</v>
      </c>
      <c r="AK530">
        <v>0</v>
      </c>
      <c r="AL530">
        <v>0</v>
      </c>
      <c r="AM530">
        <v>0.05</v>
      </c>
      <c r="AN530">
        <f t="shared" si="25"/>
        <v>4</v>
      </c>
      <c r="AO530" t="str">
        <f t="shared" si="26"/>
        <v>Wednesday</v>
      </c>
    </row>
    <row r="531" spans="1:41" x14ac:dyDescent="0.2">
      <c r="A531" t="s">
        <v>43</v>
      </c>
      <c r="B531" s="1">
        <v>45917</v>
      </c>
      <c r="C531" s="1">
        <f t="shared" si="24"/>
        <v>45930</v>
      </c>
      <c r="D531">
        <v>24</v>
      </c>
      <c r="E531">
        <v>58</v>
      </c>
      <c r="F531">
        <v>7</v>
      </c>
      <c r="G531">
        <v>5</v>
      </c>
      <c r="H531">
        <v>17</v>
      </c>
      <c r="I531">
        <v>1</v>
      </c>
      <c r="J531">
        <v>0</v>
      </c>
      <c r="K531">
        <v>18</v>
      </c>
      <c r="L531" t="s">
        <v>43</v>
      </c>
      <c r="M531" t="s">
        <v>38</v>
      </c>
      <c r="N531" s="1">
        <v>45917</v>
      </c>
      <c r="O531" s="2">
        <v>0.5423958333333333</v>
      </c>
      <c r="P531" s="2">
        <v>0.91925925925925922</v>
      </c>
      <c r="Q531">
        <v>9.0299999999999994</v>
      </c>
      <c r="R531">
        <v>9.0399999999999991</v>
      </c>
      <c r="S531">
        <v>3.25</v>
      </c>
      <c r="T531">
        <v>0.09</v>
      </c>
      <c r="U531">
        <v>0</v>
      </c>
      <c r="V531">
        <v>0.52</v>
      </c>
      <c r="W531">
        <v>3.73</v>
      </c>
      <c r="X531">
        <v>1.44</v>
      </c>
      <c r="Y531">
        <v>0</v>
      </c>
      <c r="Z531">
        <v>0</v>
      </c>
      <c r="AA531">
        <v>0</v>
      </c>
      <c r="AB531">
        <v>0.01</v>
      </c>
      <c r="AC531">
        <v>9.0399999999999991</v>
      </c>
      <c r="AD531">
        <v>35.979999999999997</v>
      </c>
      <c r="AE531">
        <v>1.04</v>
      </c>
      <c r="AF531">
        <v>0</v>
      </c>
      <c r="AG531">
        <v>5.71</v>
      </c>
      <c r="AH531">
        <v>41.23</v>
      </c>
      <c r="AI531">
        <v>15.89</v>
      </c>
      <c r="AJ531">
        <v>0</v>
      </c>
      <c r="AK531">
        <v>0</v>
      </c>
      <c r="AL531">
        <v>0</v>
      </c>
      <c r="AM531">
        <v>0.14000000000000001</v>
      </c>
      <c r="AN531">
        <f t="shared" si="25"/>
        <v>4</v>
      </c>
      <c r="AO531" t="str">
        <f t="shared" si="26"/>
        <v>Wednesday</v>
      </c>
    </row>
    <row r="532" spans="1:41" x14ac:dyDescent="0.2">
      <c r="B532" s="1">
        <v>45917</v>
      </c>
      <c r="C532" s="1">
        <f t="shared" si="24"/>
        <v>45930</v>
      </c>
      <c r="D532">
        <v>478</v>
      </c>
      <c r="E532">
        <v>0</v>
      </c>
      <c r="F532">
        <v>0</v>
      </c>
      <c r="G532">
        <v>0</v>
      </c>
      <c r="H532">
        <v>0</v>
      </c>
      <c r="I532">
        <v>0</v>
      </c>
      <c r="J532">
        <v>0</v>
      </c>
      <c r="K532">
        <v>0</v>
      </c>
      <c r="AN532">
        <f t="shared" si="25"/>
        <v>4</v>
      </c>
      <c r="AO532" t="str">
        <f t="shared" si="26"/>
        <v>Wednesday</v>
      </c>
    </row>
    <row r="533" spans="1:41" x14ac:dyDescent="0.2">
      <c r="A533" t="s">
        <v>37</v>
      </c>
      <c r="B533" s="1">
        <v>45916</v>
      </c>
      <c r="C533" s="1">
        <f t="shared" si="24"/>
        <v>45930</v>
      </c>
      <c r="D533">
        <v>22</v>
      </c>
      <c r="E533">
        <v>43</v>
      </c>
      <c r="F533">
        <v>2</v>
      </c>
      <c r="G533">
        <v>9</v>
      </c>
      <c r="H533">
        <v>2</v>
      </c>
      <c r="I533">
        <v>0</v>
      </c>
      <c r="J533">
        <v>0</v>
      </c>
      <c r="K533">
        <v>25</v>
      </c>
      <c r="L533" t="s">
        <v>37</v>
      </c>
      <c r="M533" t="s">
        <v>38</v>
      </c>
      <c r="N533" s="1">
        <v>45916</v>
      </c>
      <c r="O533" s="2">
        <v>0.54203703703703698</v>
      </c>
      <c r="P533" s="2">
        <v>0.91677083333333331</v>
      </c>
      <c r="Q533">
        <v>9</v>
      </c>
      <c r="R533">
        <v>8.07</v>
      </c>
      <c r="S533">
        <v>2.12</v>
      </c>
      <c r="T533">
        <v>0.4</v>
      </c>
      <c r="U533">
        <v>0</v>
      </c>
      <c r="V533">
        <v>0.32</v>
      </c>
      <c r="W533">
        <v>4.63</v>
      </c>
      <c r="X533">
        <v>0.6</v>
      </c>
      <c r="Y533">
        <v>0</v>
      </c>
      <c r="Z533">
        <v>0</v>
      </c>
      <c r="AA533">
        <v>0</v>
      </c>
      <c r="AB533">
        <v>0.01</v>
      </c>
      <c r="AC533">
        <v>8.07</v>
      </c>
      <c r="AD533">
        <v>26.22</v>
      </c>
      <c r="AE533">
        <v>4.9400000000000004</v>
      </c>
      <c r="AF533">
        <v>0</v>
      </c>
      <c r="AG533">
        <v>3.94</v>
      </c>
      <c r="AH533">
        <v>57.29</v>
      </c>
      <c r="AI533">
        <v>7.46</v>
      </c>
      <c r="AJ533">
        <v>0</v>
      </c>
      <c r="AK533">
        <v>0</v>
      </c>
      <c r="AL533">
        <v>0</v>
      </c>
      <c r="AM533">
        <v>0.15</v>
      </c>
      <c r="AN533">
        <f t="shared" si="25"/>
        <v>3</v>
      </c>
      <c r="AO533" t="str">
        <f t="shared" si="26"/>
        <v>Tuesday</v>
      </c>
    </row>
    <row r="534" spans="1:41" x14ac:dyDescent="0.2">
      <c r="A534" t="s">
        <v>39</v>
      </c>
      <c r="B534" s="1">
        <v>45916</v>
      </c>
      <c r="C534" s="1">
        <f t="shared" si="24"/>
        <v>45930</v>
      </c>
      <c r="D534">
        <v>23</v>
      </c>
      <c r="E534">
        <v>57</v>
      </c>
      <c r="F534">
        <v>5</v>
      </c>
      <c r="G534">
        <v>0</v>
      </c>
      <c r="H534">
        <v>5</v>
      </c>
      <c r="I534">
        <v>1</v>
      </c>
      <c r="J534">
        <v>0</v>
      </c>
      <c r="K534">
        <v>36</v>
      </c>
      <c r="L534" t="s">
        <v>39</v>
      </c>
      <c r="M534" t="s">
        <v>38</v>
      </c>
      <c r="N534" s="1">
        <v>45916</v>
      </c>
      <c r="O534" s="2">
        <v>0.54240740740740745</v>
      </c>
      <c r="P534" s="2">
        <v>0.91913194444444446</v>
      </c>
      <c r="Q534">
        <v>9.0299999999999994</v>
      </c>
      <c r="R534">
        <v>9.0399999999999991</v>
      </c>
      <c r="S534">
        <v>1.5</v>
      </c>
      <c r="T534">
        <v>0.18</v>
      </c>
      <c r="U534">
        <v>0</v>
      </c>
      <c r="V534">
        <v>0.02</v>
      </c>
      <c r="W534">
        <v>5.93</v>
      </c>
      <c r="X534">
        <v>1.42</v>
      </c>
      <c r="Y534">
        <v>0</v>
      </c>
      <c r="Z534">
        <v>0</v>
      </c>
      <c r="AA534">
        <v>0</v>
      </c>
      <c r="AB534">
        <v>0</v>
      </c>
      <c r="AC534">
        <v>9.0399999999999991</v>
      </c>
      <c r="AD534">
        <v>16.59</v>
      </c>
      <c r="AE534">
        <v>1.96</v>
      </c>
      <c r="AF534">
        <v>0</v>
      </c>
      <c r="AG534">
        <v>0.17</v>
      </c>
      <c r="AH534">
        <v>65.55</v>
      </c>
      <c r="AI534">
        <v>15.68</v>
      </c>
      <c r="AJ534">
        <v>0</v>
      </c>
      <c r="AK534">
        <v>0</v>
      </c>
      <c r="AL534">
        <v>0</v>
      </c>
      <c r="AM534">
        <v>0.05</v>
      </c>
      <c r="AN534">
        <f t="shared" si="25"/>
        <v>3</v>
      </c>
      <c r="AO534" t="str">
        <f t="shared" si="26"/>
        <v>Tuesday</v>
      </c>
    </row>
    <row r="535" spans="1:41" x14ac:dyDescent="0.2">
      <c r="A535" t="s">
        <v>41</v>
      </c>
      <c r="B535" s="1">
        <v>45916</v>
      </c>
      <c r="C535" s="1">
        <f t="shared" si="24"/>
        <v>45930</v>
      </c>
      <c r="D535">
        <v>40</v>
      </c>
      <c r="E535">
        <v>89</v>
      </c>
      <c r="F535">
        <v>6</v>
      </c>
      <c r="G535">
        <v>8</v>
      </c>
      <c r="H535">
        <v>6</v>
      </c>
      <c r="I535">
        <v>0</v>
      </c>
      <c r="J535">
        <v>1</v>
      </c>
      <c r="K535">
        <v>49</v>
      </c>
      <c r="L535" t="s">
        <v>41</v>
      </c>
      <c r="M535" t="s">
        <v>38</v>
      </c>
      <c r="N535" s="1">
        <v>45916</v>
      </c>
      <c r="O535" s="2">
        <v>0.54182870370370373</v>
      </c>
      <c r="P535" s="2">
        <v>0.91732638888888884</v>
      </c>
      <c r="Q535">
        <v>9</v>
      </c>
      <c r="R535">
        <v>9.01</v>
      </c>
      <c r="S535">
        <v>1.25</v>
      </c>
      <c r="T535">
        <v>0.27</v>
      </c>
      <c r="U535">
        <v>0</v>
      </c>
      <c r="V535">
        <v>0.36</v>
      </c>
      <c r="W535">
        <v>5.66</v>
      </c>
      <c r="X535">
        <v>1.47</v>
      </c>
      <c r="Y535">
        <v>0</v>
      </c>
      <c r="Z535">
        <v>0</v>
      </c>
      <c r="AA535">
        <v>0</v>
      </c>
      <c r="AB535">
        <v>0</v>
      </c>
      <c r="AC535">
        <v>9.01</v>
      </c>
      <c r="AD535">
        <v>13.87</v>
      </c>
      <c r="AE535">
        <v>2.99</v>
      </c>
      <c r="AF535">
        <v>0</v>
      </c>
      <c r="AG535">
        <v>3.98</v>
      </c>
      <c r="AH535">
        <v>62.77</v>
      </c>
      <c r="AI535">
        <v>16.329999999999998</v>
      </c>
      <c r="AJ535">
        <v>0</v>
      </c>
      <c r="AK535">
        <v>0</v>
      </c>
      <c r="AL535">
        <v>0</v>
      </c>
      <c r="AM535">
        <v>0.05</v>
      </c>
      <c r="AN535">
        <f t="shared" si="25"/>
        <v>3</v>
      </c>
      <c r="AO535" t="str">
        <f t="shared" si="26"/>
        <v>Tuesday</v>
      </c>
    </row>
    <row r="536" spans="1:41" x14ac:dyDescent="0.2">
      <c r="A536" t="s">
        <v>43</v>
      </c>
      <c r="B536" s="1">
        <v>45916</v>
      </c>
      <c r="C536" s="1">
        <f t="shared" si="24"/>
        <v>45930</v>
      </c>
      <c r="D536">
        <v>30</v>
      </c>
      <c r="E536">
        <v>78</v>
      </c>
      <c r="F536">
        <v>7</v>
      </c>
      <c r="G536">
        <v>3</v>
      </c>
      <c r="H536">
        <v>11</v>
      </c>
      <c r="I536">
        <v>0</v>
      </c>
      <c r="J536">
        <v>0</v>
      </c>
      <c r="K536">
        <v>43</v>
      </c>
      <c r="L536" t="s">
        <v>43</v>
      </c>
      <c r="M536" t="s">
        <v>38</v>
      </c>
      <c r="N536" s="1">
        <v>45916</v>
      </c>
      <c r="O536" s="2">
        <v>0.54216435185185186</v>
      </c>
      <c r="P536" s="2">
        <v>0.91843750000000002</v>
      </c>
      <c r="Q536">
        <v>9.0299999999999994</v>
      </c>
      <c r="R536">
        <v>9.0299999999999994</v>
      </c>
      <c r="S536">
        <v>2.68</v>
      </c>
      <c r="T536">
        <v>0.06</v>
      </c>
      <c r="U536">
        <v>0</v>
      </c>
      <c r="V536">
        <v>0.71</v>
      </c>
      <c r="W536">
        <v>4.1100000000000003</v>
      </c>
      <c r="X536">
        <v>1.42</v>
      </c>
      <c r="Y536">
        <v>0</v>
      </c>
      <c r="Z536">
        <v>0</v>
      </c>
      <c r="AA536">
        <v>0.02</v>
      </c>
      <c r="AB536">
        <v>0.01</v>
      </c>
      <c r="AC536">
        <v>9.0299999999999994</v>
      </c>
      <c r="AD536">
        <v>29.73</v>
      </c>
      <c r="AE536">
        <v>0.7</v>
      </c>
      <c r="AF536">
        <v>0</v>
      </c>
      <c r="AG536">
        <v>7.88</v>
      </c>
      <c r="AH536">
        <v>45.53</v>
      </c>
      <c r="AI536">
        <v>15.77</v>
      </c>
      <c r="AJ536">
        <v>0</v>
      </c>
      <c r="AK536">
        <v>0</v>
      </c>
      <c r="AL536">
        <v>0.24</v>
      </c>
      <c r="AM536">
        <v>0.14000000000000001</v>
      </c>
      <c r="AN536">
        <f t="shared" si="25"/>
        <v>3</v>
      </c>
      <c r="AO536" t="str">
        <f t="shared" si="26"/>
        <v>Tuesday</v>
      </c>
    </row>
    <row r="537" spans="1:41" x14ac:dyDescent="0.2">
      <c r="B537" s="1">
        <v>45916</v>
      </c>
      <c r="C537" s="1">
        <f t="shared" si="24"/>
        <v>45930</v>
      </c>
      <c r="D537">
        <v>487</v>
      </c>
      <c r="E537">
        <v>0</v>
      </c>
      <c r="F537">
        <v>0</v>
      </c>
      <c r="G537">
        <v>0</v>
      </c>
      <c r="H537">
        <v>0</v>
      </c>
      <c r="I537">
        <v>0</v>
      </c>
      <c r="J537">
        <v>0</v>
      </c>
      <c r="K537">
        <v>0</v>
      </c>
      <c r="AN537">
        <f t="shared" si="25"/>
        <v>3</v>
      </c>
      <c r="AO537" t="str">
        <f t="shared" si="26"/>
        <v>Tuesday</v>
      </c>
    </row>
    <row r="538" spans="1:41" x14ac:dyDescent="0.2">
      <c r="A538" t="s">
        <v>37</v>
      </c>
      <c r="B538" s="1">
        <v>45915</v>
      </c>
      <c r="C538" s="1">
        <f t="shared" si="24"/>
        <v>45930</v>
      </c>
      <c r="D538">
        <v>21</v>
      </c>
      <c r="E538">
        <v>53</v>
      </c>
      <c r="F538">
        <v>2</v>
      </c>
      <c r="G538">
        <v>5</v>
      </c>
      <c r="H538">
        <v>1</v>
      </c>
      <c r="I538">
        <v>1</v>
      </c>
      <c r="J538">
        <v>0</v>
      </c>
      <c r="K538">
        <v>34</v>
      </c>
      <c r="L538" t="s">
        <v>37</v>
      </c>
      <c r="M538" t="s">
        <v>38</v>
      </c>
      <c r="N538" s="1">
        <v>45915</v>
      </c>
      <c r="O538" s="2">
        <v>0.54208333333333336</v>
      </c>
      <c r="P538" s="2">
        <v>0.91693287037037041</v>
      </c>
      <c r="Q538">
        <v>9</v>
      </c>
      <c r="R538">
        <v>7.9</v>
      </c>
      <c r="S538">
        <v>1.1100000000000001</v>
      </c>
      <c r="T538">
        <v>0.06</v>
      </c>
      <c r="U538">
        <v>0</v>
      </c>
      <c r="V538">
        <v>0.2</v>
      </c>
      <c r="W538">
        <v>6.13</v>
      </c>
      <c r="X538">
        <v>0.39</v>
      </c>
      <c r="Y538">
        <v>0</v>
      </c>
      <c r="Z538">
        <v>0</v>
      </c>
      <c r="AA538">
        <v>0</v>
      </c>
      <c r="AB538">
        <v>0.01</v>
      </c>
      <c r="AC538">
        <v>7.9</v>
      </c>
      <c r="AD538">
        <v>14.03</v>
      </c>
      <c r="AE538">
        <v>0.72</v>
      </c>
      <c r="AF538">
        <v>0</v>
      </c>
      <c r="AG538">
        <v>2.54</v>
      </c>
      <c r="AH538">
        <v>77.62</v>
      </c>
      <c r="AI538">
        <v>4.92</v>
      </c>
      <c r="AJ538">
        <v>0</v>
      </c>
      <c r="AK538">
        <v>0</v>
      </c>
      <c r="AL538">
        <v>0</v>
      </c>
      <c r="AM538">
        <v>0.18</v>
      </c>
      <c r="AN538">
        <f t="shared" si="25"/>
        <v>2</v>
      </c>
      <c r="AO538" t="str">
        <f t="shared" si="26"/>
        <v>Monday</v>
      </c>
    </row>
    <row r="539" spans="1:41" x14ac:dyDescent="0.2">
      <c r="A539" t="s">
        <v>39</v>
      </c>
      <c r="B539" s="1">
        <v>45915</v>
      </c>
      <c r="C539" s="1">
        <f t="shared" si="24"/>
        <v>45930</v>
      </c>
      <c r="D539">
        <v>31</v>
      </c>
      <c r="E539">
        <v>59</v>
      </c>
      <c r="F539">
        <v>7</v>
      </c>
      <c r="G539">
        <v>1</v>
      </c>
      <c r="H539">
        <v>3</v>
      </c>
      <c r="I539">
        <v>0</v>
      </c>
      <c r="J539">
        <v>0</v>
      </c>
      <c r="K539">
        <v>34</v>
      </c>
      <c r="L539" t="s">
        <v>39</v>
      </c>
      <c r="M539" t="s">
        <v>38</v>
      </c>
      <c r="N539" s="1">
        <v>45915</v>
      </c>
      <c r="O539" s="2">
        <v>0.54152777777777783</v>
      </c>
      <c r="P539" s="2">
        <v>0.91673611111111108</v>
      </c>
      <c r="Q539">
        <v>9.02</v>
      </c>
      <c r="R539">
        <v>9</v>
      </c>
      <c r="S539">
        <v>0.88</v>
      </c>
      <c r="T539">
        <v>0.06</v>
      </c>
      <c r="U539">
        <v>0</v>
      </c>
      <c r="V539">
        <v>0.05</v>
      </c>
      <c r="W539">
        <v>6.6</v>
      </c>
      <c r="X539">
        <v>1.42</v>
      </c>
      <c r="Y539">
        <v>0</v>
      </c>
      <c r="Z539">
        <v>0</v>
      </c>
      <c r="AA539">
        <v>0</v>
      </c>
      <c r="AB539">
        <v>0</v>
      </c>
      <c r="AC539">
        <v>9</v>
      </c>
      <c r="AD539">
        <v>9.77</v>
      </c>
      <c r="AE539">
        <v>0.61</v>
      </c>
      <c r="AF539">
        <v>0</v>
      </c>
      <c r="AG539">
        <v>0.54</v>
      </c>
      <c r="AH539">
        <v>73.27</v>
      </c>
      <c r="AI539">
        <v>15.77</v>
      </c>
      <c r="AJ539">
        <v>0</v>
      </c>
      <c r="AK539">
        <v>0</v>
      </c>
      <c r="AL539">
        <v>0</v>
      </c>
      <c r="AM539">
        <v>0.05</v>
      </c>
      <c r="AN539">
        <f t="shared" si="25"/>
        <v>2</v>
      </c>
      <c r="AO539" t="str">
        <f t="shared" si="26"/>
        <v>Monday</v>
      </c>
    </row>
    <row r="540" spans="1:41" x14ac:dyDescent="0.2">
      <c r="A540" t="s">
        <v>40</v>
      </c>
      <c r="B540" s="1">
        <v>45915</v>
      </c>
      <c r="C540" s="1">
        <f t="shared" si="24"/>
        <v>45930</v>
      </c>
      <c r="D540">
        <v>11</v>
      </c>
      <c r="E540">
        <v>25</v>
      </c>
      <c r="F540">
        <v>4</v>
      </c>
      <c r="G540">
        <v>2</v>
      </c>
      <c r="H540">
        <v>5</v>
      </c>
      <c r="I540">
        <v>0</v>
      </c>
      <c r="J540">
        <v>0</v>
      </c>
      <c r="K540">
        <v>12</v>
      </c>
      <c r="L540" t="s">
        <v>40</v>
      </c>
      <c r="M540" t="s">
        <v>38</v>
      </c>
      <c r="N540" s="1">
        <v>45915</v>
      </c>
      <c r="O540" s="2">
        <v>0.54260416666666667</v>
      </c>
      <c r="P540" s="2">
        <v>0.91673611111111108</v>
      </c>
      <c r="Q540">
        <v>8.98</v>
      </c>
      <c r="R540">
        <v>8.93</v>
      </c>
      <c r="S540">
        <v>0.55000000000000004</v>
      </c>
      <c r="T540">
        <v>0.16</v>
      </c>
      <c r="U540">
        <v>0</v>
      </c>
      <c r="V540">
        <v>0.21</v>
      </c>
      <c r="W540">
        <v>5.81</v>
      </c>
      <c r="X540">
        <v>1.5</v>
      </c>
      <c r="Y540">
        <v>0.56000000000000005</v>
      </c>
      <c r="Z540">
        <v>0</v>
      </c>
      <c r="AA540">
        <v>0</v>
      </c>
      <c r="AB540">
        <v>0.15</v>
      </c>
      <c r="AC540">
        <v>8.93</v>
      </c>
      <c r="AD540">
        <v>6.1</v>
      </c>
      <c r="AE540">
        <v>1.74</v>
      </c>
      <c r="AF540">
        <v>0</v>
      </c>
      <c r="AG540">
        <v>2.39</v>
      </c>
      <c r="AH540">
        <v>65.05</v>
      </c>
      <c r="AI540">
        <v>16.78</v>
      </c>
      <c r="AJ540">
        <v>6.32</v>
      </c>
      <c r="AK540">
        <v>0</v>
      </c>
      <c r="AL540">
        <v>0</v>
      </c>
      <c r="AM540">
        <v>1.63</v>
      </c>
      <c r="AN540">
        <f t="shared" si="25"/>
        <v>2</v>
      </c>
      <c r="AO540" t="str">
        <f t="shared" si="26"/>
        <v>Monday</v>
      </c>
    </row>
    <row r="541" spans="1:41" x14ac:dyDescent="0.2">
      <c r="A541" t="s">
        <v>41</v>
      </c>
      <c r="B541" s="1">
        <v>45915</v>
      </c>
      <c r="C541" s="1">
        <f t="shared" si="24"/>
        <v>45930</v>
      </c>
      <c r="D541">
        <v>32</v>
      </c>
      <c r="E541">
        <v>72</v>
      </c>
      <c r="F541">
        <v>7</v>
      </c>
      <c r="G541">
        <v>6</v>
      </c>
      <c r="H541">
        <v>6</v>
      </c>
      <c r="I541">
        <v>0</v>
      </c>
      <c r="J541">
        <v>1</v>
      </c>
      <c r="K541">
        <v>40</v>
      </c>
      <c r="L541" t="s">
        <v>41</v>
      </c>
      <c r="M541" t="s">
        <v>38</v>
      </c>
      <c r="N541" s="1">
        <v>45915</v>
      </c>
      <c r="O541" s="2">
        <v>0.54182870370370373</v>
      </c>
      <c r="P541" s="2">
        <v>0.91681712962962958</v>
      </c>
      <c r="Q541">
        <v>9</v>
      </c>
      <c r="R541">
        <v>9</v>
      </c>
      <c r="S541">
        <v>1.1599999999999999</v>
      </c>
      <c r="T541">
        <v>0.49</v>
      </c>
      <c r="U541">
        <v>0</v>
      </c>
      <c r="V541">
        <v>0.36</v>
      </c>
      <c r="W541">
        <v>5.52</v>
      </c>
      <c r="X541">
        <v>1.46</v>
      </c>
      <c r="Y541">
        <v>0</v>
      </c>
      <c r="Z541">
        <v>0</v>
      </c>
      <c r="AA541">
        <v>0</v>
      </c>
      <c r="AB541">
        <v>0</v>
      </c>
      <c r="AC541">
        <v>9</v>
      </c>
      <c r="AD541">
        <v>12.88</v>
      </c>
      <c r="AE541">
        <v>5.49</v>
      </c>
      <c r="AF541">
        <v>0</v>
      </c>
      <c r="AG541">
        <v>4.04</v>
      </c>
      <c r="AH541">
        <v>61.28</v>
      </c>
      <c r="AI541">
        <v>16.260000000000002</v>
      </c>
      <c r="AJ541">
        <v>0</v>
      </c>
      <c r="AK541">
        <v>0</v>
      </c>
      <c r="AL541">
        <v>0</v>
      </c>
      <c r="AM541">
        <v>0.05</v>
      </c>
      <c r="AN541">
        <f t="shared" si="25"/>
        <v>2</v>
      </c>
      <c r="AO541" t="str">
        <f t="shared" si="26"/>
        <v>Monday</v>
      </c>
    </row>
    <row r="542" spans="1:41" x14ac:dyDescent="0.2">
      <c r="A542" t="s">
        <v>42</v>
      </c>
      <c r="B542" s="1">
        <v>45915</v>
      </c>
      <c r="C542" s="1">
        <f t="shared" si="24"/>
        <v>45930</v>
      </c>
      <c r="D542">
        <v>1</v>
      </c>
      <c r="E542">
        <v>1</v>
      </c>
      <c r="F542">
        <v>0</v>
      </c>
      <c r="G542">
        <v>0</v>
      </c>
      <c r="H542">
        <v>0</v>
      </c>
      <c r="I542">
        <v>0</v>
      </c>
      <c r="J542">
        <v>0</v>
      </c>
      <c r="K542">
        <v>0</v>
      </c>
      <c r="L542" t="s">
        <v>42</v>
      </c>
      <c r="M542" t="s">
        <v>38</v>
      </c>
      <c r="N542" s="1">
        <v>45915</v>
      </c>
      <c r="O542" s="2">
        <v>0.85501157407407402</v>
      </c>
      <c r="P542" s="2">
        <v>0.8903240740740741</v>
      </c>
      <c r="Q542">
        <v>0.85</v>
      </c>
      <c r="R542">
        <v>0.85</v>
      </c>
      <c r="S542">
        <v>0.84</v>
      </c>
      <c r="T542">
        <v>0</v>
      </c>
      <c r="U542">
        <v>0</v>
      </c>
      <c r="V542">
        <v>0</v>
      </c>
      <c r="W542">
        <v>0</v>
      </c>
      <c r="X542">
        <v>0</v>
      </c>
      <c r="Y542">
        <v>0</v>
      </c>
      <c r="Z542">
        <v>0</v>
      </c>
      <c r="AA542">
        <v>0</v>
      </c>
      <c r="AB542">
        <v>0</v>
      </c>
      <c r="AC542">
        <v>0.85</v>
      </c>
      <c r="AD542">
        <v>99.25</v>
      </c>
      <c r="AE542">
        <v>0</v>
      </c>
      <c r="AF542">
        <v>0</v>
      </c>
      <c r="AG542">
        <v>0.26</v>
      </c>
      <c r="AH542">
        <v>0</v>
      </c>
      <c r="AI542">
        <v>0</v>
      </c>
      <c r="AJ542">
        <v>0</v>
      </c>
      <c r="AK542">
        <v>0</v>
      </c>
      <c r="AL542">
        <v>0</v>
      </c>
      <c r="AM542">
        <v>0.49</v>
      </c>
      <c r="AN542">
        <f t="shared" si="25"/>
        <v>2</v>
      </c>
      <c r="AO542" t="str">
        <f t="shared" si="26"/>
        <v>Monday</v>
      </c>
    </row>
    <row r="543" spans="1:41" x14ac:dyDescent="0.2">
      <c r="A543" t="s">
        <v>43</v>
      </c>
      <c r="B543" s="1">
        <v>45915</v>
      </c>
      <c r="C543" s="1">
        <f t="shared" si="24"/>
        <v>45930</v>
      </c>
      <c r="D543">
        <v>21</v>
      </c>
      <c r="E543">
        <v>50</v>
      </c>
      <c r="F543">
        <v>7</v>
      </c>
      <c r="G543">
        <v>3</v>
      </c>
      <c r="H543">
        <v>0</v>
      </c>
      <c r="I543">
        <v>1</v>
      </c>
      <c r="J543">
        <v>0</v>
      </c>
      <c r="K543">
        <v>21</v>
      </c>
      <c r="L543" t="s">
        <v>43</v>
      </c>
      <c r="M543" t="s">
        <v>38</v>
      </c>
      <c r="N543" s="1">
        <v>45915</v>
      </c>
      <c r="O543" s="2">
        <v>0.54237268518518522</v>
      </c>
      <c r="P543" s="2">
        <v>0.91821759259259261</v>
      </c>
      <c r="Q543">
        <v>9.02</v>
      </c>
      <c r="R543">
        <v>9.02</v>
      </c>
      <c r="S543">
        <v>1.56</v>
      </c>
      <c r="T543">
        <v>0.22</v>
      </c>
      <c r="U543">
        <v>0</v>
      </c>
      <c r="V543">
        <v>0.19</v>
      </c>
      <c r="W543">
        <v>5.61</v>
      </c>
      <c r="X543">
        <v>1.44</v>
      </c>
      <c r="Y543">
        <v>0</v>
      </c>
      <c r="Z543">
        <v>0</v>
      </c>
      <c r="AA543">
        <v>0</v>
      </c>
      <c r="AB543">
        <v>0</v>
      </c>
      <c r="AC543">
        <v>9.02</v>
      </c>
      <c r="AD543">
        <v>17.29</v>
      </c>
      <c r="AE543">
        <v>2.41</v>
      </c>
      <c r="AF543">
        <v>0</v>
      </c>
      <c r="AG543">
        <v>2.16</v>
      </c>
      <c r="AH543">
        <v>62.14</v>
      </c>
      <c r="AI543">
        <v>15.97</v>
      </c>
      <c r="AJ543">
        <v>0</v>
      </c>
      <c r="AK543">
        <v>0</v>
      </c>
      <c r="AL543">
        <v>0</v>
      </c>
      <c r="AM543">
        <v>0.04</v>
      </c>
      <c r="AN543">
        <f t="shared" si="25"/>
        <v>2</v>
      </c>
      <c r="AO543" t="str">
        <f t="shared" si="26"/>
        <v>Monday</v>
      </c>
    </row>
    <row r="544" spans="1:41" x14ac:dyDescent="0.2">
      <c r="B544" s="1">
        <v>45915</v>
      </c>
      <c r="C544" s="1">
        <f t="shared" si="24"/>
        <v>45930</v>
      </c>
      <c r="D544">
        <v>441</v>
      </c>
      <c r="E544">
        <v>0</v>
      </c>
      <c r="F544">
        <v>0</v>
      </c>
      <c r="G544">
        <v>0</v>
      </c>
      <c r="H544">
        <v>0</v>
      </c>
      <c r="I544">
        <v>0</v>
      </c>
      <c r="J544">
        <v>0</v>
      </c>
      <c r="K544">
        <v>0</v>
      </c>
      <c r="AN544">
        <f t="shared" si="25"/>
        <v>2</v>
      </c>
      <c r="AO544" t="str">
        <f t="shared" si="26"/>
        <v>Monday</v>
      </c>
    </row>
    <row r="545" spans="1:41" x14ac:dyDescent="0.2">
      <c r="A545" t="s">
        <v>37</v>
      </c>
      <c r="B545" s="1">
        <v>45912</v>
      </c>
      <c r="C545" s="1">
        <f t="shared" si="24"/>
        <v>45930</v>
      </c>
      <c r="D545">
        <v>22</v>
      </c>
      <c r="E545">
        <v>43</v>
      </c>
      <c r="F545">
        <v>2</v>
      </c>
      <c r="G545">
        <v>2</v>
      </c>
      <c r="H545">
        <v>1</v>
      </c>
      <c r="I545">
        <v>0</v>
      </c>
      <c r="J545">
        <v>0</v>
      </c>
      <c r="K545">
        <v>29</v>
      </c>
      <c r="L545" t="s">
        <v>37</v>
      </c>
      <c r="M545" t="s">
        <v>38</v>
      </c>
      <c r="N545" s="1">
        <v>45912</v>
      </c>
      <c r="O545" s="2">
        <v>0.54252314814814817</v>
      </c>
      <c r="P545" s="2">
        <v>0.91671296296296301</v>
      </c>
      <c r="Q545">
        <v>8.98</v>
      </c>
      <c r="R545">
        <v>8.07</v>
      </c>
      <c r="S545">
        <v>0.72</v>
      </c>
      <c r="T545">
        <v>0</v>
      </c>
      <c r="U545">
        <v>0</v>
      </c>
      <c r="V545">
        <v>0.21</v>
      </c>
      <c r="W545">
        <v>6.45</v>
      </c>
      <c r="X545">
        <v>0.59</v>
      </c>
      <c r="Y545">
        <v>0</v>
      </c>
      <c r="Z545">
        <v>0</v>
      </c>
      <c r="AA545">
        <v>0.01</v>
      </c>
      <c r="AB545">
        <v>0.09</v>
      </c>
      <c r="AC545">
        <v>8.07</v>
      </c>
      <c r="AD545">
        <v>8.9700000000000006</v>
      </c>
      <c r="AE545">
        <v>0</v>
      </c>
      <c r="AF545">
        <v>0</v>
      </c>
      <c r="AG545">
        <v>2.62</v>
      </c>
      <c r="AH545">
        <v>79.849999999999994</v>
      </c>
      <c r="AI545">
        <v>7.3</v>
      </c>
      <c r="AJ545">
        <v>0</v>
      </c>
      <c r="AK545">
        <v>0</v>
      </c>
      <c r="AL545">
        <v>0.18</v>
      </c>
      <c r="AM545">
        <v>1.08</v>
      </c>
      <c r="AN545">
        <f t="shared" si="25"/>
        <v>6</v>
      </c>
      <c r="AO545" t="str">
        <f t="shared" si="26"/>
        <v>Friday</v>
      </c>
    </row>
    <row r="546" spans="1:41" x14ac:dyDescent="0.2">
      <c r="A546" t="s">
        <v>39</v>
      </c>
      <c r="B546" s="1">
        <v>45912</v>
      </c>
      <c r="C546" s="1">
        <f t="shared" si="24"/>
        <v>45930</v>
      </c>
      <c r="D546">
        <v>21</v>
      </c>
      <c r="E546">
        <v>34</v>
      </c>
      <c r="F546">
        <v>10</v>
      </c>
      <c r="G546">
        <v>0</v>
      </c>
      <c r="H546">
        <v>4</v>
      </c>
      <c r="I546">
        <v>0</v>
      </c>
      <c r="J546">
        <v>0</v>
      </c>
      <c r="K546">
        <v>13</v>
      </c>
      <c r="L546" t="s">
        <v>39</v>
      </c>
      <c r="M546" t="s">
        <v>38</v>
      </c>
      <c r="N546" s="1">
        <v>45912</v>
      </c>
      <c r="O546" s="2">
        <v>0.54271990740740739</v>
      </c>
      <c r="P546" s="2">
        <v>0.91670138888888886</v>
      </c>
      <c r="Q546">
        <v>8.98</v>
      </c>
      <c r="R546">
        <v>8.9700000000000006</v>
      </c>
      <c r="S546">
        <v>1.23</v>
      </c>
      <c r="T546">
        <v>0.08</v>
      </c>
      <c r="U546">
        <v>0</v>
      </c>
      <c r="V546">
        <v>0.05</v>
      </c>
      <c r="W546">
        <v>6.11</v>
      </c>
      <c r="X546">
        <v>1.5</v>
      </c>
      <c r="Y546">
        <v>0</v>
      </c>
      <c r="Z546">
        <v>0</v>
      </c>
      <c r="AA546">
        <v>0</v>
      </c>
      <c r="AB546">
        <v>0.01</v>
      </c>
      <c r="AC546">
        <v>8.9700000000000006</v>
      </c>
      <c r="AD546">
        <v>13.76</v>
      </c>
      <c r="AE546">
        <v>0.89</v>
      </c>
      <c r="AF546">
        <v>0</v>
      </c>
      <c r="AG546">
        <v>0.51</v>
      </c>
      <c r="AH546">
        <v>68.08</v>
      </c>
      <c r="AI546">
        <v>16.7</v>
      </c>
      <c r="AJ546">
        <v>0</v>
      </c>
      <c r="AK546">
        <v>0</v>
      </c>
      <c r="AL546">
        <v>0</v>
      </c>
      <c r="AM546">
        <v>0.06</v>
      </c>
      <c r="AN546">
        <f t="shared" si="25"/>
        <v>6</v>
      </c>
      <c r="AO546" t="str">
        <f t="shared" si="26"/>
        <v>Friday</v>
      </c>
    </row>
    <row r="547" spans="1:41" x14ac:dyDescent="0.2">
      <c r="A547" t="s">
        <v>40</v>
      </c>
      <c r="B547" s="1">
        <v>45912</v>
      </c>
      <c r="C547" s="1">
        <f t="shared" si="24"/>
        <v>45930</v>
      </c>
      <c r="D547">
        <v>18</v>
      </c>
      <c r="E547">
        <v>45</v>
      </c>
      <c r="F547">
        <v>12</v>
      </c>
      <c r="G547">
        <v>1</v>
      </c>
      <c r="H547">
        <v>1</v>
      </c>
      <c r="I547">
        <v>0</v>
      </c>
      <c r="J547">
        <v>0</v>
      </c>
      <c r="K547">
        <v>24</v>
      </c>
      <c r="L547" t="s">
        <v>40</v>
      </c>
      <c r="M547" t="s">
        <v>38</v>
      </c>
      <c r="N547" s="1">
        <v>45912</v>
      </c>
      <c r="O547" s="2">
        <v>0.5426157407407407</v>
      </c>
      <c r="P547" s="2">
        <v>0.91701388888888891</v>
      </c>
      <c r="Q547">
        <v>8.98</v>
      </c>
      <c r="R547">
        <v>8.98</v>
      </c>
      <c r="S547">
        <v>1.07</v>
      </c>
      <c r="T547">
        <v>0.33</v>
      </c>
      <c r="U547">
        <v>0</v>
      </c>
      <c r="V547">
        <v>0.51</v>
      </c>
      <c r="W547">
        <v>5.56</v>
      </c>
      <c r="X547">
        <v>1.28</v>
      </c>
      <c r="Y547">
        <v>0.23</v>
      </c>
      <c r="Z547">
        <v>0</v>
      </c>
      <c r="AA547">
        <v>0</v>
      </c>
      <c r="AB547">
        <v>0</v>
      </c>
      <c r="AC547">
        <v>8.98</v>
      </c>
      <c r="AD547">
        <v>11.96</v>
      </c>
      <c r="AE547">
        <v>3.71</v>
      </c>
      <c r="AF547">
        <v>0</v>
      </c>
      <c r="AG547">
        <v>5.64</v>
      </c>
      <c r="AH547">
        <v>61.86</v>
      </c>
      <c r="AI547">
        <v>14.24</v>
      </c>
      <c r="AJ547">
        <v>2.5499999999999998</v>
      </c>
      <c r="AK547">
        <v>0</v>
      </c>
      <c r="AL547">
        <v>0</v>
      </c>
      <c r="AM547">
        <v>0.04</v>
      </c>
      <c r="AN547">
        <f t="shared" si="25"/>
        <v>6</v>
      </c>
      <c r="AO547" t="str">
        <f t="shared" si="26"/>
        <v>Friday</v>
      </c>
    </row>
    <row r="548" spans="1:41" x14ac:dyDescent="0.2">
      <c r="A548" t="s">
        <v>41</v>
      </c>
      <c r="B548" s="1">
        <v>45912</v>
      </c>
      <c r="C548" s="1">
        <f t="shared" si="24"/>
        <v>45930</v>
      </c>
      <c r="D548">
        <v>14</v>
      </c>
      <c r="E548">
        <v>24</v>
      </c>
      <c r="F548">
        <v>3</v>
      </c>
      <c r="G548">
        <v>1</v>
      </c>
      <c r="H548">
        <v>0</v>
      </c>
      <c r="I548">
        <v>0</v>
      </c>
      <c r="J548">
        <v>0</v>
      </c>
      <c r="K548">
        <v>14</v>
      </c>
      <c r="L548" t="s">
        <v>41</v>
      </c>
      <c r="M548" t="s">
        <v>38</v>
      </c>
      <c r="N548" s="1">
        <v>45912</v>
      </c>
      <c r="O548" s="2">
        <v>0.54182870370370373</v>
      </c>
      <c r="P548" s="2">
        <v>0.70697916666666671</v>
      </c>
      <c r="Q548">
        <v>3.97</v>
      </c>
      <c r="R548">
        <v>3.96</v>
      </c>
      <c r="S548">
        <v>0.64</v>
      </c>
      <c r="T548">
        <v>0.18</v>
      </c>
      <c r="U548">
        <v>0</v>
      </c>
      <c r="V548">
        <v>0.12</v>
      </c>
      <c r="W548">
        <v>2.81</v>
      </c>
      <c r="X548">
        <v>0.21</v>
      </c>
      <c r="Y548">
        <v>0</v>
      </c>
      <c r="Z548">
        <v>0</v>
      </c>
      <c r="AA548">
        <v>0</v>
      </c>
      <c r="AB548">
        <v>0.01</v>
      </c>
      <c r="AC548">
        <v>3.96</v>
      </c>
      <c r="AD548">
        <v>16.18</v>
      </c>
      <c r="AE548">
        <v>4.6500000000000004</v>
      </c>
      <c r="AF548">
        <v>0</v>
      </c>
      <c r="AG548">
        <v>2.97</v>
      </c>
      <c r="AH548">
        <v>70.86</v>
      </c>
      <c r="AI548">
        <v>5.22</v>
      </c>
      <c r="AJ548">
        <v>0</v>
      </c>
      <c r="AK548">
        <v>0</v>
      </c>
      <c r="AL548">
        <v>0</v>
      </c>
      <c r="AM548">
        <v>0.13</v>
      </c>
      <c r="AN548">
        <f t="shared" si="25"/>
        <v>6</v>
      </c>
      <c r="AO548" t="str">
        <f t="shared" si="26"/>
        <v>Friday</v>
      </c>
    </row>
    <row r="549" spans="1:41" x14ac:dyDescent="0.2">
      <c r="A549" t="s">
        <v>43</v>
      </c>
      <c r="B549" s="1">
        <v>45912</v>
      </c>
      <c r="C549" s="1">
        <f t="shared" si="24"/>
        <v>45930</v>
      </c>
      <c r="D549">
        <v>23</v>
      </c>
      <c r="E549">
        <v>82</v>
      </c>
      <c r="F549">
        <v>11</v>
      </c>
      <c r="G549">
        <v>1</v>
      </c>
      <c r="H549">
        <v>3</v>
      </c>
      <c r="I549">
        <v>0</v>
      </c>
      <c r="J549">
        <v>0</v>
      </c>
      <c r="K549">
        <v>54</v>
      </c>
      <c r="L549" t="s">
        <v>43</v>
      </c>
      <c r="M549" t="s">
        <v>38</v>
      </c>
      <c r="N549" s="1">
        <v>45912</v>
      </c>
      <c r="O549" s="2">
        <v>0.54171296296296301</v>
      </c>
      <c r="P549" s="2">
        <v>0.91694444444444445</v>
      </c>
      <c r="Q549">
        <v>9</v>
      </c>
      <c r="R549">
        <v>9</v>
      </c>
      <c r="S549">
        <v>1.1599999999999999</v>
      </c>
      <c r="T549">
        <v>0.31</v>
      </c>
      <c r="U549">
        <v>0</v>
      </c>
      <c r="V549">
        <v>0.47</v>
      </c>
      <c r="W549">
        <v>5.2</v>
      </c>
      <c r="X549">
        <v>1.87</v>
      </c>
      <c r="Y549">
        <v>0</v>
      </c>
      <c r="Z549">
        <v>0</v>
      </c>
      <c r="AA549">
        <v>0</v>
      </c>
      <c r="AB549">
        <v>0</v>
      </c>
      <c r="AC549">
        <v>9</v>
      </c>
      <c r="AD549">
        <v>12.9</v>
      </c>
      <c r="AE549">
        <v>3.41</v>
      </c>
      <c r="AF549">
        <v>0</v>
      </c>
      <c r="AG549">
        <v>5.17</v>
      </c>
      <c r="AH549">
        <v>57.74</v>
      </c>
      <c r="AI549">
        <v>20.75</v>
      </c>
      <c r="AJ549">
        <v>0</v>
      </c>
      <c r="AK549">
        <v>0</v>
      </c>
      <c r="AL549">
        <v>0</v>
      </c>
      <c r="AM549">
        <v>0.03</v>
      </c>
      <c r="AN549">
        <f t="shared" si="25"/>
        <v>6</v>
      </c>
      <c r="AO549" t="str">
        <f t="shared" si="26"/>
        <v>Friday</v>
      </c>
    </row>
    <row r="550" spans="1:41" x14ac:dyDescent="0.2">
      <c r="B550" s="1">
        <v>45912</v>
      </c>
      <c r="C550" s="1">
        <f t="shared" si="24"/>
        <v>45930</v>
      </c>
      <c r="D550">
        <v>453</v>
      </c>
      <c r="E550">
        <v>0</v>
      </c>
      <c r="F550">
        <v>0</v>
      </c>
      <c r="G550">
        <v>0</v>
      </c>
      <c r="H550">
        <v>0</v>
      </c>
      <c r="I550">
        <v>0</v>
      </c>
      <c r="J550">
        <v>0</v>
      </c>
      <c r="K550">
        <v>0</v>
      </c>
      <c r="AN550">
        <f t="shared" si="25"/>
        <v>6</v>
      </c>
      <c r="AO550" t="str">
        <f t="shared" si="26"/>
        <v>Friday</v>
      </c>
    </row>
    <row r="551" spans="1:41" x14ac:dyDescent="0.2">
      <c r="A551" t="s">
        <v>37</v>
      </c>
      <c r="B551" s="1">
        <v>45911</v>
      </c>
      <c r="C551" s="1">
        <f t="shared" si="24"/>
        <v>45930</v>
      </c>
      <c r="D551">
        <v>12</v>
      </c>
      <c r="E551">
        <v>34</v>
      </c>
      <c r="F551">
        <v>0</v>
      </c>
      <c r="G551">
        <v>2</v>
      </c>
      <c r="H551">
        <v>3</v>
      </c>
      <c r="I551">
        <v>0</v>
      </c>
      <c r="J551">
        <v>0</v>
      </c>
      <c r="K551">
        <v>27</v>
      </c>
      <c r="L551" t="s">
        <v>37</v>
      </c>
      <c r="M551" t="s">
        <v>38</v>
      </c>
      <c r="N551" s="1">
        <v>45911</v>
      </c>
      <c r="O551" s="2">
        <v>0.54224537037037035</v>
      </c>
      <c r="P551" s="2">
        <v>0.91681712962962958</v>
      </c>
      <c r="Q551">
        <v>9</v>
      </c>
      <c r="R551">
        <v>8.06</v>
      </c>
      <c r="S551">
        <v>0.47</v>
      </c>
      <c r="T551">
        <v>0.05</v>
      </c>
      <c r="U551">
        <v>0</v>
      </c>
      <c r="V551">
        <v>0.17</v>
      </c>
      <c r="W551">
        <v>6.09</v>
      </c>
      <c r="X551">
        <v>1.26</v>
      </c>
      <c r="Y551">
        <v>0</v>
      </c>
      <c r="Z551">
        <v>0</v>
      </c>
      <c r="AA551">
        <v>0.01</v>
      </c>
      <c r="AB551">
        <v>0.01</v>
      </c>
      <c r="AC551">
        <v>8.06</v>
      </c>
      <c r="AD551">
        <v>5.79</v>
      </c>
      <c r="AE551">
        <v>0.67</v>
      </c>
      <c r="AF551">
        <v>0</v>
      </c>
      <c r="AG551">
        <v>2.0499999999999998</v>
      </c>
      <c r="AH551">
        <v>75.53</v>
      </c>
      <c r="AI551">
        <v>15.68</v>
      </c>
      <c r="AJ551">
        <v>0</v>
      </c>
      <c r="AK551">
        <v>0</v>
      </c>
      <c r="AL551">
        <v>0.12</v>
      </c>
      <c r="AM551">
        <v>0.16</v>
      </c>
      <c r="AN551">
        <f t="shared" si="25"/>
        <v>5</v>
      </c>
      <c r="AO551" t="str">
        <f t="shared" si="26"/>
        <v>Thursday</v>
      </c>
    </row>
    <row r="552" spans="1:41" x14ac:dyDescent="0.2">
      <c r="A552" t="s">
        <v>39</v>
      </c>
      <c r="B552" s="1">
        <v>45911</v>
      </c>
      <c r="C552" s="1">
        <f t="shared" si="24"/>
        <v>45930</v>
      </c>
      <c r="D552">
        <v>22</v>
      </c>
      <c r="E552">
        <v>43</v>
      </c>
      <c r="F552">
        <v>5</v>
      </c>
      <c r="G552">
        <v>9</v>
      </c>
      <c r="H552">
        <v>5</v>
      </c>
      <c r="I552">
        <v>1</v>
      </c>
      <c r="J552">
        <v>0</v>
      </c>
      <c r="K552">
        <v>18</v>
      </c>
      <c r="L552" t="s">
        <v>39</v>
      </c>
      <c r="M552" t="s">
        <v>38</v>
      </c>
      <c r="N552" s="1">
        <v>45911</v>
      </c>
      <c r="O552" s="2">
        <v>0.54162037037037036</v>
      </c>
      <c r="P552" s="2">
        <v>0.91681712962962958</v>
      </c>
      <c r="Q552">
        <v>9.02</v>
      </c>
      <c r="R552">
        <v>9</v>
      </c>
      <c r="S552">
        <v>1.01</v>
      </c>
      <c r="T552">
        <v>0.2</v>
      </c>
      <c r="U552">
        <v>0</v>
      </c>
      <c r="V552">
        <v>0.01</v>
      </c>
      <c r="W552">
        <v>5.55</v>
      </c>
      <c r="X552">
        <v>1.47</v>
      </c>
      <c r="Y552">
        <v>0.75</v>
      </c>
      <c r="Z552">
        <v>0</v>
      </c>
      <c r="AA552">
        <v>0</v>
      </c>
      <c r="AB552">
        <v>0.01</v>
      </c>
      <c r="AC552">
        <v>9</v>
      </c>
      <c r="AD552">
        <v>11.26</v>
      </c>
      <c r="AE552">
        <v>2.2000000000000002</v>
      </c>
      <c r="AF552">
        <v>0</v>
      </c>
      <c r="AG552">
        <v>0.14000000000000001</v>
      </c>
      <c r="AH552">
        <v>61.68</v>
      </c>
      <c r="AI552">
        <v>16.350000000000001</v>
      </c>
      <c r="AJ552">
        <v>8.2899999999999991</v>
      </c>
      <c r="AK552">
        <v>0</v>
      </c>
      <c r="AL552">
        <v>0</v>
      </c>
      <c r="AM552">
        <v>7.0000000000000007E-2</v>
      </c>
      <c r="AN552">
        <f t="shared" si="25"/>
        <v>5</v>
      </c>
      <c r="AO552" t="str">
        <f t="shared" si="26"/>
        <v>Thursday</v>
      </c>
    </row>
    <row r="553" spans="1:41" x14ac:dyDescent="0.2">
      <c r="A553" t="s">
        <v>40</v>
      </c>
      <c r="B553" s="1">
        <v>45911</v>
      </c>
      <c r="C553" s="1">
        <f t="shared" si="24"/>
        <v>45930</v>
      </c>
      <c r="D553">
        <v>13</v>
      </c>
      <c r="E553">
        <v>34</v>
      </c>
      <c r="F553">
        <v>3</v>
      </c>
      <c r="G553">
        <v>5</v>
      </c>
      <c r="H553">
        <v>4</v>
      </c>
      <c r="I553">
        <v>0</v>
      </c>
      <c r="J553">
        <v>3</v>
      </c>
      <c r="K553">
        <v>15</v>
      </c>
      <c r="L553" t="s">
        <v>40</v>
      </c>
      <c r="M553" t="s">
        <v>38</v>
      </c>
      <c r="N553" s="1">
        <v>45911</v>
      </c>
      <c r="O553" s="2">
        <v>0.54190972222222222</v>
      </c>
      <c r="P553" s="2">
        <v>0.91667824074074078</v>
      </c>
      <c r="Q553">
        <v>9</v>
      </c>
      <c r="R553">
        <v>8.99</v>
      </c>
      <c r="S553">
        <v>0.81</v>
      </c>
      <c r="T553">
        <v>0.35</v>
      </c>
      <c r="U553">
        <v>0</v>
      </c>
      <c r="V553">
        <v>0.28000000000000003</v>
      </c>
      <c r="W553">
        <v>5.22</v>
      </c>
      <c r="X553">
        <v>1.19</v>
      </c>
      <c r="Y553">
        <v>1.1499999999999999</v>
      </c>
      <c r="Z553">
        <v>0</v>
      </c>
      <c r="AA553">
        <v>0</v>
      </c>
      <c r="AB553">
        <v>0</v>
      </c>
      <c r="AC553">
        <v>8.99</v>
      </c>
      <c r="AD553">
        <v>9</v>
      </c>
      <c r="AE553">
        <v>3.85</v>
      </c>
      <c r="AF553">
        <v>0</v>
      </c>
      <c r="AG553">
        <v>3.1</v>
      </c>
      <c r="AH553">
        <v>58</v>
      </c>
      <c r="AI553">
        <v>13.21</v>
      </c>
      <c r="AJ553">
        <v>12.8</v>
      </c>
      <c r="AK553">
        <v>0</v>
      </c>
      <c r="AL553">
        <v>0</v>
      </c>
      <c r="AM553">
        <v>0.04</v>
      </c>
      <c r="AN553">
        <f t="shared" si="25"/>
        <v>5</v>
      </c>
      <c r="AO553" t="str">
        <f t="shared" si="26"/>
        <v>Thursday</v>
      </c>
    </row>
    <row r="554" spans="1:41" x14ac:dyDescent="0.2">
      <c r="A554" t="s">
        <v>41</v>
      </c>
      <c r="B554" s="1">
        <v>45911</v>
      </c>
      <c r="C554" s="1">
        <f t="shared" si="24"/>
        <v>45930</v>
      </c>
      <c r="D554">
        <v>16</v>
      </c>
      <c r="E554">
        <v>43</v>
      </c>
      <c r="F554">
        <v>2</v>
      </c>
      <c r="G554">
        <v>0</v>
      </c>
      <c r="H554">
        <v>4</v>
      </c>
      <c r="I554">
        <v>0</v>
      </c>
      <c r="J554">
        <v>0</v>
      </c>
      <c r="K554">
        <v>31</v>
      </c>
      <c r="L554" t="s">
        <v>41</v>
      </c>
      <c r="M554" t="s">
        <v>38</v>
      </c>
      <c r="N554" s="1">
        <v>45911</v>
      </c>
      <c r="O554" s="2">
        <v>0.54192129629629626</v>
      </c>
      <c r="P554" s="2">
        <v>0.9170949074074074</v>
      </c>
      <c r="Q554">
        <v>9</v>
      </c>
      <c r="R554">
        <v>9</v>
      </c>
      <c r="S554">
        <v>0.9</v>
      </c>
      <c r="T554">
        <v>0.33</v>
      </c>
      <c r="U554">
        <v>0</v>
      </c>
      <c r="V554">
        <v>0.18</v>
      </c>
      <c r="W554">
        <v>5.42</v>
      </c>
      <c r="X554">
        <v>1.48</v>
      </c>
      <c r="Y554">
        <v>0.7</v>
      </c>
      <c r="Z554">
        <v>0</v>
      </c>
      <c r="AA554">
        <v>0</v>
      </c>
      <c r="AB554">
        <v>0</v>
      </c>
      <c r="AC554">
        <v>9</v>
      </c>
      <c r="AD554">
        <v>9.99</v>
      </c>
      <c r="AE554">
        <v>3.68</v>
      </c>
      <c r="AF554">
        <v>0</v>
      </c>
      <c r="AG554">
        <v>1.97</v>
      </c>
      <c r="AH554">
        <v>60.16</v>
      </c>
      <c r="AI554">
        <v>16.39</v>
      </c>
      <c r="AJ554">
        <v>7.78</v>
      </c>
      <c r="AK554">
        <v>0</v>
      </c>
      <c r="AL554">
        <v>0</v>
      </c>
      <c r="AM554">
        <v>0.04</v>
      </c>
      <c r="AN554">
        <f t="shared" si="25"/>
        <v>5</v>
      </c>
      <c r="AO554" t="str">
        <f t="shared" si="26"/>
        <v>Thursday</v>
      </c>
    </row>
    <row r="555" spans="1:41" x14ac:dyDescent="0.2">
      <c r="A555" t="s">
        <v>43</v>
      </c>
      <c r="B555" s="1">
        <v>45911</v>
      </c>
      <c r="C555" s="1">
        <f t="shared" si="24"/>
        <v>45930</v>
      </c>
      <c r="D555">
        <v>14</v>
      </c>
      <c r="E555">
        <v>40</v>
      </c>
      <c r="F555">
        <v>2</v>
      </c>
      <c r="G555">
        <v>3</v>
      </c>
      <c r="H555">
        <v>1</v>
      </c>
      <c r="I555">
        <v>1</v>
      </c>
      <c r="J555">
        <v>0</v>
      </c>
      <c r="K555">
        <v>22</v>
      </c>
      <c r="L555" t="s">
        <v>43</v>
      </c>
      <c r="M555" t="s">
        <v>38</v>
      </c>
      <c r="N555" s="1">
        <v>45911</v>
      </c>
      <c r="O555" s="2">
        <v>0.54174768518518523</v>
      </c>
      <c r="P555" s="2">
        <v>0.92092592592592593</v>
      </c>
      <c r="Q555">
        <v>9.1</v>
      </c>
      <c r="R555">
        <v>9.1</v>
      </c>
      <c r="S555">
        <v>1.57</v>
      </c>
      <c r="T555">
        <v>0.13</v>
      </c>
      <c r="U555">
        <v>0</v>
      </c>
      <c r="V555">
        <v>0.26</v>
      </c>
      <c r="W555">
        <v>4.5599999999999996</v>
      </c>
      <c r="X555">
        <v>1.5</v>
      </c>
      <c r="Y555">
        <v>1.06</v>
      </c>
      <c r="Z555">
        <v>0</v>
      </c>
      <c r="AA555">
        <v>0</v>
      </c>
      <c r="AB555">
        <v>0.01</v>
      </c>
      <c r="AC555">
        <v>9.1</v>
      </c>
      <c r="AD555">
        <v>17.260000000000002</v>
      </c>
      <c r="AE555">
        <v>1.43</v>
      </c>
      <c r="AF555">
        <v>0</v>
      </c>
      <c r="AG555">
        <v>2.84</v>
      </c>
      <c r="AH555">
        <v>50.16</v>
      </c>
      <c r="AI555">
        <v>16.48</v>
      </c>
      <c r="AJ555">
        <v>11.69</v>
      </c>
      <c r="AK555">
        <v>0</v>
      </c>
      <c r="AL555">
        <v>0</v>
      </c>
      <c r="AM555">
        <v>0.14000000000000001</v>
      </c>
      <c r="AN555">
        <f t="shared" si="25"/>
        <v>5</v>
      </c>
      <c r="AO555" t="str">
        <f t="shared" si="26"/>
        <v>Thursday</v>
      </c>
    </row>
    <row r="556" spans="1:41" x14ac:dyDescent="0.2">
      <c r="B556" s="1">
        <v>45911</v>
      </c>
      <c r="C556" s="1">
        <f t="shared" si="24"/>
        <v>45930</v>
      </c>
      <c r="D556">
        <v>466</v>
      </c>
      <c r="E556">
        <v>0</v>
      </c>
      <c r="F556">
        <v>0</v>
      </c>
      <c r="G556">
        <v>0</v>
      </c>
      <c r="H556">
        <v>0</v>
      </c>
      <c r="I556">
        <v>0</v>
      </c>
      <c r="J556">
        <v>0</v>
      </c>
      <c r="K556">
        <v>0</v>
      </c>
      <c r="AN556">
        <f t="shared" si="25"/>
        <v>5</v>
      </c>
      <c r="AO556" t="str">
        <f t="shared" si="26"/>
        <v>Thursday</v>
      </c>
    </row>
    <row r="557" spans="1:41" x14ac:dyDescent="0.2">
      <c r="A557" t="s">
        <v>37</v>
      </c>
      <c r="B557" s="1">
        <v>45910</v>
      </c>
      <c r="C557" s="1">
        <f t="shared" si="24"/>
        <v>45930</v>
      </c>
      <c r="D557">
        <v>21</v>
      </c>
      <c r="E557">
        <v>45</v>
      </c>
      <c r="F557">
        <v>2</v>
      </c>
      <c r="G557">
        <v>3</v>
      </c>
      <c r="H557">
        <v>1</v>
      </c>
      <c r="I557">
        <v>1</v>
      </c>
      <c r="J557">
        <v>1</v>
      </c>
      <c r="K557">
        <v>22</v>
      </c>
      <c r="L557" t="s">
        <v>37</v>
      </c>
      <c r="M557" t="s">
        <v>38</v>
      </c>
      <c r="N557" s="1">
        <v>45910</v>
      </c>
      <c r="O557" s="2">
        <v>0.54214120370370367</v>
      </c>
      <c r="P557" s="2">
        <v>0.91738425925925926</v>
      </c>
      <c r="Q557">
        <v>9.02</v>
      </c>
      <c r="R557">
        <v>8.11</v>
      </c>
      <c r="S557">
        <v>1.2</v>
      </c>
      <c r="T557">
        <v>0</v>
      </c>
      <c r="U557">
        <v>0</v>
      </c>
      <c r="V557">
        <v>0.31</v>
      </c>
      <c r="W557">
        <v>6.24</v>
      </c>
      <c r="X557">
        <v>0.33</v>
      </c>
      <c r="Y557">
        <v>0</v>
      </c>
      <c r="Z557">
        <v>0</v>
      </c>
      <c r="AA557">
        <v>0</v>
      </c>
      <c r="AB557">
        <v>0.03</v>
      </c>
      <c r="AC557">
        <v>8.11</v>
      </c>
      <c r="AD557">
        <v>14.81</v>
      </c>
      <c r="AE557">
        <v>0</v>
      </c>
      <c r="AF557">
        <v>0</v>
      </c>
      <c r="AG557">
        <v>3.82</v>
      </c>
      <c r="AH557">
        <v>76.88</v>
      </c>
      <c r="AI557">
        <v>4.0599999999999996</v>
      </c>
      <c r="AJ557">
        <v>0</v>
      </c>
      <c r="AK557">
        <v>0</v>
      </c>
      <c r="AL557">
        <v>0</v>
      </c>
      <c r="AM557">
        <v>0.42</v>
      </c>
      <c r="AN557">
        <f t="shared" si="25"/>
        <v>4</v>
      </c>
      <c r="AO557" t="str">
        <f t="shared" si="26"/>
        <v>Wednesday</v>
      </c>
    </row>
    <row r="558" spans="1:41" x14ac:dyDescent="0.2">
      <c r="A558" t="s">
        <v>39</v>
      </c>
      <c r="B558" s="1">
        <v>45910</v>
      </c>
      <c r="C558" s="1">
        <f t="shared" si="24"/>
        <v>45930</v>
      </c>
      <c r="D558">
        <v>20</v>
      </c>
      <c r="E558">
        <v>54</v>
      </c>
      <c r="F558">
        <v>2</v>
      </c>
      <c r="G558">
        <v>3</v>
      </c>
      <c r="H558">
        <v>4</v>
      </c>
      <c r="I558">
        <v>6</v>
      </c>
      <c r="J558">
        <v>0</v>
      </c>
      <c r="K558">
        <v>19</v>
      </c>
      <c r="L558" t="s">
        <v>39</v>
      </c>
      <c r="M558" t="s">
        <v>38</v>
      </c>
      <c r="N558" s="1">
        <v>45910</v>
      </c>
      <c r="O558" s="2">
        <v>0.54221064814814812</v>
      </c>
      <c r="P558" s="2">
        <v>0.91681712962962958</v>
      </c>
      <c r="Q558">
        <v>9</v>
      </c>
      <c r="R558">
        <v>8.99</v>
      </c>
      <c r="S558">
        <v>1.7</v>
      </c>
      <c r="T558">
        <v>0.11</v>
      </c>
      <c r="U558">
        <v>0</v>
      </c>
      <c r="V558">
        <v>0.02</v>
      </c>
      <c r="W558">
        <v>5.67</v>
      </c>
      <c r="X558">
        <v>1.48</v>
      </c>
      <c r="Y558">
        <v>0</v>
      </c>
      <c r="Z558">
        <v>0</v>
      </c>
      <c r="AA558">
        <v>0</v>
      </c>
      <c r="AB558">
        <v>0</v>
      </c>
      <c r="AC558">
        <v>8.99</v>
      </c>
      <c r="AD558">
        <v>18.940000000000001</v>
      </c>
      <c r="AE558">
        <v>1.25</v>
      </c>
      <c r="AF558">
        <v>0</v>
      </c>
      <c r="AG558">
        <v>0.25</v>
      </c>
      <c r="AH558">
        <v>63.01</v>
      </c>
      <c r="AI558">
        <v>16.489999999999998</v>
      </c>
      <c r="AJ558">
        <v>0</v>
      </c>
      <c r="AK558">
        <v>0</v>
      </c>
      <c r="AL558">
        <v>0</v>
      </c>
      <c r="AM558">
        <v>0.05</v>
      </c>
      <c r="AN558">
        <f t="shared" si="25"/>
        <v>4</v>
      </c>
      <c r="AO558" t="str">
        <f t="shared" si="26"/>
        <v>Wednesday</v>
      </c>
    </row>
    <row r="559" spans="1:41" x14ac:dyDescent="0.2">
      <c r="A559" t="s">
        <v>40</v>
      </c>
      <c r="B559" s="1">
        <v>45910</v>
      </c>
      <c r="C559" s="1">
        <f t="shared" si="24"/>
        <v>45930</v>
      </c>
      <c r="D559">
        <v>18</v>
      </c>
      <c r="E559">
        <v>51</v>
      </c>
      <c r="F559">
        <v>2</v>
      </c>
      <c r="G559">
        <v>0</v>
      </c>
      <c r="H559">
        <v>5</v>
      </c>
      <c r="I559">
        <v>0</v>
      </c>
      <c r="J559">
        <v>0</v>
      </c>
      <c r="K559">
        <v>37</v>
      </c>
      <c r="L559" t="s">
        <v>40</v>
      </c>
      <c r="M559" t="s">
        <v>38</v>
      </c>
      <c r="N559" s="1">
        <v>45910</v>
      </c>
      <c r="O559" s="2">
        <v>0.54341435185185183</v>
      </c>
      <c r="P559" s="2">
        <v>0.91923611111111114</v>
      </c>
      <c r="Q559">
        <v>9.02</v>
      </c>
      <c r="R559">
        <v>9.02</v>
      </c>
      <c r="S559">
        <v>0.64</v>
      </c>
      <c r="T559">
        <v>0.2</v>
      </c>
      <c r="U559">
        <v>0</v>
      </c>
      <c r="V559">
        <v>0.44</v>
      </c>
      <c r="W559">
        <v>6.47</v>
      </c>
      <c r="X559">
        <v>1.26</v>
      </c>
      <c r="Y559">
        <v>0</v>
      </c>
      <c r="Z559">
        <v>0</v>
      </c>
      <c r="AA559">
        <v>0</v>
      </c>
      <c r="AB559">
        <v>0</v>
      </c>
      <c r="AC559">
        <v>9.02</v>
      </c>
      <c r="AD559">
        <v>7.11</v>
      </c>
      <c r="AE559">
        <v>2.17</v>
      </c>
      <c r="AF559">
        <v>0</v>
      </c>
      <c r="AG559">
        <v>4.9000000000000004</v>
      </c>
      <c r="AH559">
        <v>71.760000000000005</v>
      </c>
      <c r="AI559">
        <v>14.02</v>
      </c>
      <c r="AJ559">
        <v>0</v>
      </c>
      <c r="AK559">
        <v>0</v>
      </c>
      <c r="AL559">
        <v>0</v>
      </c>
      <c r="AM559">
        <v>0.04</v>
      </c>
      <c r="AN559">
        <f t="shared" si="25"/>
        <v>4</v>
      </c>
      <c r="AO559" t="str">
        <f t="shared" si="26"/>
        <v>Wednesday</v>
      </c>
    </row>
    <row r="560" spans="1:41" x14ac:dyDescent="0.2">
      <c r="A560" t="s">
        <v>41</v>
      </c>
      <c r="B560" s="1">
        <v>45910</v>
      </c>
      <c r="C560" s="1">
        <f t="shared" si="24"/>
        <v>45930</v>
      </c>
      <c r="D560">
        <v>30</v>
      </c>
      <c r="E560">
        <v>55</v>
      </c>
      <c r="F560">
        <v>3</v>
      </c>
      <c r="G560">
        <v>3</v>
      </c>
      <c r="H560">
        <v>4</v>
      </c>
      <c r="I560">
        <v>0</v>
      </c>
      <c r="J560">
        <v>1</v>
      </c>
      <c r="K560">
        <v>23</v>
      </c>
      <c r="L560" t="s">
        <v>41</v>
      </c>
      <c r="M560" t="s">
        <v>38</v>
      </c>
      <c r="N560" s="1">
        <v>45910</v>
      </c>
      <c r="O560" s="2">
        <v>0.54188657407407403</v>
      </c>
      <c r="P560" s="2">
        <v>0.91618055555555555</v>
      </c>
      <c r="Q560">
        <v>8.98</v>
      </c>
      <c r="R560">
        <v>8.98</v>
      </c>
      <c r="S560">
        <v>1.1399999999999999</v>
      </c>
      <c r="T560">
        <v>0.32</v>
      </c>
      <c r="U560">
        <v>0</v>
      </c>
      <c r="V560">
        <v>0.24</v>
      </c>
      <c r="W560">
        <v>5.79</v>
      </c>
      <c r="X560">
        <v>1.5</v>
      </c>
      <c r="Y560">
        <v>0</v>
      </c>
      <c r="Z560">
        <v>0</v>
      </c>
      <c r="AA560">
        <v>0</v>
      </c>
      <c r="AB560">
        <v>0</v>
      </c>
      <c r="AC560">
        <v>8.98</v>
      </c>
      <c r="AD560">
        <v>12.65</v>
      </c>
      <c r="AE560">
        <v>3.51</v>
      </c>
      <c r="AF560">
        <v>0</v>
      </c>
      <c r="AG560">
        <v>2.62</v>
      </c>
      <c r="AH560">
        <v>64.47</v>
      </c>
      <c r="AI560">
        <v>16.71</v>
      </c>
      <c r="AJ560">
        <v>0</v>
      </c>
      <c r="AK560">
        <v>0</v>
      </c>
      <c r="AL560">
        <v>0</v>
      </c>
      <c r="AM560">
        <v>0.04</v>
      </c>
      <c r="AN560">
        <f t="shared" si="25"/>
        <v>4</v>
      </c>
      <c r="AO560" t="str">
        <f t="shared" si="26"/>
        <v>Wednesday</v>
      </c>
    </row>
    <row r="561" spans="1:41" x14ac:dyDescent="0.2">
      <c r="A561" t="s">
        <v>43</v>
      </c>
      <c r="B561" s="1">
        <v>45910</v>
      </c>
      <c r="C561" s="1">
        <f t="shared" si="24"/>
        <v>45930</v>
      </c>
      <c r="D561">
        <v>16</v>
      </c>
      <c r="E561">
        <v>33</v>
      </c>
      <c r="F561">
        <v>2</v>
      </c>
      <c r="G561">
        <v>1</v>
      </c>
      <c r="H561">
        <v>5</v>
      </c>
      <c r="I561">
        <v>0</v>
      </c>
      <c r="J561">
        <v>0</v>
      </c>
      <c r="K561">
        <v>16</v>
      </c>
      <c r="L561" t="s">
        <v>43</v>
      </c>
      <c r="M561" t="s">
        <v>38</v>
      </c>
      <c r="N561" s="1">
        <v>45910</v>
      </c>
      <c r="O561" s="2">
        <v>0.54254629629629625</v>
      </c>
      <c r="P561" s="2">
        <v>0.94980324074074074</v>
      </c>
      <c r="Q561">
        <v>9.77</v>
      </c>
      <c r="R561">
        <v>9.77</v>
      </c>
      <c r="S561">
        <v>1.79</v>
      </c>
      <c r="T561">
        <v>0.17</v>
      </c>
      <c r="U561">
        <v>0</v>
      </c>
      <c r="V561">
        <v>0.37</v>
      </c>
      <c r="W561">
        <v>5.04</v>
      </c>
      <c r="X561">
        <v>1.45</v>
      </c>
      <c r="Y561">
        <v>0.94</v>
      </c>
      <c r="Z561">
        <v>0</v>
      </c>
      <c r="AA561">
        <v>0</v>
      </c>
      <c r="AB561">
        <v>0</v>
      </c>
      <c r="AC561">
        <v>9.77</v>
      </c>
      <c r="AD561">
        <v>18.32</v>
      </c>
      <c r="AE561">
        <v>1.79</v>
      </c>
      <c r="AF561">
        <v>0</v>
      </c>
      <c r="AG561">
        <v>3.77</v>
      </c>
      <c r="AH561">
        <v>51.58</v>
      </c>
      <c r="AI561">
        <v>14.86</v>
      </c>
      <c r="AJ561">
        <v>9.65</v>
      </c>
      <c r="AK561">
        <v>0</v>
      </c>
      <c r="AL561">
        <v>0</v>
      </c>
      <c r="AM561">
        <v>0.03</v>
      </c>
      <c r="AN561">
        <f t="shared" si="25"/>
        <v>4</v>
      </c>
      <c r="AO561" t="str">
        <f t="shared" si="26"/>
        <v>Wednesday</v>
      </c>
    </row>
    <row r="562" spans="1:41" x14ac:dyDescent="0.2">
      <c r="B562" s="1">
        <v>45910</v>
      </c>
      <c r="C562" s="1">
        <f t="shared" si="24"/>
        <v>45930</v>
      </c>
      <c r="D562">
        <v>472</v>
      </c>
      <c r="E562">
        <v>0</v>
      </c>
      <c r="F562">
        <v>0</v>
      </c>
      <c r="G562">
        <v>0</v>
      </c>
      <c r="H562">
        <v>0</v>
      </c>
      <c r="I562">
        <v>0</v>
      </c>
      <c r="J562">
        <v>0</v>
      </c>
      <c r="K562">
        <v>0</v>
      </c>
      <c r="AN562">
        <f t="shared" si="25"/>
        <v>4</v>
      </c>
      <c r="AO562" t="str">
        <f t="shared" si="26"/>
        <v>Wednesday</v>
      </c>
    </row>
    <row r="563" spans="1:41" x14ac:dyDescent="0.2">
      <c r="A563" t="s">
        <v>37</v>
      </c>
      <c r="B563" s="1">
        <v>45909</v>
      </c>
      <c r="C563" s="1">
        <f t="shared" si="24"/>
        <v>45930</v>
      </c>
      <c r="D563">
        <v>26</v>
      </c>
      <c r="E563">
        <v>62</v>
      </c>
      <c r="F563">
        <v>2</v>
      </c>
      <c r="G563">
        <v>8</v>
      </c>
      <c r="H563">
        <v>9</v>
      </c>
      <c r="I563">
        <v>0</v>
      </c>
      <c r="J563">
        <v>0</v>
      </c>
      <c r="K563">
        <v>34</v>
      </c>
      <c r="L563" t="s">
        <v>37</v>
      </c>
      <c r="M563" t="s">
        <v>38</v>
      </c>
      <c r="N563" s="1">
        <v>45909</v>
      </c>
      <c r="O563" s="2">
        <v>0.54278935185185184</v>
      </c>
      <c r="P563" s="2">
        <v>0.91744212962962968</v>
      </c>
      <c r="Q563">
        <v>9</v>
      </c>
      <c r="R563">
        <v>8.15</v>
      </c>
      <c r="S563">
        <v>2.14</v>
      </c>
      <c r="T563">
        <v>0.28999999999999998</v>
      </c>
      <c r="U563">
        <v>0</v>
      </c>
      <c r="V563">
        <v>0.42</v>
      </c>
      <c r="W563">
        <v>4.9000000000000004</v>
      </c>
      <c r="X563">
        <v>0.36</v>
      </c>
      <c r="Y563">
        <v>0</v>
      </c>
      <c r="Z563">
        <v>0</v>
      </c>
      <c r="AA563">
        <v>0</v>
      </c>
      <c r="AB563">
        <v>0.05</v>
      </c>
      <c r="AC563">
        <v>8.15</v>
      </c>
      <c r="AD563">
        <v>26.19</v>
      </c>
      <c r="AE563">
        <v>3.54</v>
      </c>
      <c r="AF563">
        <v>0</v>
      </c>
      <c r="AG563">
        <v>5.16</v>
      </c>
      <c r="AH563">
        <v>60.14</v>
      </c>
      <c r="AI563">
        <v>4.41</v>
      </c>
      <c r="AJ563">
        <v>0</v>
      </c>
      <c r="AK563">
        <v>0</v>
      </c>
      <c r="AL563">
        <v>0</v>
      </c>
      <c r="AM563">
        <v>0.56999999999999995</v>
      </c>
      <c r="AN563">
        <f t="shared" si="25"/>
        <v>3</v>
      </c>
      <c r="AO563" t="str">
        <f t="shared" si="26"/>
        <v>Tuesday</v>
      </c>
    </row>
    <row r="564" spans="1:41" x14ac:dyDescent="0.2">
      <c r="A564" t="s">
        <v>39</v>
      </c>
      <c r="B564" s="1">
        <v>45909</v>
      </c>
      <c r="C564" s="1">
        <f t="shared" si="24"/>
        <v>45930</v>
      </c>
      <c r="D564">
        <v>37</v>
      </c>
      <c r="E564">
        <v>68</v>
      </c>
      <c r="F564">
        <v>8</v>
      </c>
      <c r="G564">
        <v>2</v>
      </c>
      <c r="H564">
        <v>8</v>
      </c>
      <c r="I564">
        <v>0</v>
      </c>
      <c r="J564">
        <v>0</v>
      </c>
      <c r="K564">
        <v>28</v>
      </c>
      <c r="L564" t="s">
        <v>39</v>
      </c>
      <c r="M564" t="s">
        <v>38</v>
      </c>
      <c r="N564" s="1">
        <v>45909</v>
      </c>
      <c r="O564" s="2">
        <v>0.54125000000000001</v>
      </c>
      <c r="P564" s="2">
        <v>0.91685185185185181</v>
      </c>
      <c r="Q564">
        <v>9.02</v>
      </c>
      <c r="R564">
        <v>9.01</v>
      </c>
      <c r="S564">
        <v>1.7</v>
      </c>
      <c r="T564">
        <v>0.23</v>
      </c>
      <c r="U564">
        <v>0</v>
      </c>
      <c r="V564">
        <v>0.04</v>
      </c>
      <c r="W564">
        <v>4.92</v>
      </c>
      <c r="X564">
        <v>1.47</v>
      </c>
      <c r="Y564">
        <v>0.63</v>
      </c>
      <c r="Z564">
        <v>0</v>
      </c>
      <c r="AA564">
        <v>0</v>
      </c>
      <c r="AB564">
        <v>0.01</v>
      </c>
      <c r="AC564">
        <v>9.01</v>
      </c>
      <c r="AD564">
        <v>18.91</v>
      </c>
      <c r="AE564">
        <v>2.6</v>
      </c>
      <c r="AF564">
        <v>0</v>
      </c>
      <c r="AG564">
        <v>0.5</v>
      </c>
      <c r="AH564">
        <v>54.62</v>
      </c>
      <c r="AI564">
        <v>16.28</v>
      </c>
      <c r="AJ564">
        <v>6.96</v>
      </c>
      <c r="AK564">
        <v>0</v>
      </c>
      <c r="AL564">
        <v>0</v>
      </c>
      <c r="AM564">
        <v>0.12</v>
      </c>
      <c r="AN564">
        <f t="shared" si="25"/>
        <v>3</v>
      </c>
      <c r="AO564" t="str">
        <f t="shared" si="26"/>
        <v>Tuesday</v>
      </c>
    </row>
    <row r="565" spans="1:41" x14ac:dyDescent="0.2">
      <c r="A565" t="s">
        <v>40</v>
      </c>
      <c r="B565" s="1">
        <v>45909</v>
      </c>
      <c r="C565" s="1">
        <f t="shared" si="24"/>
        <v>45930</v>
      </c>
      <c r="D565">
        <v>27</v>
      </c>
      <c r="E565">
        <v>60</v>
      </c>
      <c r="F565">
        <v>6</v>
      </c>
      <c r="G565">
        <v>2</v>
      </c>
      <c r="H565">
        <v>11</v>
      </c>
      <c r="I565">
        <v>0</v>
      </c>
      <c r="J565">
        <v>2</v>
      </c>
      <c r="K565">
        <v>32</v>
      </c>
      <c r="L565" t="s">
        <v>40</v>
      </c>
      <c r="M565" t="s">
        <v>38</v>
      </c>
      <c r="N565" s="1">
        <v>45909</v>
      </c>
      <c r="O565" s="2">
        <v>0.54201388888888891</v>
      </c>
      <c r="P565" s="2">
        <v>0.91667824074074078</v>
      </c>
      <c r="Q565">
        <v>9</v>
      </c>
      <c r="R565">
        <v>8.99</v>
      </c>
      <c r="S565">
        <v>1.64</v>
      </c>
      <c r="T565">
        <v>0.57999999999999996</v>
      </c>
      <c r="U565">
        <v>0</v>
      </c>
      <c r="V565">
        <v>0.41</v>
      </c>
      <c r="W565">
        <v>5.1100000000000003</v>
      </c>
      <c r="X565">
        <v>1.25</v>
      </c>
      <c r="Y565">
        <v>0</v>
      </c>
      <c r="Z565">
        <v>0</v>
      </c>
      <c r="AA565">
        <v>0</v>
      </c>
      <c r="AB565">
        <v>0</v>
      </c>
      <c r="AC565">
        <v>8.99</v>
      </c>
      <c r="AD565">
        <v>18.190000000000001</v>
      </c>
      <c r="AE565">
        <v>6.43</v>
      </c>
      <c r="AF565">
        <v>0</v>
      </c>
      <c r="AG565">
        <v>4.58</v>
      </c>
      <c r="AH565">
        <v>56.87</v>
      </c>
      <c r="AI565">
        <v>13.88</v>
      </c>
      <c r="AJ565">
        <v>0</v>
      </c>
      <c r="AK565">
        <v>0</v>
      </c>
      <c r="AL565">
        <v>0</v>
      </c>
      <c r="AM565">
        <v>0.04</v>
      </c>
      <c r="AN565">
        <f t="shared" si="25"/>
        <v>3</v>
      </c>
      <c r="AO565" t="str">
        <f t="shared" si="26"/>
        <v>Tuesday</v>
      </c>
    </row>
    <row r="566" spans="1:41" x14ac:dyDescent="0.2">
      <c r="A566" t="s">
        <v>41</v>
      </c>
      <c r="B566" s="1">
        <v>45909</v>
      </c>
      <c r="C566" s="1">
        <f t="shared" si="24"/>
        <v>45930</v>
      </c>
      <c r="D566">
        <v>34</v>
      </c>
      <c r="E566">
        <v>70</v>
      </c>
      <c r="F566">
        <v>4</v>
      </c>
      <c r="G566">
        <v>6</v>
      </c>
      <c r="H566">
        <v>5</v>
      </c>
      <c r="I566">
        <v>0</v>
      </c>
      <c r="J566">
        <v>0</v>
      </c>
      <c r="K566">
        <v>39</v>
      </c>
      <c r="L566" t="s">
        <v>41</v>
      </c>
      <c r="M566" t="s">
        <v>38</v>
      </c>
      <c r="N566" s="1">
        <v>45909</v>
      </c>
      <c r="O566" s="2">
        <v>0.541875</v>
      </c>
      <c r="P566" s="2">
        <v>0.91674768518518523</v>
      </c>
      <c r="Q566">
        <v>9</v>
      </c>
      <c r="R566">
        <v>9</v>
      </c>
      <c r="S566">
        <v>1.37</v>
      </c>
      <c r="T566">
        <v>0.56999999999999995</v>
      </c>
      <c r="U566">
        <v>0</v>
      </c>
      <c r="V566">
        <v>0.4</v>
      </c>
      <c r="W566">
        <v>4.9000000000000004</v>
      </c>
      <c r="X566">
        <v>1.45</v>
      </c>
      <c r="Y566">
        <v>0.31</v>
      </c>
      <c r="Z566">
        <v>0</v>
      </c>
      <c r="AA566">
        <v>0</v>
      </c>
      <c r="AB566">
        <v>0</v>
      </c>
      <c r="AC566">
        <v>9</v>
      </c>
      <c r="AD566">
        <v>15.21</v>
      </c>
      <c r="AE566">
        <v>6.28</v>
      </c>
      <c r="AF566">
        <v>0</v>
      </c>
      <c r="AG566">
        <v>4.42</v>
      </c>
      <c r="AH566">
        <v>54.44</v>
      </c>
      <c r="AI566">
        <v>16.12</v>
      </c>
      <c r="AJ566">
        <v>3.5</v>
      </c>
      <c r="AK566">
        <v>0</v>
      </c>
      <c r="AL566">
        <v>0</v>
      </c>
      <c r="AM566">
        <v>0.04</v>
      </c>
      <c r="AN566">
        <f t="shared" si="25"/>
        <v>3</v>
      </c>
      <c r="AO566" t="str">
        <f t="shared" si="26"/>
        <v>Tuesday</v>
      </c>
    </row>
    <row r="567" spans="1:41" x14ac:dyDescent="0.2">
      <c r="A567" t="s">
        <v>51</v>
      </c>
      <c r="B567" s="1">
        <v>45909</v>
      </c>
      <c r="C567" s="1">
        <f t="shared" si="24"/>
        <v>45930</v>
      </c>
      <c r="D567">
        <v>1</v>
      </c>
      <c r="E567">
        <v>4</v>
      </c>
      <c r="F567">
        <v>0</v>
      </c>
      <c r="G567">
        <v>0</v>
      </c>
      <c r="H567">
        <v>0</v>
      </c>
      <c r="I567">
        <v>0</v>
      </c>
      <c r="J567">
        <v>0</v>
      </c>
      <c r="K567">
        <v>0</v>
      </c>
      <c r="AN567">
        <f t="shared" si="25"/>
        <v>3</v>
      </c>
      <c r="AO567" t="str">
        <f t="shared" si="26"/>
        <v>Tuesday</v>
      </c>
    </row>
    <row r="568" spans="1:41" x14ac:dyDescent="0.2">
      <c r="A568" t="s">
        <v>43</v>
      </c>
      <c r="B568" s="1">
        <v>45909</v>
      </c>
      <c r="C568" s="1">
        <f t="shared" si="24"/>
        <v>45930</v>
      </c>
      <c r="D568">
        <v>20</v>
      </c>
      <c r="E568">
        <v>45</v>
      </c>
      <c r="F568">
        <v>5</v>
      </c>
      <c r="G568">
        <v>3</v>
      </c>
      <c r="H568">
        <v>4</v>
      </c>
      <c r="I568">
        <v>1</v>
      </c>
      <c r="J568">
        <v>0</v>
      </c>
      <c r="K568">
        <v>20</v>
      </c>
      <c r="L568" t="s">
        <v>43</v>
      </c>
      <c r="M568" t="s">
        <v>38</v>
      </c>
      <c r="N568" s="1">
        <v>45909</v>
      </c>
      <c r="O568" s="2">
        <v>0.54210648148148144</v>
      </c>
      <c r="P568" s="2">
        <v>0.91980324074074071</v>
      </c>
      <c r="Q568">
        <v>9.07</v>
      </c>
      <c r="R568">
        <v>9.06</v>
      </c>
      <c r="S568">
        <v>2.38</v>
      </c>
      <c r="T568">
        <v>0.11</v>
      </c>
      <c r="U568">
        <v>0</v>
      </c>
      <c r="V568">
        <v>0.56000000000000005</v>
      </c>
      <c r="W568">
        <v>4.5199999999999996</v>
      </c>
      <c r="X568">
        <v>1.48</v>
      </c>
      <c r="Y568">
        <v>0</v>
      </c>
      <c r="Z568">
        <v>0</v>
      </c>
      <c r="AA568">
        <v>0</v>
      </c>
      <c r="AB568">
        <v>0.01</v>
      </c>
      <c r="AC568">
        <v>9.06</v>
      </c>
      <c r="AD568">
        <v>26.3</v>
      </c>
      <c r="AE568">
        <v>1.23</v>
      </c>
      <c r="AF568">
        <v>0</v>
      </c>
      <c r="AG568">
        <v>6.14</v>
      </c>
      <c r="AH568">
        <v>49.87</v>
      </c>
      <c r="AI568">
        <v>16.32</v>
      </c>
      <c r="AJ568">
        <v>0</v>
      </c>
      <c r="AK568">
        <v>0</v>
      </c>
      <c r="AL568">
        <v>0</v>
      </c>
      <c r="AM568">
        <v>0.15</v>
      </c>
      <c r="AN568">
        <f t="shared" si="25"/>
        <v>3</v>
      </c>
      <c r="AO568" t="str">
        <f t="shared" si="26"/>
        <v>Tuesday</v>
      </c>
    </row>
    <row r="569" spans="1:41" x14ac:dyDescent="0.2">
      <c r="B569" s="1">
        <v>45909</v>
      </c>
      <c r="C569" s="1">
        <f t="shared" si="24"/>
        <v>45930</v>
      </c>
      <c r="D569">
        <v>480</v>
      </c>
      <c r="E569">
        <v>0</v>
      </c>
      <c r="F569">
        <v>0</v>
      </c>
      <c r="G569">
        <v>0</v>
      </c>
      <c r="H569">
        <v>0</v>
      </c>
      <c r="I569">
        <v>0</v>
      </c>
      <c r="J569">
        <v>0</v>
      </c>
      <c r="K569">
        <v>0</v>
      </c>
      <c r="AN569">
        <f t="shared" si="25"/>
        <v>3</v>
      </c>
      <c r="AO569" t="str">
        <f t="shared" si="26"/>
        <v>Tuesday</v>
      </c>
    </row>
    <row r="570" spans="1:41" x14ac:dyDescent="0.2">
      <c r="A570" t="s">
        <v>37</v>
      </c>
      <c r="B570" s="1">
        <v>45908</v>
      </c>
      <c r="C570" s="1">
        <f t="shared" si="24"/>
        <v>45930</v>
      </c>
      <c r="D570">
        <v>23</v>
      </c>
      <c r="E570">
        <v>42</v>
      </c>
      <c r="F570">
        <v>5</v>
      </c>
      <c r="G570">
        <v>7</v>
      </c>
      <c r="H570">
        <v>7</v>
      </c>
      <c r="I570">
        <v>0</v>
      </c>
      <c r="J570">
        <v>5</v>
      </c>
      <c r="K570">
        <v>11</v>
      </c>
      <c r="L570" t="s">
        <v>37</v>
      </c>
      <c r="M570" t="s">
        <v>38</v>
      </c>
      <c r="N570" s="1">
        <v>45908</v>
      </c>
      <c r="O570" s="2">
        <v>0.54222222222222227</v>
      </c>
      <c r="P570" s="2">
        <v>0.91682870370370373</v>
      </c>
      <c r="Q570">
        <v>9</v>
      </c>
      <c r="R570">
        <v>8.1</v>
      </c>
      <c r="S570">
        <v>2.33</v>
      </c>
      <c r="T570">
        <v>0.5</v>
      </c>
      <c r="U570">
        <v>0</v>
      </c>
      <c r="V570">
        <v>0.31</v>
      </c>
      <c r="W570">
        <v>4.0199999999999996</v>
      </c>
      <c r="X570">
        <v>0.56000000000000005</v>
      </c>
      <c r="Y570">
        <v>0.34</v>
      </c>
      <c r="Z570">
        <v>0</v>
      </c>
      <c r="AA570">
        <v>0</v>
      </c>
      <c r="AB570">
        <v>0.05</v>
      </c>
      <c r="AC570">
        <v>8.1</v>
      </c>
      <c r="AD570">
        <v>28.76</v>
      </c>
      <c r="AE570">
        <v>6.17</v>
      </c>
      <c r="AF570">
        <v>0</v>
      </c>
      <c r="AG570">
        <v>3.87</v>
      </c>
      <c r="AH570">
        <v>49.56</v>
      </c>
      <c r="AI570">
        <v>6.89</v>
      </c>
      <c r="AJ570">
        <v>4.1500000000000004</v>
      </c>
      <c r="AK570">
        <v>0</v>
      </c>
      <c r="AL570">
        <v>0</v>
      </c>
      <c r="AM570">
        <v>0.6</v>
      </c>
      <c r="AN570">
        <f t="shared" si="25"/>
        <v>2</v>
      </c>
      <c r="AO570" t="str">
        <f t="shared" si="26"/>
        <v>Monday</v>
      </c>
    </row>
    <row r="571" spans="1:41" x14ac:dyDescent="0.2">
      <c r="A571" t="s">
        <v>39</v>
      </c>
      <c r="B571" s="1">
        <v>45908</v>
      </c>
      <c r="C571" s="1">
        <f t="shared" si="24"/>
        <v>45930</v>
      </c>
      <c r="D571">
        <v>34</v>
      </c>
      <c r="E571">
        <v>79</v>
      </c>
      <c r="F571">
        <v>2</v>
      </c>
      <c r="G571">
        <v>10</v>
      </c>
      <c r="H571">
        <v>6</v>
      </c>
      <c r="I571">
        <v>0</v>
      </c>
      <c r="J571">
        <v>0</v>
      </c>
      <c r="K571">
        <v>45</v>
      </c>
      <c r="L571" t="s">
        <v>39</v>
      </c>
      <c r="M571" t="s">
        <v>38</v>
      </c>
      <c r="N571" s="1">
        <v>45908</v>
      </c>
      <c r="O571" s="2">
        <v>0.5417939814814815</v>
      </c>
      <c r="P571" s="2">
        <v>0.91681712962962958</v>
      </c>
      <c r="Q571">
        <v>9</v>
      </c>
      <c r="R571">
        <v>9</v>
      </c>
      <c r="S571">
        <v>1.31</v>
      </c>
      <c r="T571">
        <v>0.13</v>
      </c>
      <c r="U571">
        <v>0</v>
      </c>
      <c r="V571">
        <v>0.02</v>
      </c>
      <c r="W571">
        <v>5.44</v>
      </c>
      <c r="X571">
        <v>1.51</v>
      </c>
      <c r="Y571">
        <v>0.57999999999999996</v>
      </c>
      <c r="Z571">
        <v>0</v>
      </c>
      <c r="AA571">
        <v>0</v>
      </c>
      <c r="AB571">
        <v>0.01</v>
      </c>
      <c r="AC571">
        <v>9</v>
      </c>
      <c r="AD571">
        <v>14.54</v>
      </c>
      <c r="AE571">
        <v>1.46</v>
      </c>
      <c r="AF571">
        <v>0</v>
      </c>
      <c r="AG571">
        <v>0.23</v>
      </c>
      <c r="AH571">
        <v>60.43</v>
      </c>
      <c r="AI571">
        <v>16.8</v>
      </c>
      <c r="AJ571">
        <v>6.48</v>
      </c>
      <c r="AK571">
        <v>0</v>
      </c>
      <c r="AL571">
        <v>0</v>
      </c>
      <c r="AM571">
        <v>0.06</v>
      </c>
      <c r="AN571">
        <f t="shared" si="25"/>
        <v>2</v>
      </c>
      <c r="AO571" t="str">
        <f t="shared" si="26"/>
        <v>Monday</v>
      </c>
    </row>
    <row r="572" spans="1:41" x14ac:dyDescent="0.2">
      <c r="A572" t="s">
        <v>40</v>
      </c>
      <c r="B572" s="1">
        <v>45908</v>
      </c>
      <c r="C572" s="1">
        <f t="shared" si="24"/>
        <v>45930</v>
      </c>
      <c r="D572">
        <v>23</v>
      </c>
      <c r="E572">
        <v>39</v>
      </c>
      <c r="F572">
        <v>8</v>
      </c>
      <c r="G572">
        <v>3</v>
      </c>
      <c r="H572">
        <v>14</v>
      </c>
      <c r="I572">
        <v>0</v>
      </c>
      <c r="J572">
        <v>2</v>
      </c>
      <c r="K572">
        <v>6</v>
      </c>
      <c r="L572" t="s">
        <v>40</v>
      </c>
      <c r="M572" t="s">
        <v>38</v>
      </c>
      <c r="N572" s="1">
        <v>45908</v>
      </c>
      <c r="O572" s="2">
        <v>0.5428587962962963</v>
      </c>
      <c r="P572" s="2">
        <v>0.91667824074074078</v>
      </c>
      <c r="Q572">
        <v>8.98</v>
      </c>
      <c r="R572">
        <v>8.9700000000000006</v>
      </c>
      <c r="S572">
        <v>1.42</v>
      </c>
      <c r="T572">
        <v>0</v>
      </c>
      <c r="U572">
        <v>0</v>
      </c>
      <c r="V572">
        <v>0.43</v>
      </c>
      <c r="W572">
        <v>5.27</v>
      </c>
      <c r="X572">
        <v>1.27</v>
      </c>
      <c r="Y572">
        <v>0.57999999999999996</v>
      </c>
      <c r="Z572">
        <v>0</v>
      </c>
      <c r="AA572">
        <v>0</v>
      </c>
      <c r="AB572">
        <v>0.01</v>
      </c>
      <c r="AC572">
        <v>8.9700000000000006</v>
      </c>
      <c r="AD572">
        <v>15.83</v>
      </c>
      <c r="AE572">
        <v>0</v>
      </c>
      <c r="AF572">
        <v>0</v>
      </c>
      <c r="AG572">
        <v>4.75</v>
      </c>
      <c r="AH572">
        <v>58.75</v>
      </c>
      <c r="AI572">
        <v>14.13</v>
      </c>
      <c r="AJ572">
        <v>6.48</v>
      </c>
      <c r="AK572">
        <v>0</v>
      </c>
      <c r="AL572">
        <v>0</v>
      </c>
      <c r="AM572">
        <v>7.0000000000000007E-2</v>
      </c>
      <c r="AN572">
        <f t="shared" si="25"/>
        <v>2</v>
      </c>
      <c r="AO572" t="str">
        <f t="shared" si="26"/>
        <v>Monday</v>
      </c>
    </row>
    <row r="573" spans="1:41" x14ac:dyDescent="0.2">
      <c r="A573" t="s">
        <v>41</v>
      </c>
      <c r="B573" s="1">
        <v>45908</v>
      </c>
      <c r="C573" s="1">
        <f t="shared" si="24"/>
        <v>45930</v>
      </c>
      <c r="D573">
        <v>33</v>
      </c>
      <c r="E573">
        <v>87</v>
      </c>
      <c r="F573">
        <v>3</v>
      </c>
      <c r="G573">
        <v>5</v>
      </c>
      <c r="H573">
        <v>1</v>
      </c>
      <c r="I573">
        <v>1</v>
      </c>
      <c r="J573">
        <v>0</v>
      </c>
      <c r="K573">
        <v>58</v>
      </c>
      <c r="L573" t="s">
        <v>41</v>
      </c>
      <c r="M573" t="s">
        <v>38</v>
      </c>
      <c r="N573" s="1">
        <v>45908</v>
      </c>
      <c r="O573" s="2">
        <v>0.54194444444444445</v>
      </c>
      <c r="P573" s="2">
        <v>0.91636574074074073</v>
      </c>
      <c r="Q573">
        <v>8.98</v>
      </c>
      <c r="R573">
        <v>8.34</v>
      </c>
      <c r="S573">
        <v>1.55</v>
      </c>
      <c r="T573">
        <v>0.5</v>
      </c>
      <c r="U573">
        <v>0</v>
      </c>
      <c r="V573">
        <v>0.33</v>
      </c>
      <c r="W573">
        <v>4.9400000000000004</v>
      </c>
      <c r="X573">
        <v>0.86</v>
      </c>
      <c r="Y573">
        <v>0.16</v>
      </c>
      <c r="Z573">
        <v>0</v>
      </c>
      <c r="AA573">
        <v>0</v>
      </c>
      <c r="AB573">
        <v>0.01</v>
      </c>
      <c r="AC573">
        <v>8.34</v>
      </c>
      <c r="AD573">
        <v>18.600000000000001</v>
      </c>
      <c r="AE573">
        <v>5.98</v>
      </c>
      <c r="AF573">
        <v>0</v>
      </c>
      <c r="AG573">
        <v>3.95</v>
      </c>
      <c r="AH573">
        <v>59.19</v>
      </c>
      <c r="AI573">
        <v>10.3</v>
      </c>
      <c r="AJ573">
        <v>1.87</v>
      </c>
      <c r="AK573">
        <v>0</v>
      </c>
      <c r="AL573">
        <v>0</v>
      </c>
      <c r="AM573">
        <v>0.1</v>
      </c>
      <c r="AN573">
        <f t="shared" si="25"/>
        <v>2</v>
      </c>
      <c r="AO573" t="str">
        <f t="shared" si="26"/>
        <v>Monday</v>
      </c>
    </row>
    <row r="574" spans="1:41" x14ac:dyDescent="0.2">
      <c r="B574" s="1">
        <v>45908</v>
      </c>
      <c r="C574" s="1">
        <f t="shared" si="24"/>
        <v>45930</v>
      </c>
      <c r="D574">
        <v>427</v>
      </c>
      <c r="E574">
        <v>0</v>
      </c>
      <c r="F574">
        <v>0</v>
      </c>
      <c r="G574">
        <v>0</v>
      </c>
      <c r="H574">
        <v>0</v>
      </c>
      <c r="I574">
        <v>0</v>
      </c>
      <c r="J574">
        <v>0</v>
      </c>
      <c r="K574">
        <v>0</v>
      </c>
      <c r="AN574">
        <f t="shared" si="25"/>
        <v>2</v>
      </c>
      <c r="AO574" t="str">
        <f t="shared" si="26"/>
        <v>Monday</v>
      </c>
    </row>
    <row r="575" spans="1:41" x14ac:dyDescent="0.2">
      <c r="A575" t="s">
        <v>37</v>
      </c>
      <c r="B575" s="1">
        <v>45905</v>
      </c>
      <c r="C575" s="1">
        <f t="shared" si="24"/>
        <v>45930</v>
      </c>
      <c r="D575">
        <v>28</v>
      </c>
      <c r="E575">
        <v>57</v>
      </c>
      <c r="F575">
        <v>4</v>
      </c>
      <c r="G575">
        <v>1</v>
      </c>
      <c r="H575">
        <v>1</v>
      </c>
      <c r="I575">
        <v>0</v>
      </c>
      <c r="J575">
        <v>2</v>
      </c>
      <c r="K575">
        <v>33</v>
      </c>
      <c r="L575" t="s">
        <v>37</v>
      </c>
      <c r="M575" t="s">
        <v>38</v>
      </c>
      <c r="N575" s="1">
        <v>45905</v>
      </c>
      <c r="O575" s="2">
        <v>0.54166666666666663</v>
      </c>
      <c r="P575" s="2">
        <v>0.91744212962962968</v>
      </c>
      <c r="Q575">
        <v>9.02</v>
      </c>
      <c r="R575">
        <v>8.14</v>
      </c>
      <c r="S575">
        <v>1.62</v>
      </c>
      <c r="T575">
        <v>0.9</v>
      </c>
      <c r="U575">
        <v>0</v>
      </c>
      <c r="V575">
        <v>0.26</v>
      </c>
      <c r="W575">
        <v>4.91</v>
      </c>
      <c r="X575">
        <v>0.42</v>
      </c>
      <c r="Y575">
        <v>0</v>
      </c>
      <c r="Z575">
        <v>0</v>
      </c>
      <c r="AA575">
        <v>0</v>
      </c>
      <c r="AB575">
        <v>0.03</v>
      </c>
      <c r="AC575">
        <v>8.14</v>
      </c>
      <c r="AD575">
        <v>19.850000000000001</v>
      </c>
      <c r="AE575">
        <v>11.06</v>
      </c>
      <c r="AF575">
        <v>0</v>
      </c>
      <c r="AG575">
        <v>3.17</v>
      </c>
      <c r="AH575">
        <v>60.37</v>
      </c>
      <c r="AI575">
        <v>5.22</v>
      </c>
      <c r="AJ575">
        <v>0</v>
      </c>
      <c r="AK575">
        <v>0</v>
      </c>
      <c r="AL575">
        <v>0</v>
      </c>
      <c r="AM575">
        <v>0.33</v>
      </c>
      <c r="AN575">
        <f t="shared" si="25"/>
        <v>6</v>
      </c>
      <c r="AO575" t="str">
        <f t="shared" si="26"/>
        <v>Friday</v>
      </c>
    </row>
    <row r="576" spans="1:41" x14ac:dyDescent="0.2">
      <c r="A576" t="s">
        <v>39</v>
      </c>
      <c r="B576" s="1">
        <v>45905</v>
      </c>
      <c r="C576" s="1">
        <f t="shared" si="24"/>
        <v>45930</v>
      </c>
      <c r="D576">
        <v>20</v>
      </c>
      <c r="E576">
        <v>45</v>
      </c>
      <c r="F576">
        <v>0</v>
      </c>
      <c r="G576">
        <v>3</v>
      </c>
      <c r="H576">
        <v>6</v>
      </c>
      <c r="I576">
        <v>1</v>
      </c>
      <c r="J576">
        <v>0</v>
      </c>
      <c r="K576">
        <v>28</v>
      </c>
      <c r="L576" t="s">
        <v>39</v>
      </c>
      <c r="M576" t="s">
        <v>38</v>
      </c>
      <c r="N576" s="1">
        <v>45905</v>
      </c>
      <c r="O576" s="2">
        <v>0.54194444444444445</v>
      </c>
      <c r="P576" s="2">
        <v>0.91684027777777777</v>
      </c>
      <c r="Q576">
        <v>9</v>
      </c>
      <c r="R576">
        <v>9</v>
      </c>
      <c r="S576">
        <v>1.08</v>
      </c>
      <c r="T576">
        <v>0.1</v>
      </c>
      <c r="U576">
        <v>0</v>
      </c>
      <c r="V576">
        <v>0.02</v>
      </c>
      <c r="W576">
        <v>6.32</v>
      </c>
      <c r="X576">
        <v>1.47</v>
      </c>
      <c r="Y576">
        <v>0</v>
      </c>
      <c r="Z576">
        <v>0</v>
      </c>
      <c r="AA576">
        <v>0</v>
      </c>
      <c r="AB576">
        <v>0</v>
      </c>
      <c r="AC576">
        <v>9</v>
      </c>
      <c r="AD576">
        <v>12.05</v>
      </c>
      <c r="AE576">
        <v>1.1000000000000001</v>
      </c>
      <c r="AF576">
        <v>0</v>
      </c>
      <c r="AG576">
        <v>0.22</v>
      </c>
      <c r="AH576">
        <v>70.25</v>
      </c>
      <c r="AI576">
        <v>16.34</v>
      </c>
      <c r="AJ576">
        <v>0</v>
      </c>
      <c r="AK576">
        <v>0</v>
      </c>
      <c r="AL576">
        <v>0</v>
      </c>
      <c r="AM576">
        <v>0.04</v>
      </c>
      <c r="AN576">
        <f t="shared" si="25"/>
        <v>6</v>
      </c>
      <c r="AO576" t="str">
        <f t="shared" si="26"/>
        <v>Friday</v>
      </c>
    </row>
    <row r="577" spans="1:41" x14ac:dyDescent="0.2">
      <c r="A577" t="s">
        <v>40</v>
      </c>
      <c r="B577" s="1">
        <v>45905</v>
      </c>
      <c r="C577" s="1">
        <f t="shared" si="24"/>
        <v>45930</v>
      </c>
      <c r="D577">
        <v>15</v>
      </c>
      <c r="E577">
        <v>33</v>
      </c>
      <c r="F577">
        <v>1</v>
      </c>
      <c r="G577">
        <v>0</v>
      </c>
      <c r="H577">
        <v>4</v>
      </c>
      <c r="I577">
        <v>0</v>
      </c>
      <c r="J577">
        <v>0</v>
      </c>
      <c r="K577">
        <v>23</v>
      </c>
      <c r="L577" t="s">
        <v>40</v>
      </c>
      <c r="M577" t="s">
        <v>38</v>
      </c>
      <c r="N577" s="1">
        <v>45905</v>
      </c>
      <c r="O577" s="2">
        <v>0.54181712962962958</v>
      </c>
      <c r="P577" s="2">
        <v>0.91667824074074078</v>
      </c>
      <c r="Q577">
        <v>9</v>
      </c>
      <c r="R577">
        <v>9</v>
      </c>
      <c r="S577">
        <v>0.75</v>
      </c>
      <c r="T577">
        <v>1.17</v>
      </c>
      <c r="U577">
        <v>0</v>
      </c>
      <c r="V577">
        <v>0.21</v>
      </c>
      <c r="W577">
        <v>5.4</v>
      </c>
      <c r="X577">
        <v>1.26</v>
      </c>
      <c r="Y577">
        <v>0.2</v>
      </c>
      <c r="Z577">
        <v>0</v>
      </c>
      <c r="AA577">
        <v>0</v>
      </c>
      <c r="AB577">
        <v>0</v>
      </c>
      <c r="AC577">
        <v>9</v>
      </c>
      <c r="AD577">
        <v>8.39</v>
      </c>
      <c r="AE577">
        <v>13.05</v>
      </c>
      <c r="AF577">
        <v>0</v>
      </c>
      <c r="AG577">
        <v>2.29</v>
      </c>
      <c r="AH577">
        <v>60.06</v>
      </c>
      <c r="AI577">
        <v>13.96</v>
      </c>
      <c r="AJ577">
        <v>2.19</v>
      </c>
      <c r="AK577">
        <v>0</v>
      </c>
      <c r="AL577">
        <v>0</v>
      </c>
      <c r="AM577">
        <v>0.05</v>
      </c>
      <c r="AN577">
        <f t="shared" si="25"/>
        <v>6</v>
      </c>
      <c r="AO577" t="str">
        <f t="shared" si="26"/>
        <v>Friday</v>
      </c>
    </row>
    <row r="578" spans="1:41" x14ac:dyDescent="0.2">
      <c r="A578" t="s">
        <v>41</v>
      </c>
      <c r="B578" s="1">
        <v>45905</v>
      </c>
      <c r="C578" s="1">
        <f t="shared" si="24"/>
        <v>45930</v>
      </c>
      <c r="D578">
        <v>28</v>
      </c>
      <c r="E578">
        <v>49</v>
      </c>
      <c r="F578">
        <v>3</v>
      </c>
      <c r="G578">
        <v>7</v>
      </c>
      <c r="H578">
        <v>2</v>
      </c>
      <c r="I578">
        <v>0</v>
      </c>
      <c r="J578">
        <v>1</v>
      </c>
      <c r="K578">
        <v>25</v>
      </c>
      <c r="L578" t="s">
        <v>41</v>
      </c>
      <c r="M578" t="s">
        <v>38</v>
      </c>
      <c r="N578" s="1">
        <v>45905</v>
      </c>
      <c r="O578" s="2">
        <v>0.5417939814814815</v>
      </c>
      <c r="P578" s="2">
        <v>0.91940972222222217</v>
      </c>
      <c r="Q578">
        <v>9.0500000000000007</v>
      </c>
      <c r="R578">
        <v>9.06</v>
      </c>
      <c r="S578">
        <v>1.01</v>
      </c>
      <c r="T578">
        <v>0.22</v>
      </c>
      <c r="U578">
        <v>0</v>
      </c>
      <c r="V578">
        <v>0.4</v>
      </c>
      <c r="W578">
        <v>5.97</v>
      </c>
      <c r="X578">
        <v>1.46</v>
      </c>
      <c r="Y578">
        <v>0</v>
      </c>
      <c r="Z578">
        <v>0</v>
      </c>
      <c r="AA578">
        <v>0</v>
      </c>
      <c r="AB578">
        <v>0</v>
      </c>
      <c r="AC578">
        <v>9.06</v>
      </c>
      <c r="AD578">
        <v>11.14</v>
      </c>
      <c r="AE578">
        <v>2.38</v>
      </c>
      <c r="AF578">
        <v>0</v>
      </c>
      <c r="AG578">
        <v>4.42</v>
      </c>
      <c r="AH578">
        <v>65.900000000000006</v>
      </c>
      <c r="AI578">
        <v>16.11</v>
      </c>
      <c r="AJ578">
        <v>0</v>
      </c>
      <c r="AK578">
        <v>0</v>
      </c>
      <c r="AL578">
        <v>0</v>
      </c>
      <c r="AM578">
        <v>0.05</v>
      </c>
      <c r="AN578">
        <f t="shared" si="25"/>
        <v>6</v>
      </c>
      <c r="AO578" t="str">
        <f t="shared" si="26"/>
        <v>Friday</v>
      </c>
    </row>
    <row r="579" spans="1:41" x14ac:dyDescent="0.2">
      <c r="B579" s="1">
        <v>45905</v>
      </c>
      <c r="C579" s="1">
        <f t="shared" ref="C579:C642" si="27">EOMONTH(B579,0)</f>
        <v>45930</v>
      </c>
      <c r="D579">
        <v>454</v>
      </c>
      <c r="E579">
        <v>0</v>
      </c>
      <c r="F579">
        <v>0</v>
      </c>
      <c r="G579">
        <v>0</v>
      </c>
      <c r="H579">
        <v>0</v>
      </c>
      <c r="I579">
        <v>0</v>
      </c>
      <c r="J579">
        <v>0</v>
      </c>
      <c r="K579">
        <v>0</v>
      </c>
      <c r="AN579">
        <f t="shared" ref="AN579:AN642" si="28">WEEKDAY(B579,1)</f>
        <v>6</v>
      </c>
      <c r="AO579" t="str">
        <f t="shared" ref="AO579:AO642" si="29">VLOOKUP(AN579,$AY$2:$AZ$8,2,FALSE)</f>
        <v>Friday</v>
      </c>
    </row>
    <row r="580" spans="1:41" x14ac:dyDescent="0.2">
      <c r="A580" t="s">
        <v>39</v>
      </c>
      <c r="B580" s="1">
        <v>45904</v>
      </c>
      <c r="C580" s="1">
        <f t="shared" si="27"/>
        <v>45930</v>
      </c>
      <c r="D580">
        <v>29</v>
      </c>
      <c r="E580">
        <v>55</v>
      </c>
      <c r="F580">
        <v>11</v>
      </c>
      <c r="G580">
        <v>4</v>
      </c>
      <c r="H580">
        <v>3</v>
      </c>
      <c r="I580">
        <v>1</v>
      </c>
      <c r="J580">
        <v>0</v>
      </c>
      <c r="K580">
        <v>25</v>
      </c>
      <c r="L580" t="s">
        <v>39</v>
      </c>
      <c r="M580" t="s">
        <v>38</v>
      </c>
      <c r="N580" s="1">
        <v>45904</v>
      </c>
      <c r="O580" s="2">
        <v>0.54207175925925921</v>
      </c>
      <c r="P580" s="2">
        <v>0.91677083333333331</v>
      </c>
      <c r="Q580">
        <v>9</v>
      </c>
      <c r="R580">
        <v>8.99</v>
      </c>
      <c r="S580">
        <v>1.9</v>
      </c>
      <c r="T580">
        <v>0.09</v>
      </c>
      <c r="U580">
        <v>0</v>
      </c>
      <c r="V580">
        <v>0.04</v>
      </c>
      <c r="W580">
        <v>5.49</v>
      </c>
      <c r="X580">
        <v>1.47</v>
      </c>
      <c r="Y580">
        <v>0</v>
      </c>
      <c r="Z580">
        <v>0</v>
      </c>
      <c r="AA580">
        <v>0</v>
      </c>
      <c r="AB580">
        <v>0</v>
      </c>
      <c r="AC580">
        <v>8.99</v>
      </c>
      <c r="AD580">
        <v>21.11</v>
      </c>
      <c r="AE580">
        <v>0.98</v>
      </c>
      <c r="AF580">
        <v>0</v>
      </c>
      <c r="AG580">
        <v>0.48</v>
      </c>
      <c r="AH580">
        <v>61.06</v>
      </c>
      <c r="AI580">
        <v>16.329999999999998</v>
      </c>
      <c r="AJ580">
        <v>0</v>
      </c>
      <c r="AK580">
        <v>0</v>
      </c>
      <c r="AL580">
        <v>0</v>
      </c>
      <c r="AM580">
        <v>0.05</v>
      </c>
      <c r="AN580">
        <f t="shared" si="28"/>
        <v>5</v>
      </c>
      <c r="AO580" t="str">
        <f t="shared" si="29"/>
        <v>Thursday</v>
      </c>
    </row>
    <row r="581" spans="1:41" x14ac:dyDescent="0.2">
      <c r="A581" t="s">
        <v>40</v>
      </c>
      <c r="B581" s="1">
        <v>45904</v>
      </c>
      <c r="C581" s="1">
        <f t="shared" si="27"/>
        <v>45930</v>
      </c>
      <c r="D581">
        <v>32</v>
      </c>
      <c r="E581">
        <v>78</v>
      </c>
      <c r="F581">
        <v>2</v>
      </c>
      <c r="G581">
        <v>1</v>
      </c>
      <c r="H581">
        <v>7</v>
      </c>
      <c r="I581">
        <v>4</v>
      </c>
      <c r="J581">
        <v>0</v>
      </c>
      <c r="K581">
        <v>47</v>
      </c>
      <c r="L581" t="s">
        <v>40</v>
      </c>
      <c r="M581" t="s">
        <v>38</v>
      </c>
      <c r="N581" s="1">
        <v>45904</v>
      </c>
      <c r="O581" s="2">
        <v>0.54217592592592589</v>
      </c>
      <c r="P581" s="2">
        <v>0.91701388888888891</v>
      </c>
      <c r="Q581">
        <v>9</v>
      </c>
      <c r="R581">
        <v>8.99</v>
      </c>
      <c r="S581">
        <v>1.41</v>
      </c>
      <c r="T581">
        <v>0.25</v>
      </c>
      <c r="U581">
        <v>0</v>
      </c>
      <c r="V581">
        <v>0.4</v>
      </c>
      <c r="W581">
        <v>5.07</v>
      </c>
      <c r="X581">
        <v>0.99</v>
      </c>
      <c r="Y581">
        <v>0.87</v>
      </c>
      <c r="Z581">
        <v>0</v>
      </c>
      <c r="AA581">
        <v>0</v>
      </c>
      <c r="AB581">
        <v>0</v>
      </c>
      <c r="AC581">
        <v>8.99</v>
      </c>
      <c r="AD581">
        <v>15.71</v>
      </c>
      <c r="AE581">
        <v>2.79</v>
      </c>
      <c r="AF581">
        <v>0</v>
      </c>
      <c r="AG581">
        <v>4.47</v>
      </c>
      <c r="AH581">
        <v>56.37</v>
      </c>
      <c r="AI581">
        <v>11</v>
      </c>
      <c r="AJ581">
        <v>9.6199999999999992</v>
      </c>
      <c r="AK581">
        <v>0</v>
      </c>
      <c r="AL581">
        <v>0</v>
      </c>
      <c r="AM581">
        <v>0.04</v>
      </c>
      <c r="AN581">
        <f t="shared" si="28"/>
        <v>5</v>
      </c>
      <c r="AO581" t="str">
        <f t="shared" si="29"/>
        <v>Thursday</v>
      </c>
    </row>
    <row r="582" spans="1:41" x14ac:dyDescent="0.2">
      <c r="A582" t="s">
        <v>41</v>
      </c>
      <c r="B582" s="1">
        <v>45904</v>
      </c>
      <c r="C582" s="1">
        <f t="shared" si="27"/>
        <v>45930</v>
      </c>
      <c r="D582">
        <v>28</v>
      </c>
      <c r="E582">
        <v>60</v>
      </c>
      <c r="F582">
        <v>10</v>
      </c>
      <c r="G582">
        <v>5</v>
      </c>
      <c r="H582">
        <v>5</v>
      </c>
      <c r="I582">
        <v>0</v>
      </c>
      <c r="J582">
        <v>1</v>
      </c>
      <c r="K582">
        <v>34</v>
      </c>
      <c r="L582" t="s">
        <v>41</v>
      </c>
      <c r="M582" t="s">
        <v>38</v>
      </c>
      <c r="N582" s="1">
        <v>45904</v>
      </c>
      <c r="O582" s="2">
        <v>0.54173611111111108</v>
      </c>
      <c r="P582" s="2">
        <v>0.91614583333333333</v>
      </c>
      <c r="Q582">
        <v>8.98</v>
      </c>
      <c r="R582">
        <v>8.98</v>
      </c>
      <c r="S582">
        <v>1.51</v>
      </c>
      <c r="T582">
        <v>0.22</v>
      </c>
      <c r="U582">
        <v>0</v>
      </c>
      <c r="V582">
        <v>0.33</v>
      </c>
      <c r="W582">
        <v>5.48</v>
      </c>
      <c r="X582">
        <v>1.43</v>
      </c>
      <c r="Y582">
        <v>0</v>
      </c>
      <c r="Z582">
        <v>0</v>
      </c>
      <c r="AA582">
        <v>0</v>
      </c>
      <c r="AB582">
        <v>0</v>
      </c>
      <c r="AC582">
        <v>8.98</v>
      </c>
      <c r="AD582">
        <v>16.829999999999998</v>
      </c>
      <c r="AE582">
        <v>2.5</v>
      </c>
      <c r="AF582">
        <v>0</v>
      </c>
      <c r="AG582">
        <v>3.63</v>
      </c>
      <c r="AH582">
        <v>61.03</v>
      </c>
      <c r="AI582">
        <v>15.97</v>
      </c>
      <c r="AJ582">
        <v>0</v>
      </c>
      <c r="AK582">
        <v>0</v>
      </c>
      <c r="AL582">
        <v>0</v>
      </c>
      <c r="AM582">
        <v>0.04</v>
      </c>
      <c r="AN582">
        <f t="shared" si="28"/>
        <v>5</v>
      </c>
      <c r="AO582" t="str">
        <f t="shared" si="29"/>
        <v>Thursday</v>
      </c>
    </row>
    <row r="583" spans="1:41" x14ac:dyDescent="0.2">
      <c r="A583" t="s">
        <v>43</v>
      </c>
      <c r="B583" s="1">
        <v>45904</v>
      </c>
      <c r="C583" s="1">
        <f t="shared" si="27"/>
        <v>45930</v>
      </c>
      <c r="D583">
        <v>25</v>
      </c>
      <c r="E583">
        <v>57</v>
      </c>
      <c r="F583">
        <v>5</v>
      </c>
      <c r="G583">
        <v>2</v>
      </c>
      <c r="H583">
        <v>6</v>
      </c>
      <c r="I583">
        <v>2</v>
      </c>
      <c r="J583">
        <v>1</v>
      </c>
      <c r="K583">
        <v>28</v>
      </c>
      <c r="L583" t="s">
        <v>43</v>
      </c>
      <c r="M583" t="s">
        <v>38</v>
      </c>
      <c r="N583" s="1">
        <v>45904</v>
      </c>
      <c r="O583" s="2">
        <v>0.541412037037037</v>
      </c>
      <c r="P583" s="2">
        <v>0.93929398148148147</v>
      </c>
      <c r="Q583">
        <v>9.5500000000000007</v>
      </c>
      <c r="R583">
        <v>9.5500000000000007</v>
      </c>
      <c r="S583">
        <v>2.36</v>
      </c>
      <c r="T583">
        <v>0.2</v>
      </c>
      <c r="U583">
        <v>0</v>
      </c>
      <c r="V583">
        <v>0.34</v>
      </c>
      <c r="W583">
        <v>5.16</v>
      </c>
      <c r="X583">
        <v>1.47</v>
      </c>
      <c r="Y583">
        <v>0</v>
      </c>
      <c r="Z583">
        <v>0</v>
      </c>
      <c r="AA583">
        <v>0.01</v>
      </c>
      <c r="AB583">
        <v>0.01</v>
      </c>
      <c r="AC583">
        <v>9.5500000000000007</v>
      </c>
      <c r="AD583">
        <v>24.69</v>
      </c>
      <c r="AE583">
        <v>2.11</v>
      </c>
      <c r="AF583">
        <v>0</v>
      </c>
      <c r="AG583">
        <v>3.58</v>
      </c>
      <c r="AH583">
        <v>54.02</v>
      </c>
      <c r="AI583">
        <v>15.37</v>
      </c>
      <c r="AJ583">
        <v>0</v>
      </c>
      <c r="AK583">
        <v>0</v>
      </c>
      <c r="AL583">
        <v>0.1</v>
      </c>
      <c r="AM583">
        <v>0.13</v>
      </c>
      <c r="AN583">
        <f t="shared" si="28"/>
        <v>5</v>
      </c>
      <c r="AO583" t="str">
        <f t="shared" si="29"/>
        <v>Thursday</v>
      </c>
    </row>
    <row r="584" spans="1:41" x14ac:dyDescent="0.2">
      <c r="B584" s="1">
        <v>45904</v>
      </c>
      <c r="C584" s="1">
        <f t="shared" si="27"/>
        <v>45930</v>
      </c>
      <c r="D584">
        <v>476</v>
      </c>
      <c r="E584">
        <v>0</v>
      </c>
      <c r="F584">
        <v>0</v>
      </c>
      <c r="G584">
        <v>0</v>
      </c>
      <c r="H584">
        <v>0</v>
      </c>
      <c r="I584">
        <v>0</v>
      </c>
      <c r="J584">
        <v>0</v>
      </c>
      <c r="K584">
        <v>0</v>
      </c>
      <c r="AN584">
        <f t="shared" si="28"/>
        <v>5</v>
      </c>
      <c r="AO584" t="str">
        <f t="shared" si="29"/>
        <v>Thursday</v>
      </c>
    </row>
    <row r="585" spans="1:41" x14ac:dyDescent="0.2">
      <c r="A585" t="s">
        <v>37</v>
      </c>
      <c r="B585" s="1">
        <v>45903</v>
      </c>
      <c r="C585" s="1">
        <f t="shared" si="27"/>
        <v>45930</v>
      </c>
      <c r="D585">
        <v>19</v>
      </c>
      <c r="E585">
        <v>47</v>
      </c>
      <c r="F585">
        <v>1</v>
      </c>
      <c r="G585">
        <v>2</v>
      </c>
      <c r="H585">
        <v>0</v>
      </c>
      <c r="I585">
        <v>0</v>
      </c>
      <c r="J585">
        <v>1</v>
      </c>
      <c r="K585">
        <v>32</v>
      </c>
      <c r="L585" t="s">
        <v>37</v>
      </c>
      <c r="M585" t="s">
        <v>38</v>
      </c>
      <c r="N585" s="1">
        <v>45903</v>
      </c>
      <c r="O585" s="2">
        <v>0.54229166666666662</v>
      </c>
      <c r="P585" s="2">
        <v>0.68023148148148149</v>
      </c>
      <c r="Q585">
        <v>3.32</v>
      </c>
      <c r="R585">
        <v>3.31</v>
      </c>
      <c r="S585">
        <v>0.4</v>
      </c>
      <c r="T585">
        <v>7.0000000000000007E-2</v>
      </c>
      <c r="U585">
        <v>0</v>
      </c>
      <c r="V585">
        <v>0.1</v>
      </c>
      <c r="W585">
        <v>2.2999999999999998</v>
      </c>
      <c r="X585">
        <v>0.4</v>
      </c>
      <c r="Y585">
        <v>0</v>
      </c>
      <c r="Z585">
        <v>0</v>
      </c>
      <c r="AA585">
        <v>0</v>
      </c>
      <c r="AB585">
        <v>0.03</v>
      </c>
      <c r="AC585">
        <v>3.31</v>
      </c>
      <c r="AD585">
        <v>12.24</v>
      </c>
      <c r="AE585">
        <v>2.15</v>
      </c>
      <c r="AF585">
        <v>0</v>
      </c>
      <c r="AG585">
        <v>3</v>
      </c>
      <c r="AH585">
        <v>69.45</v>
      </c>
      <c r="AI585">
        <v>12.2</v>
      </c>
      <c r="AJ585">
        <v>0</v>
      </c>
      <c r="AK585">
        <v>0</v>
      </c>
      <c r="AL585">
        <v>0</v>
      </c>
      <c r="AM585">
        <v>0.97</v>
      </c>
      <c r="AN585">
        <f t="shared" si="28"/>
        <v>4</v>
      </c>
      <c r="AO585" t="str">
        <f t="shared" si="29"/>
        <v>Wednesday</v>
      </c>
    </row>
    <row r="586" spans="1:41" x14ac:dyDescent="0.2">
      <c r="A586" t="s">
        <v>39</v>
      </c>
      <c r="B586" s="1">
        <v>45903</v>
      </c>
      <c r="C586" s="1">
        <f t="shared" si="27"/>
        <v>45930</v>
      </c>
      <c r="D586">
        <v>36</v>
      </c>
      <c r="E586">
        <v>86</v>
      </c>
      <c r="F586">
        <v>6</v>
      </c>
      <c r="G586">
        <v>4</v>
      </c>
      <c r="H586">
        <v>7</v>
      </c>
      <c r="I586">
        <v>0</v>
      </c>
      <c r="J586">
        <v>0</v>
      </c>
      <c r="K586">
        <v>38</v>
      </c>
      <c r="L586" t="s">
        <v>39</v>
      </c>
      <c r="M586" t="s">
        <v>38</v>
      </c>
      <c r="N586" s="1">
        <v>45903</v>
      </c>
      <c r="O586" s="2">
        <v>0.54175925925925927</v>
      </c>
      <c r="P586" s="2">
        <v>0.91824074074074069</v>
      </c>
      <c r="Q586">
        <v>9.0299999999999994</v>
      </c>
      <c r="R586">
        <v>9.0299999999999994</v>
      </c>
      <c r="S586">
        <v>2.36</v>
      </c>
      <c r="T586">
        <v>0.04</v>
      </c>
      <c r="U586">
        <v>0</v>
      </c>
      <c r="V586">
        <v>0.04</v>
      </c>
      <c r="W586">
        <v>5.0999999999999996</v>
      </c>
      <c r="X586">
        <v>1.48</v>
      </c>
      <c r="Y586">
        <v>0</v>
      </c>
      <c r="Z586">
        <v>0</v>
      </c>
      <c r="AA586">
        <v>0</v>
      </c>
      <c r="AB586">
        <v>0.01</v>
      </c>
      <c r="AC586">
        <v>9.0299999999999994</v>
      </c>
      <c r="AD586">
        <v>26.1</v>
      </c>
      <c r="AE586">
        <v>0.47</v>
      </c>
      <c r="AF586">
        <v>0</v>
      </c>
      <c r="AG586">
        <v>0.45</v>
      </c>
      <c r="AH586">
        <v>56.44</v>
      </c>
      <c r="AI586">
        <v>16.38</v>
      </c>
      <c r="AJ586">
        <v>0</v>
      </c>
      <c r="AK586">
        <v>0</v>
      </c>
      <c r="AL586">
        <v>0</v>
      </c>
      <c r="AM586">
        <v>0.16</v>
      </c>
      <c r="AN586">
        <f t="shared" si="28"/>
        <v>4</v>
      </c>
      <c r="AO586" t="str">
        <f t="shared" si="29"/>
        <v>Wednesday</v>
      </c>
    </row>
    <row r="587" spans="1:41" x14ac:dyDescent="0.2">
      <c r="A587" t="s">
        <v>40</v>
      </c>
      <c r="B587" s="1">
        <v>45903</v>
      </c>
      <c r="C587" s="1">
        <f t="shared" si="27"/>
        <v>45930</v>
      </c>
      <c r="D587">
        <v>33</v>
      </c>
      <c r="E587">
        <v>88</v>
      </c>
      <c r="F587">
        <v>8</v>
      </c>
      <c r="G587">
        <v>0</v>
      </c>
      <c r="H587">
        <v>11</v>
      </c>
      <c r="I587">
        <v>1</v>
      </c>
      <c r="J587">
        <v>0</v>
      </c>
      <c r="K587">
        <v>51</v>
      </c>
      <c r="L587" t="s">
        <v>40</v>
      </c>
      <c r="M587" t="s">
        <v>38</v>
      </c>
      <c r="N587" s="1">
        <v>45903</v>
      </c>
      <c r="O587" s="2">
        <v>0.54172453703703705</v>
      </c>
      <c r="P587" s="2">
        <v>0.91671296296296301</v>
      </c>
      <c r="Q587">
        <v>9</v>
      </c>
      <c r="R587">
        <v>8.98</v>
      </c>
      <c r="S587">
        <v>1.76</v>
      </c>
      <c r="T587">
        <v>0.28000000000000003</v>
      </c>
      <c r="U587">
        <v>0</v>
      </c>
      <c r="V587">
        <v>0.56999999999999995</v>
      </c>
      <c r="W587">
        <v>4.7699999999999996</v>
      </c>
      <c r="X587">
        <v>1.53</v>
      </c>
      <c r="Y587">
        <v>0</v>
      </c>
      <c r="Z587">
        <v>0.06</v>
      </c>
      <c r="AA587">
        <v>0</v>
      </c>
      <c r="AB587">
        <v>0.01</v>
      </c>
      <c r="AC587">
        <v>8.98</v>
      </c>
      <c r="AD587">
        <v>19.579999999999998</v>
      </c>
      <c r="AE587">
        <v>3.13</v>
      </c>
      <c r="AF587">
        <v>0</v>
      </c>
      <c r="AG587">
        <v>6.34</v>
      </c>
      <c r="AH587">
        <v>53.09</v>
      </c>
      <c r="AI587">
        <v>17.079999999999998</v>
      </c>
      <c r="AJ587">
        <v>0</v>
      </c>
      <c r="AK587">
        <v>0.65</v>
      </c>
      <c r="AL587">
        <v>0</v>
      </c>
      <c r="AM587">
        <v>0.12</v>
      </c>
      <c r="AN587">
        <f t="shared" si="28"/>
        <v>4</v>
      </c>
      <c r="AO587" t="str">
        <f t="shared" si="29"/>
        <v>Wednesday</v>
      </c>
    </row>
    <row r="588" spans="1:41" x14ac:dyDescent="0.2">
      <c r="A588" t="s">
        <v>41</v>
      </c>
      <c r="B588" s="1">
        <v>45903</v>
      </c>
      <c r="C588" s="1">
        <f t="shared" si="27"/>
        <v>45930</v>
      </c>
      <c r="D588">
        <v>37</v>
      </c>
      <c r="E588">
        <v>103</v>
      </c>
      <c r="F588">
        <v>5</v>
      </c>
      <c r="G588">
        <v>3</v>
      </c>
      <c r="H588">
        <v>7</v>
      </c>
      <c r="I588">
        <v>0</v>
      </c>
      <c r="J588">
        <v>0</v>
      </c>
      <c r="K588">
        <v>60</v>
      </c>
      <c r="L588" t="s">
        <v>41</v>
      </c>
      <c r="M588" t="s">
        <v>38</v>
      </c>
      <c r="N588" s="1">
        <v>45903</v>
      </c>
      <c r="O588" s="2">
        <v>0.54181712962962958</v>
      </c>
      <c r="P588" s="2">
        <v>0.9161111111111111</v>
      </c>
      <c r="Q588">
        <v>8.98</v>
      </c>
      <c r="R588">
        <v>8.98</v>
      </c>
      <c r="S588">
        <v>1.35</v>
      </c>
      <c r="T588">
        <v>0.46</v>
      </c>
      <c r="U588">
        <v>0</v>
      </c>
      <c r="V588">
        <v>0.17</v>
      </c>
      <c r="W588">
        <v>5.54</v>
      </c>
      <c r="X588">
        <v>1.46</v>
      </c>
      <c r="Y588">
        <v>0</v>
      </c>
      <c r="Z588">
        <v>0</v>
      </c>
      <c r="AA588">
        <v>0</v>
      </c>
      <c r="AB588">
        <v>0</v>
      </c>
      <c r="AC588">
        <v>8.98</v>
      </c>
      <c r="AD588">
        <v>15</v>
      </c>
      <c r="AE588">
        <v>5.1100000000000003</v>
      </c>
      <c r="AF588">
        <v>0</v>
      </c>
      <c r="AG588">
        <v>1.91</v>
      </c>
      <c r="AH588">
        <v>61.67</v>
      </c>
      <c r="AI588">
        <v>16.27</v>
      </c>
      <c r="AJ588">
        <v>0</v>
      </c>
      <c r="AK588">
        <v>0</v>
      </c>
      <c r="AL588">
        <v>0</v>
      </c>
      <c r="AM588">
        <v>0.04</v>
      </c>
      <c r="AN588">
        <f t="shared" si="28"/>
        <v>4</v>
      </c>
      <c r="AO588" t="str">
        <f t="shared" si="29"/>
        <v>Wednesday</v>
      </c>
    </row>
    <row r="589" spans="1:41" x14ac:dyDescent="0.2">
      <c r="A589" t="s">
        <v>43</v>
      </c>
      <c r="B589" s="1">
        <v>45903</v>
      </c>
      <c r="C589" s="1">
        <f t="shared" si="27"/>
        <v>45930</v>
      </c>
      <c r="D589">
        <v>25</v>
      </c>
      <c r="E589">
        <v>77</v>
      </c>
      <c r="F589">
        <v>7</v>
      </c>
      <c r="G589">
        <v>11</v>
      </c>
      <c r="H589">
        <v>8</v>
      </c>
      <c r="I589">
        <v>0</v>
      </c>
      <c r="J589">
        <v>0</v>
      </c>
      <c r="K589">
        <v>31</v>
      </c>
      <c r="L589" t="s">
        <v>43</v>
      </c>
      <c r="M589" t="s">
        <v>38</v>
      </c>
      <c r="N589" s="1">
        <v>45903</v>
      </c>
      <c r="O589" s="2">
        <v>0.54153935185185187</v>
      </c>
      <c r="P589" s="2">
        <v>0.91833333333333333</v>
      </c>
      <c r="Q589">
        <v>9.0500000000000007</v>
      </c>
      <c r="R589">
        <v>9.0399999999999991</v>
      </c>
      <c r="S589">
        <v>2.46</v>
      </c>
      <c r="T589">
        <v>0.22</v>
      </c>
      <c r="U589">
        <v>0</v>
      </c>
      <c r="V589">
        <v>0.52</v>
      </c>
      <c r="W589">
        <v>4.0999999999999996</v>
      </c>
      <c r="X589">
        <v>1.47</v>
      </c>
      <c r="Y589">
        <v>0.2</v>
      </c>
      <c r="Z589">
        <v>0</v>
      </c>
      <c r="AA589">
        <v>0.06</v>
      </c>
      <c r="AB589">
        <v>0.01</v>
      </c>
      <c r="AC589">
        <v>9.0399999999999991</v>
      </c>
      <c r="AD589">
        <v>27.21</v>
      </c>
      <c r="AE589">
        <v>2.4300000000000002</v>
      </c>
      <c r="AF589">
        <v>0</v>
      </c>
      <c r="AG589">
        <v>5.71</v>
      </c>
      <c r="AH589">
        <v>45.34</v>
      </c>
      <c r="AI589">
        <v>16.239999999999998</v>
      </c>
      <c r="AJ589">
        <v>2.2599999999999998</v>
      </c>
      <c r="AK589">
        <v>0</v>
      </c>
      <c r="AL589">
        <v>0.67</v>
      </c>
      <c r="AM589">
        <v>0.14000000000000001</v>
      </c>
      <c r="AN589">
        <f t="shared" si="28"/>
        <v>4</v>
      </c>
      <c r="AO589" t="str">
        <f t="shared" si="29"/>
        <v>Wednesday</v>
      </c>
    </row>
    <row r="590" spans="1:41" x14ac:dyDescent="0.2">
      <c r="B590" s="1">
        <v>45903</v>
      </c>
      <c r="C590" s="1">
        <f t="shared" si="27"/>
        <v>45930</v>
      </c>
      <c r="D590">
        <v>487</v>
      </c>
      <c r="E590">
        <v>0</v>
      </c>
      <c r="F590">
        <v>0</v>
      </c>
      <c r="G590">
        <v>0</v>
      </c>
      <c r="H590">
        <v>0</v>
      </c>
      <c r="I590">
        <v>0</v>
      </c>
      <c r="J590">
        <v>0</v>
      </c>
      <c r="K590">
        <v>0</v>
      </c>
      <c r="AN590">
        <f t="shared" si="28"/>
        <v>4</v>
      </c>
      <c r="AO590" t="str">
        <f t="shared" si="29"/>
        <v>Wednesday</v>
      </c>
    </row>
    <row r="591" spans="1:41" x14ac:dyDescent="0.2">
      <c r="A591" t="s">
        <v>39</v>
      </c>
      <c r="B591" s="1">
        <v>45902</v>
      </c>
      <c r="C591" s="1">
        <f t="shared" si="27"/>
        <v>45930</v>
      </c>
      <c r="D591">
        <v>28</v>
      </c>
      <c r="E591">
        <v>57</v>
      </c>
      <c r="F591">
        <v>7</v>
      </c>
      <c r="G591">
        <v>6</v>
      </c>
      <c r="H591">
        <v>12</v>
      </c>
      <c r="I591">
        <v>0</v>
      </c>
      <c r="J591">
        <v>0</v>
      </c>
      <c r="K591">
        <v>19</v>
      </c>
      <c r="L591" t="s">
        <v>39</v>
      </c>
      <c r="M591" t="s">
        <v>38</v>
      </c>
      <c r="N591" s="1">
        <v>45902</v>
      </c>
      <c r="O591" s="2">
        <v>0.5420949074074074</v>
      </c>
      <c r="P591" s="2">
        <v>0.9167939814814815</v>
      </c>
      <c r="Q591">
        <v>9</v>
      </c>
      <c r="R591">
        <v>8.99</v>
      </c>
      <c r="S591">
        <v>1.59</v>
      </c>
      <c r="T591">
        <v>0.09</v>
      </c>
      <c r="U591">
        <v>0</v>
      </c>
      <c r="V591">
        <v>0.04</v>
      </c>
      <c r="W591">
        <v>5.61</v>
      </c>
      <c r="X591">
        <v>1.49</v>
      </c>
      <c r="Y591">
        <v>0.16</v>
      </c>
      <c r="Z591">
        <v>0</v>
      </c>
      <c r="AA591">
        <v>0</v>
      </c>
      <c r="AB591">
        <v>0</v>
      </c>
      <c r="AC591">
        <v>8.99</v>
      </c>
      <c r="AD591">
        <v>17.71</v>
      </c>
      <c r="AE591">
        <v>1</v>
      </c>
      <c r="AF591">
        <v>0</v>
      </c>
      <c r="AG591">
        <v>0.42</v>
      </c>
      <c r="AH591">
        <v>62.44</v>
      </c>
      <c r="AI591">
        <v>16.579999999999998</v>
      </c>
      <c r="AJ591">
        <v>1.81</v>
      </c>
      <c r="AK591">
        <v>0</v>
      </c>
      <c r="AL591">
        <v>0</v>
      </c>
      <c r="AM591">
        <v>0.04</v>
      </c>
      <c r="AN591">
        <f t="shared" si="28"/>
        <v>3</v>
      </c>
      <c r="AO591" t="str">
        <f t="shared" si="29"/>
        <v>Tuesday</v>
      </c>
    </row>
    <row r="592" spans="1:41" x14ac:dyDescent="0.2">
      <c r="A592" t="s">
        <v>40</v>
      </c>
      <c r="B592" s="1">
        <v>45902</v>
      </c>
      <c r="C592" s="1">
        <f t="shared" si="27"/>
        <v>45930</v>
      </c>
      <c r="D592">
        <v>27</v>
      </c>
      <c r="E592">
        <v>64</v>
      </c>
      <c r="F592">
        <v>3</v>
      </c>
      <c r="G592">
        <v>3</v>
      </c>
      <c r="H592">
        <v>10</v>
      </c>
      <c r="I592">
        <v>2</v>
      </c>
      <c r="J592">
        <v>0</v>
      </c>
      <c r="K592">
        <v>42</v>
      </c>
      <c r="L592" t="s">
        <v>40</v>
      </c>
      <c r="M592" t="s">
        <v>38</v>
      </c>
      <c r="N592" s="1">
        <v>45902</v>
      </c>
      <c r="O592" s="2">
        <v>0.54197916666666668</v>
      </c>
      <c r="P592" s="2">
        <v>0.91670138888888886</v>
      </c>
      <c r="Q592">
        <v>9</v>
      </c>
      <c r="R592">
        <v>8.99</v>
      </c>
      <c r="S592">
        <v>1.1200000000000001</v>
      </c>
      <c r="T592">
        <v>0.4</v>
      </c>
      <c r="U592">
        <v>0</v>
      </c>
      <c r="V592">
        <v>0.64</v>
      </c>
      <c r="W592">
        <v>5.09</v>
      </c>
      <c r="X592">
        <v>1.52</v>
      </c>
      <c r="Y592">
        <v>0.22</v>
      </c>
      <c r="Z592">
        <v>0</v>
      </c>
      <c r="AA592">
        <v>0</v>
      </c>
      <c r="AB592">
        <v>0</v>
      </c>
      <c r="AC592">
        <v>8.99</v>
      </c>
      <c r="AD592">
        <v>12.49</v>
      </c>
      <c r="AE592">
        <v>4.42</v>
      </c>
      <c r="AF592">
        <v>0</v>
      </c>
      <c r="AG592">
        <v>7.08</v>
      </c>
      <c r="AH592">
        <v>56.63</v>
      </c>
      <c r="AI592">
        <v>16.899999999999999</v>
      </c>
      <c r="AJ592">
        <v>2.44</v>
      </c>
      <c r="AK592">
        <v>0</v>
      </c>
      <c r="AL592">
        <v>0</v>
      </c>
      <c r="AM592">
        <v>0.04</v>
      </c>
      <c r="AN592">
        <f t="shared" si="28"/>
        <v>3</v>
      </c>
      <c r="AO592" t="str">
        <f t="shared" si="29"/>
        <v>Tuesday</v>
      </c>
    </row>
    <row r="593" spans="1:41" x14ac:dyDescent="0.2">
      <c r="A593" t="s">
        <v>41</v>
      </c>
      <c r="B593" s="1">
        <v>45902</v>
      </c>
      <c r="C593" s="1">
        <f t="shared" si="27"/>
        <v>45930</v>
      </c>
      <c r="D593">
        <v>20</v>
      </c>
      <c r="E593">
        <v>50</v>
      </c>
      <c r="F593">
        <v>1</v>
      </c>
      <c r="G593">
        <v>3</v>
      </c>
      <c r="H593">
        <v>5</v>
      </c>
      <c r="I593">
        <v>0</v>
      </c>
      <c r="J593">
        <v>5</v>
      </c>
      <c r="K593">
        <v>28</v>
      </c>
      <c r="L593" t="s">
        <v>41</v>
      </c>
      <c r="M593" t="s">
        <v>38</v>
      </c>
      <c r="N593" s="1">
        <v>45902</v>
      </c>
      <c r="O593" s="2">
        <v>0.64673611111111107</v>
      </c>
      <c r="P593" s="2">
        <v>0.91715277777777782</v>
      </c>
      <c r="Q593">
        <v>6.48</v>
      </c>
      <c r="R593">
        <v>6.49</v>
      </c>
      <c r="S593">
        <v>0.73</v>
      </c>
      <c r="T593">
        <v>0.26</v>
      </c>
      <c r="U593">
        <v>0</v>
      </c>
      <c r="V593">
        <v>0.19</v>
      </c>
      <c r="W593">
        <v>3.88</v>
      </c>
      <c r="X593">
        <v>1.42</v>
      </c>
      <c r="Y593">
        <v>0</v>
      </c>
      <c r="Z593">
        <v>0</v>
      </c>
      <c r="AA593">
        <v>0</v>
      </c>
      <c r="AB593">
        <v>0</v>
      </c>
      <c r="AC593">
        <v>6.49</v>
      </c>
      <c r="AD593">
        <v>11.22</v>
      </c>
      <c r="AE593">
        <v>4</v>
      </c>
      <c r="AF593">
        <v>0</v>
      </c>
      <c r="AG593">
        <v>2.98</v>
      </c>
      <c r="AH593">
        <v>59.83</v>
      </c>
      <c r="AI593">
        <v>21.9</v>
      </c>
      <c r="AJ593">
        <v>0</v>
      </c>
      <c r="AK593">
        <v>0</v>
      </c>
      <c r="AL593">
        <v>0</v>
      </c>
      <c r="AM593">
        <v>7.0000000000000007E-2</v>
      </c>
      <c r="AN593">
        <f t="shared" si="28"/>
        <v>3</v>
      </c>
      <c r="AO593" t="str">
        <f t="shared" si="29"/>
        <v>Tuesday</v>
      </c>
    </row>
    <row r="594" spans="1:41" x14ac:dyDescent="0.2">
      <c r="A594" t="s">
        <v>43</v>
      </c>
      <c r="B594" s="1">
        <v>45902</v>
      </c>
      <c r="C594" s="1">
        <f t="shared" si="27"/>
        <v>45930</v>
      </c>
      <c r="D594">
        <v>32</v>
      </c>
      <c r="E594">
        <v>93</v>
      </c>
      <c r="F594">
        <v>0</v>
      </c>
      <c r="G594">
        <v>7</v>
      </c>
      <c r="H594">
        <v>3</v>
      </c>
      <c r="I594">
        <v>1</v>
      </c>
      <c r="J594">
        <v>1</v>
      </c>
      <c r="K594">
        <v>52</v>
      </c>
      <c r="L594" t="s">
        <v>43</v>
      </c>
      <c r="M594" t="s">
        <v>38</v>
      </c>
      <c r="N594" s="1">
        <v>45902</v>
      </c>
      <c r="O594" s="2">
        <v>0.54193287037037041</v>
      </c>
      <c r="P594" s="2">
        <v>0.91741898148148149</v>
      </c>
      <c r="Q594">
        <v>9.02</v>
      </c>
      <c r="R594">
        <v>9.01</v>
      </c>
      <c r="S594">
        <v>1.82</v>
      </c>
      <c r="T594">
        <v>0.16</v>
      </c>
      <c r="U594">
        <v>0</v>
      </c>
      <c r="V594">
        <v>0.6</v>
      </c>
      <c r="W594">
        <v>4.93</v>
      </c>
      <c r="X594">
        <v>1.48</v>
      </c>
      <c r="Y594">
        <v>0</v>
      </c>
      <c r="Z594">
        <v>0</v>
      </c>
      <c r="AA594">
        <v>0</v>
      </c>
      <c r="AB594">
        <v>0.01</v>
      </c>
      <c r="AC594">
        <v>9.01</v>
      </c>
      <c r="AD594">
        <v>20.22</v>
      </c>
      <c r="AE594">
        <v>1.83</v>
      </c>
      <c r="AF594">
        <v>0</v>
      </c>
      <c r="AG594">
        <v>6.64</v>
      </c>
      <c r="AH594">
        <v>54.73</v>
      </c>
      <c r="AI594">
        <v>16.440000000000001</v>
      </c>
      <c r="AJ594">
        <v>0</v>
      </c>
      <c r="AK594">
        <v>0</v>
      </c>
      <c r="AL594">
        <v>0</v>
      </c>
      <c r="AM594">
        <v>0.14000000000000001</v>
      </c>
      <c r="AN594">
        <f t="shared" si="28"/>
        <v>3</v>
      </c>
      <c r="AO594" t="str">
        <f t="shared" si="29"/>
        <v>Tuesday</v>
      </c>
    </row>
    <row r="595" spans="1:41" x14ac:dyDescent="0.2">
      <c r="B595" s="1">
        <v>45902</v>
      </c>
      <c r="C595" s="1">
        <f t="shared" si="27"/>
        <v>45930</v>
      </c>
      <c r="D595">
        <v>441</v>
      </c>
      <c r="E595">
        <v>0</v>
      </c>
      <c r="F595">
        <v>0</v>
      </c>
      <c r="G595">
        <v>0</v>
      </c>
      <c r="H595">
        <v>0</v>
      </c>
      <c r="I595">
        <v>0</v>
      </c>
      <c r="J595">
        <v>0</v>
      </c>
      <c r="K595">
        <v>0</v>
      </c>
      <c r="AN595">
        <f t="shared" si="28"/>
        <v>3</v>
      </c>
      <c r="AO595" t="str">
        <f t="shared" si="29"/>
        <v>Tuesday</v>
      </c>
    </row>
    <row r="596" spans="1:41" x14ac:dyDescent="0.2">
      <c r="A596" t="s">
        <v>37</v>
      </c>
      <c r="B596" s="1">
        <v>45898</v>
      </c>
      <c r="C596" s="1">
        <f t="shared" si="27"/>
        <v>45900</v>
      </c>
      <c r="D596">
        <v>38</v>
      </c>
      <c r="E596">
        <v>98</v>
      </c>
      <c r="F596">
        <v>6</v>
      </c>
      <c r="G596">
        <v>3</v>
      </c>
      <c r="H596">
        <v>4</v>
      </c>
      <c r="I596">
        <v>0</v>
      </c>
      <c r="J596">
        <v>1</v>
      </c>
      <c r="K596">
        <v>57</v>
      </c>
      <c r="L596" t="s">
        <v>37</v>
      </c>
      <c r="M596" t="s">
        <v>38</v>
      </c>
      <c r="N596" s="1">
        <v>45898</v>
      </c>
      <c r="O596" s="2">
        <v>0.5424768518518519</v>
      </c>
      <c r="P596" s="2">
        <v>0.91678240740740746</v>
      </c>
      <c r="Q596">
        <v>8.98</v>
      </c>
      <c r="R596">
        <v>8.2799999999999994</v>
      </c>
      <c r="S596">
        <v>1.66</v>
      </c>
      <c r="T596">
        <v>0.4</v>
      </c>
      <c r="U596">
        <v>0</v>
      </c>
      <c r="V596">
        <v>0.28999999999999998</v>
      </c>
      <c r="W596">
        <v>4.2699999999999996</v>
      </c>
      <c r="X596">
        <v>0.56999999999999995</v>
      </c>
      <c r="Y596">
        <v>1.08</v>
      </c>
      <c r="Z596">
        <v>0</v>
      </c>
      <c r="AA596">
        <v>0</v>
      </c>
      <c r="AB596">
        <v>0.01</v>
      </c>
      <c r="AC596">
        <v>8.2799999999999994</v>
      </c>
      <c r="AD596">
        <v>19.98</v>
      </c>
      <c r="AE596">
        <v>4.88</v>
      </c>
      <c r="AF596">
        <v>0</v>
      </c>
      <c r="AG596">
        <v>3.48</v>
      </c>
      <c r="AH596">
        <v>51.54</v>
      </c>
      <c r="AI596">
        <v>6.91</v>
      </c>
      <c r="AJ596">
        <v>13.09</v>
      </c>
      <c r="AK596">
        <v>0</v>
      </c>
      <c r="AL596">
        <v>0</v>
      </c>
      <c r="AM596">
        <v>0.12</v>
      </c>
      <c r="AN596">
        <f t="shared" si="28"/>
        <v>6</v>
      </c>
      <c r="AO596" t="str">
        <f t="shared" si="29"/>
        <v>Friday</v>
      </c>
    </row>
    <row r="597" spans="1:41" x14ac:dyDescent="0.2">
      <c r="A597" t="s">
        <v>39</v>
      </c>
      <c r="B597" s="1">
        <v>45898</v>
      </c>
      <c r="C597" s="1">
        <f t="shared" si="27"/>
        <v>45900</v>
      </c>
      <c r="D597">
        <v>30</v>
      </c>
      <c r="E597">
        <v>65</v>
      </c>
      <c r="F597">
        <v>5</v>
      </c>
      <c r="G597">
        <v>1</v>
      </c>
      <c r="H597">
        <v>4</v>
      </c>
      <c r="I597">
        <v>0</v>
      </c>
      <c r="J597">
        <v>1</v>
      </c>
      <c r="K597">
        <v>38</v>
      </c>
      <c r="L597" t="s">
        <v>39</v>
      </c>
      <c r="M597" t="s">
        <v>38</v>
      </c>
      <c r="N597" s="1">
        <v>45898</v>
      </c>
      <c r="O597" s="2">
        <v>0.54130787037037043</v>
      </c>
      <c r="P597" s="2">
        <v>0.91670138888888886</v>
      </c>
      <c r="Q597">
        <v>9.02</v>
      </c>
      <c r="R597">
        <v>9.01</v>
      </c>
      <c r="S597">
        <v>1.48</v>
      </c>
      <c r="T597">
        <v>0.02</v>
      </c>
      <c r="U597">
        <v>0</v>
      </c>
      <c r="V597">
        <v>0.03</v>
      </c>
      <c r="W597">
        <v>5.89</v>
      </c>
      <c r="X597">
        <v>1.48</v>
      </c>
      <c r="Y597">
        <v>0.09</v>
      </c>
      <c r="Z597">
        <v>0</v>
      </c>
      <c r="AA597">
        <v>0</v>
      </c>
      <c r="AB597">
        <v>0.01</v>
      </c>
      <c r="AC597">
        <v>9.01</v>
      </c>
      <c r="AD597">
        <v>16.47</v>
      </c>
      <c r="AE597">
        <v>0.26</v>
      </c>
      <c r="AF597">
        <v>0.01</v>
      </c>
      <c r="AG597">
        <v>0.31</v>
      </c>
      <c r="AH597">
        <v>65.37</v>
      </c>
      <c r="AI597">
        <v>16.47</v>
      </c>
      <c r="AJ597">
        <v>1</v>
      </c>
      <c r="AK597">
        <v>0</v>
      </c>
      <c r="AL597">
        <v>0</v>
      </c>
      <c r="AM597">
        <v>0.11</v>
      </c>
      <c r="AN597">
        <f t="shared" si="28"/>
        <v>6</v>
      </c>
      <c r="AO597" t="str">
        <f t="shared" si="29"/>
        <v>Friday</v>
      </c>
    </row>
    <row r="598" spans="1:41" x14ac:dyDescent="0.2">
      <c r="A598" t="s">
        <v>40</v>
      </c>
      <c r="B598" s="1">
        <v>45898</v>
      </c>
      <c r="C598" s="1">
        <f t="shared" si="27"/>
        <v>45900</v>
      </c>
      <c r="D598">
        <v>23</v>
      </c>
      <c r="E598">
        <v>61</v>
      </c>
      <c r="F598">
        <v>6</v>
      </c>
      <c r="G598">
        <v>0</v>
      </c>
      <c r="H598">
        <v>2</v>
      </c>
      <c r="I598">
        <v>0</v>
      </c>
      <c r="J598">
        <v>0</v>
      </c>
      <c r="K598">
        <v>40</v>
      </c>
      <c r="L598" t="s">
        <v>40</v>
      </c>
      <c r="M598" t="s">
        <v>38</v>
      </c>
      <c r="N598" s="1">
        <v>45898</v>
      </c>
      <c r="O598" s="2">
        <v>0.54217592592592589</v>
      </c>
      <c r="P598" s="2">
        <v>0.91667824074074078</v>
      </c>
      <c r="Q598">
        <v>9</v>
      </c>
      <c r="R598">
        <v>8.99</v>
      </c>
      <c r="S598">
        <v>0.96</v>
      </c>
      <c r="T598">
        <v>0.09</v>
      </c>
      <c r="U598">
        <v>0</v>
      </c>
      <c r="V598">
        <v>0.36</v>
      </c>
      <c r="W598">
        <v>6.19</v>
      </c>
      <c r="X598">
        <v>1.24</v>
      </c>
      <c r="Y598">
        <v>0.15</v>
      </c>
      <c r="Z598">
        <v>0</v>
      </c>
      <c r="AA598">
        <v>0</v>
      </c>
      <c r="AB598">
        <v>0.01</v>
      </c>
      <c r="AC598">
        <v>8.99</v>
      </c>
      <c r="AD598">
        <v>10.67</v>
      </c>
      <c r="AE598">
        <v>0.95</v>
      </c>
      <c r="AF598">
        <v>0</v>
      </c>
      <c r="AG598">
        <v>3.96</v>
      </c>
      <c r="AH598">
        <v>68.89</v>
      </c>
      <c r="AI598">
        <v>13.8</v>
      </c>
      <c r="AJ598">
        <v>1.67</v>
      </c>
      <c r="AK598">
        <v>0</v>
      </c>
      <c r="AL598">
        <v>0</v>
      </c>
      <c r="AM598">
        <v>0.06</v>
      </c>
      <c r="AN598">
        <f t="shared" si="28"/>
        <v>6</v>
      </c>
      <c r="AO598" t="str">
        <f t="shared" si="29"/>
        <v>Friday</v>
      </c>
    </row>
    <row r="599" spans="1:41" x14ac:dyDescent="0.2">
      <c r="B599" s="1">
        <v>45898</v>
      </c>
      <c r="C599" s="1">
        <f t="shared" si="27"/>
        <v>45900</v>
      </c>
      <c r="D599">
        <v>440</v>
      </c>
      <c r="E599">
        <v>0</v>
      </c>
      <c r="F599">
        <v>0</v>
      </c>
      <c r="G599">
        <v>0</v>
      </c>
      <c r="H599">
        <v>0</v>
      </c>
      <c r="I599">
        <v>0</v>
      </c>
      <c r="J599">
        <v>0</v>
      </c>
      <c r="K599">
        <v>0</v>
      </c>
      <c r="AN599">
        <f t="shared" si="28"/>
        <v>6</v>
      </c>
      <c r="AO599" t="str">
        <f t="shared" si="29"/>
        <v>Friday</v>
      </c>
    </row>
    <row r="600" spans="1:41" x14ac:dyDescent="0.2">
      <c r="A600" t="s">
        <v>37</v>
      </c>
      <c r="B600" s="1">
        <v>45897</v>
      </c>
      <c r="C600" s="1">
        <f t="shared" si="27"/>
        <v>45900</v>
      </c>
      <c r="D600">
        <v>32</v>
      </c>
      <c r="E600">
        <v>79</v>
      </c>
      <c r="F600">
        <v>2</v>
      </c>
      <c r="G600">
        <v>6</v>
      </c>
      <c r="H600">
        <v>0</v>
      </c>
      <c r="I600">
        <v>0</v>
      </c>
      <c r="J600">
        <v>2</v>
      </c>
      <c r="K600">
        <v>39</v>
      </c>
      <c r="L600" t="s">
        <v>37</v>
      </c>
      <c r="M600" t="s">
        <v>38</v>
      </c>
      <c r="N600" s="1">
        <v>45897</v>
      </c>
      <c r="O600" s="2">
        <v>0.54168981481481482</v>
      </c>
      <c r="P600" s="2">
        <v>0.92333333333333334</v>
      </c>
      <c r="Q600">
        <v>9.15</v>
      </c>
      <c r="R600">
        <v>8.2100000000000009</v>
      </c>
      <c r="S600">
        <v>1.49</v>
      </c>
      <c r="T600">
        <v>0.28999999999999998</v>
      </c>
      <c r="U600">
        <v>0</v>
      </c>
      <c r="V600">
        <v>0.21</v>
      </c>
      <c r="W600">
        <v>5.85</v>
      </c>
      <c r="X600">
        <v>0.34</v>
      </c>
      <c r="Y600">
        <v>0</v>
      </c>
      <c r="Z600">
        <v>0</v>
      </c>
      <c r="AA600">
        <v>0</v>
      </c>
      <c r="AB600">
        <v>0.03</v>
      </c>
      <c r="AC600">
        <v>8.2100000000000009</v>
      </c>
      <c r="AD600">
        <v>18.190000000000001</v>
      </c>
      <c r="AE600">
        <v>3.54</v>
      </c>
      <c r="AF600">
        <v>0</v>
      </c>
      <c r="AG600">
        <v>2.59</v>
      </c>
      <c r="AH600">
        <v>71.260000000000005</v>
      </c>
      <c r="AI600">
        <v>4.1100000000000003</v>
      </c>
      <c r="AJ600">
        <v>0</v>
      </c>
      <c r="AK600">
        <v>0</v>
      </c>
      <c r="AL600">
        <v>0</v>
      </c>
      <c r="AM600">
        <v>0.31</v>
      </c>
      <c r="AN600">
        <f t="shared" si="28"/>
        <v>5</v>
      </c>
      <c r="AO600" t="str">
        <f t="shared" si="29"/>
        <v>Thursday</v>
      </c>
    </row>
    <row r="601" spans="1:41" x14ac:dyDescent="0.2">
      <c r="A601" t="s">
        <v>39</v>
      </c>
      <c r="B601" s="1">
        <v>45897</v>
      </c>
      <c r="C601" s="1">
        <f t="shared" si="27"/>
        <v>45900</v>
      </c>
      <c r="D601">
        <v>20</v>
      </c>
      <c r="E601">
        <v>44</v>
      </c>
      <c r="F601">
        <v>3</v>
      </c>
      <c r="G601">
        <v>1</v>
      </c>
      <c r="H601">
        <v>5</v>
      </c>
      <c r="I601">
        <v>1</v>
      </c>
      <c r="J601">
        <v>0</v>
      </c>
      <c r="K601">
        <v>23</v>
      </c>
      <c r="L601" t="s">
        <v>39</v>
      </c>
      <c r="M601" t="s">
        <v>38</v>
      </c>
      <c r="N601" s="1">
        <v>45897</v>
      </c>
      <c r="O601" s="2">
        <v>0.54210648148148144</v>
      </c>
      <c r="P601" s="2">
        <v>0.91673611111111108</v>
      </c>
      <c r="Q601">
        <v>9</v>
      </c>
      <c r="R601">
        <v>8.99</v>
      </c>
      <c r="S601">
        <v>0.85</v>
      </c>
      <c r="T601">
        <v>0.05</v>
      </c>
      <c r="U601">
        <v>0</v>
      </c>
      <c r="V601">
        <v>0.02</v>
      </c>
      <c r="W601">
        <v>5.63</v>
      </c>
      <c r="X601">
        <v>1.24</v>
      </c>
      <c r="Y601">
        <v>1.2</v>
      </c>
      <c r="Z601">
        <v>0</v>
      </c>
      <c r="AA601">
        <v>0</v>
      </c>
      <c r="AB601">
        <v>0</v>
      </c>
      <c r="AC601">
        <v>8.99</v>
      </c>
      <c r="AD601">
        <v>9.49</v>
      </c>
      <c r="AE601">
        <v>0.56999999999999995</v>
      </c>
      <c r="AF601">
        <v>0</v>
      </c>
      <c r="AG601">
        <v>0.18</v>
      </c>
      <c r="AH601">
        <v>62.58</v>
      </c>
      <c r="AI601">
        <v>13.74</v>
      </c>
      <c r="AJ601">
        <v>13.39</v>
      </c>
      <c r="AK601">
        <v>0</v>
      </c>
      <c r="AL601">
        <v>0</v>
      </c>
      <c r="AM601">
        <v>0.05</v>
      </c>
      <c r="AN601">
        <f t="shared" si="28"/>
        <v>5</v>
      </c>
      <c r="AO601" t="str">
        <f t="shared" si="29"/>
        <v>Thursday</v>
      </c>
    </row>
    <row r="602" spans="1:41" x14ac:dyDescent="0.2">
      <c r="A602" t="s">
        <v>40</v>
      </c>
      <c r="B602" s="1">
        <v>45897</v>
      </c>
      <c r="C602" s="1">
        <f t="shared" si="27"/>
        <v>45900</v>
      </c>
      <c r="D602">
        <v>12</v>
      </c>
      <c r="E602">
        <v>34</v>
      </c>
      <c r="F602">
        <v>0</v>
      </c>
      <c r="G602">
        <v>2</v>
      </c>
      <c r="H602">
        <v>3</v>
      </c>
      <c r="I602">
        <v>0</v>
      </c>
      <c r="J602">
        <v>2</v>
      </c>
      <c r="K602">
        <v>23</v>
      </c>
      <c r="L602" t="s">
        <v>40</v>
      </c>
      <c r="M602" t="s">
        <v>38</v>
      </c>
      <c r="N602" s="1">
        <v>45897</v>
      </c>
      <c r="O602" s="2">
        <v>0.54246527777777775</v>
      </c>
      <c r="P602" s="2">
        <v>0.91710648148148144</v>
      </c>
      <c r="Q602">
        <v>8.98</v>
      </c>
      <c r="R602">
        <v>8.99</v>
      </c>
      <c r="S602">
        <v>0.36</v>
      </c>
      <c r="T602">
        <v>0</v>
      </c>
      <c r="U602">
        <v>0</v>
      </c>
      <c r="V602">
        <v>0.16</v>
      </c>
      <c r="W602">
        <v>4.22</v>
      </c>
      <c r="X602">
        <v>1.25</v>
      </c>
      <c r="Y602">
        <v>3</v>
      </c>
      <c r="Z602">
        <v>0</v>
      </c>
      <c r="AA602">
        <v>0</v>
      </c>
      <c r="AB602">
        <v>0</v>
      </c>
      <c r="AC602">
        <v>8.99</v>
      </c>
      <c r="AD602">
        <v>3.95</v>
      </c>
      <c r="AE602">
        <v>0</v>
      </c>
      <c r="AF602">
        <v>0</v>
      </c>
      <c r="AG602">
        <v>1.81</v>
      </c>
      <c r="AH602">
        <v>46.89</v>
      </c>
      <c r="AI602">
        <v>13.95</v>
      </c>
      <c r="AJ602">
        <v>33.36</v>
      </c>
      <c r="AK602">
        <v>0</v>
      </c>
      <c r="AL602">
        <v>0</v>
      </c>
      <c r="AM602">
        <v>0.05</v>
      </c>
      <c r="AN602">
        <f t="shared" si="28"/>
        <v>5</v>
      </c>
      <c r="AO602" t="str">
        <f t="shared" si="29"/>
        <v>Thursday</v>
      </c>
    </row>
    <row r="603" spans="1:41" x14ac:dyDescent="0.2">
      <c r="A603" t="s">
        <v>41</v>
      </c>
      <c r="B603" s="1">
        <v>45897</v>
      </c>
      <c r="C603" s="1">
        <f t="shared" si="27"/>
        <v>45900</v>
      </c>
      <c r="D603">
        <v>13</v>
      </c>
      <c r="E603">
        <v>25</v>
      </c>
      <c r="F603">
        <v>1</v>
      </c>
      <c r="G603">
        <v>2</v>
      </c>
      <c r="H603">
        <v>4</v>
      </c>
      <c r="I603">
        <v>0</v>
      </c>
      <c r="J603">
        <v>0</v>
      </c>
      <c r="K603">
        <v>11</v>
      </c>
      <c r="L603" t="s">
        <v>41</v>
      </c>
      <c r="M603" t="s">
        <v>38</v>
      </c>
      <c r="N603" s="1">
        <v>45897</v>
      </c>
      <c r="O603" s="2">
        <v>0.54224537037037035</v>
      </c>
      <c r="P603" s="2">
        <v>0.74784722222222222</v>
      </c>
      <c r="Q603">
        <v>4.93</v>
      </c>
      <c r="R603">
        <v>4.93</v>
      </c>
      <c r="S603">
        <v>0.43</v>
      </c>
      <c r="T603">
        <v>0.31</v>
      </c>
      <c r="U603">
        <v>0</v>
      </c>
      <c r="V603">
        <v>0.15</v>
      </c>
      <c r="W603">
        <v>3.07</v>
      </c>
      <c r="X603">
        <v>0.98</v>
      </c>
      <c r="Y603">
        <v>0</v>
      </c>
      <c r="Z603">
        <v>0</v>
      </c>
      <c r="AA603">
        <v>0</v>
      </c>
      <c r="AB603">
        <v>0</v>
      </c>
      <c r="AC603">
        <v>4.93</v>
      </c>
      <c r="AD603">
        <v>8.6199999999999992</v>
      </c>
      <c r="AE603">
        <v>6.28</v>
      </c>
      <c r="AF603">
        <v>0</v>
      </c>
      <c r="AG603">
        <v>2.95</v>
      </c>
      <c r="AH603">
        <v>62.26</v>
      </c>
      <c r="AI603">
        <v>19.82</v>
      </c>
      <c r="AJ603">
        <v>0</v>
      </c>
      <c r="AK603">
        <v>0</v>
      </c>
      <c r="AL603">
        <v>0</v>
      </c>
      <c r="AM603">
        <v>7.0000000000000007E-2</v>
      </c>
      <c r="AN603">
        <f t="shared" si="28"/>
        <v>5</v>
      </c>
      <c r="AO603" t="str">
        <f t="shared" si="29"/>
        <v>Thursday</v>
      </c>
    </row>
    <row r="604" spans="1:41" x14ac:dyDescent="0.2">
      <c r="A604" t="s">
        <v>42</v>
      </c>
      <c r="B604" s="1">
        <v>45897</v>
      </c>
      <c r="C604" s="1">
        <f t="shared" si="27"/>
        <v>45900</v>
      </c>
      <c r="D604">
        <v>1</v>
      </c>
      <c r="E604">
        <v>1</v>
      </c>
      <c r="F604">
        <v>0</v>
      </c>
      <c r="G604">
        <v>0</v>
      </c>
      <c r="H604">
        <v>0</v>
      </c>
      <c r="I604">
        <v>0</v>
      </c>
      <c r="J604">
        <v>0</v>
      </c>
      <c r="K604">
        <v>0</v>
      </c>
      <c r="L604" t="s">
        <v>42</v>
      </c>
      <c r="M604" t="s">
        <v>38</v>
      </c>
      <c r="N604" s="1">
        <v>45897</v>
      </c>
      <c r="O604" s="2">
        <v>0.92048611111111112</v>
      </c>
      <c r="P604" s="2">
        <v>0.92245370370370372</v>
      </c>
      <c r="Q604">
        <v>0.05</v>
      </c>
      <c r="R604">
        <v>0.05</v>
      </c>
      <c r="S604">
        <v>0.02</v>
      </c>
      <c r="T604">
        <v>0</v>
      </c>
      <c r="U604">
        <v>0</v>
      </c>
      <c r="V604">
        <v>0.02</v>
      </c>
      <c r="W604">
        <v>0</v>
      </c>
      <c r="X604">
        <v>0</v>
      </c>
      <c r="Y604">
        <v>0</v>
      </c>
      <c r="Z604">
        <v>0</v>
      </c>
      <c r="AA604">
        <v>0</v>
      </c>
      <c r="AB604">
        <v>0.01</v>
      </c>
      <c r="AC604">
        <v>0.05</v>
      </c>
      <c r="AD604">
        <v>45.29</v>
      </c>
      <c r="AE604">
        <v>0</v>
      </c>
      <c r="AF604">
        <v>0</v>
      </c>
      <c r="AG604">
        <v>31.76</v>
      </c>
      <c r="AH604">
        <v>0</v>
      </c>
      <c r="AI604">
        <v>0</v>
      </c>
      <c r="AJ604">
        <v>0</v>
      </c>
      <c r="AK604">
        <v>0</v>
      </c>
      <c r="AL604">
        <v>0</v>
      </c>
      <c r="AM604">
        <v>22.94</v>
      </c>
      <c r="AN604">
        <f t="shared" si="28"/>
        <v>5</v>
      </c>
      <c r="AO604" t="str">
        <f t="shared" si="29"/>
        <v>Thursday</v>
      </c>
    </row>
    <row r="605" spans="1:41" x14ac:dyDescent="0.2">
      <c r="A605" t="s">
        <v>43</v>
      </c>
      <c r="B605" s="1">
        <v>45897</v>
      </c>
      <c r="C605" s="1">
        <f t="shared" si="27"/>
        <v>45900</v>
      </c>
      <c r="D605">
        <v>19</v>
      </c>
      <c r="E605">
        <v>45</v>
      </c>
      <c r="F605">
        <v>4</v>
      </c>
      <c r="G605">
        <v>2</v>
      </c>
      <c r="H605">
        <v>3</v>
      </c>
      <c r="I605">
        <v>0</v>
      </c>
      <c r="J605">
        <v>0</v>
      </c>
      <c r="K605">
        <v>18</v>
      </c>
      <c r="L605" t="s">
        <v>43</v>
      </c>
      <c r="M605" t="s">
        <v>38</v>
      </c>
      <c r="N605" s="1">
        <v>45897</v>
      </c>
      <c r="O605" s="2">
        <v>0.54136574074074073</v>
      </c>
      <c r="P605" s="2">
        <v>0.96023148148148152</v>
      </c>
      <c r="Q605">
        <v>10.050000000000001</v>
      </c>
      <c r="R605">
        <v>9.9600000000000009</v>
      </c>
      <c r="S605">
        <v>1.73</v>
      </c>
      <c r="T605">
        <v>0.12</v>
      </c>
      <c r="U605">
        <v>0</v>
      </c>
      <c r="V605">
        <v>0.4</v>
      </c>
      <c r="W605">
        <v>5.56</v>
      </c>
      <c r="X605">
        <v>1.48</v>
      </c>
      <c r="Y605">
        <v>0</v>
      </c>
      <c r="Z605">
        <v>0</v>
      </c>
      <c r="AA605">
        <v>0.17</v>
      </c>
      <c r="AB605">
        <v>0.5</v>
      </c>
      <c r="AC605">
        <v>9.9600000000000009</v>
      </c>
      <c r="AD605">
        <v>17.350000000000001</v>
      </c>
      <c r="AE605">
        <v>1.1599999999999999</v>
      </c>
      <c r="AF605">
        <v>0</v>
      </c>
      <c r="AG605">
        <v>4.0599999999999996</v>
      </c>
      <c r="AH605">
        <v>55.85</v>
      </c>
      <c r="AI605">
        <v>14.87</v>
      </c>
      <c r="AJ605">
        <v>0</v>
      </c>
      <c r="AK605">
        <v>0</v>
      </c>
      <c r="AL605">
        <v>1.69</v>
      </c>
      <c r="AM605">
        <v>5.01</v>
      </c>
      <c r="AN605">
        <f t="shared" si="28"/>
        <v>5</v>
      </c>
      <c r="AO605" t="str">
        <f t="shared" si="29"/>
        <v>Thursday</v>
      </c>
    </row>
    <row r="606" spans="1:41" x14ac:dyDescent="0.2">
      <c r="B606" s="1">
        <v>45897</v>
      </c>
      <c r="C606" s="1">
        <f t="shared" si="27"/>
        <v>45900</v>
      </c>
      <c r="D606">
        <v>446</v>
      </c>
      <c r="E606">
        <v>0</v>
      </c>
      <c r="F606">
        <v>0</v>
      </c>
      <c r="G606">
        <v>0</v>
      </c>
      <c r="H606">
        <v>0</v>
      </c>
      <c r="I606">
        <v>0</v>
      </c>
      <c r="J606">
        <v>0</v>
      </c>
      <c r="K606">
        <v>0</v>
      </c>
      <c r="AN606">
        <f t="shared" si="28"/>
        <v>5</v>
      </c>
      <c r="AO606" t="str">
        <f t="shared" si="29"/>
        <v>Thursday</v>
      </c>
    </row>
    <row r="607" spans="1:41" x14ac:dyDescent="0.2">
      <c r="A607" t="s">
        <v>37</v>
      </c>
      <c r="B607" s="1">
        <v>45896</v>
      </c>
      <c r="C607" s="1">
        <f t="shared" si="27"/>
        <v>45900</v>
      </c>
      <c r="D607">
        <v>35</v>
      </c>
      <c r="E607">
        <v>84</v>
      </c>
      <c r="F607">
        <v>1</v>
      </c>
      <c r="G607">
        <v>2</v>
      </c>
      <c r="H607">
        <v>1</v>
      </c>
      <c r="I607">
        <v>0</v>
      </c>
      <c r="J607">
        <v>1</v>
      </c>
      <c r="K607">
        <v>41</v>
      </c>
      <c r="L607" t="s">
        <v>37</v>
      </c>
      <c r="M607" t="s">
        <v>38</v>
      </c>
      <c r="N607" s="1">
        <v>45896</v>
      </c>
      <c r="O607" s="2">
        <v>0.54122685185185182</v>
      </c>
      <c r="P607" s="2">
        <v>0.91688657407407403</v>
      </c>
      <c r="Q607">
        <v>9.02</v>
      </c>
      <c r="R607">
        <v>8.19</v>
      </c>
      <c r="S607">
        <v>1.6</v>
      </c>
      <c r="T607">
        <v>0.81</v>
      </c>
      <c r="U607">
        <v>0</v>
      </c>
      <c r="V607">
        <v>0.31</v>
      </c>
      <c r="W607">
        <v>3.7</v>
      </c>
      <c r="X607">
        <v>0.56999999999999995</v>
      </c>
      <c r="Y607">
        <v>1.17</v>
      </c>
      <c r="Z607">
        <v>0</v>
      </c>
      <c r="AA607">
        <v>0</v>
      </c>
      <c r="AB607">
        <v>0.04</v>
      </c>
      <c r="AC607">
        <v>8.19</v>
      </c>
      <c r="AD607">
        <v>19.52</v>
      </c>
      <c r="AE607">
        <v>9.8699999999999992</v>
      </c>
      <c r="AF607">
        <v>0</v>
      </c>
      <c r="AG607">
        <v>3.8</v>
      </c>
      <c r="AH607">
        <v>45.13</v>
      </c>
      <c r="AI607">
        <v>6.93</v>
      </c>
      <c r="AJ607">
        <v>14.27</v>
      </c>
      <c r="AK607">
        <v>0</v>
      </c>
      <c r="AL607">
        <v>0</v>
      </c>
      <c r="AM607">
        <v>0.48</v>
      </c>
      <c r="AN607">
        <f t="shared" si="28"/>
        <v>4</v>
      </c>
      <c r="AO607" t="str">
        <f t="shared" si="29"/>
        <v>Wednesday</v>
      </c>
    </row>
    <row r="608" spans="1:41" x14ac:dyDescent="0.2">
      <c r="A608" t="s">
        <v>39</v>
      </c>
      <c r="B608" s="1">
        <v>45896</v>
      </c>
      <c r="C608" s="1">
        <f t="shared" si="27"/>
        <v>45900</v>
      </c>
      <c r="D608">
        <v>34</v>
      </c>
      <c r="E608">
        <v>87</v>
      </c>
      <c r="F608">
        <v>7</v>
      </c>
      <c r="G608">
        <v>4</v>
      </c>
      <c r="H608">
        <v>3</v>
      </c>
      <c r="I608">
        <v>0</v>
      </c>
      <c r="J608">
        <v>0</v>
      </c>
      <c r="K608">
        <v>53</v>
      </c>
      <c r="L608" t="s">
        <v>39</v>
      </c>
      <c r="M608" t="s">
        <v>38</v>
      </c>
      <c r="N608" s="1">
        <v>45896</v>
      </c>
      <c r="O608" s="2">
        <v>0.54189814814814818</v>
      </c>
      <c r="P608" s="2">
        <v>0.91674768518518523</v>
      </c>
      <c r="Q608">
        <v>9</v>
      </c>
      <c r="R608">
        <v>9</v>
      </c>
      <c r="S608">
        <v>1.25</v>
      </c>
      <c r="T608">
        <v>0.12</v>
      </c>
      <c r="U608">
        <v>0</v>
      </c>
      <c r="V608">
        <v>0.03</v>
      </c>
      <c r="W608">
        <v>4.96</v>
      </c>
      <c r="X608">
        <v>1.48</v>
      </c>
      <c r="Y608">
        <v>1.1599999999999999</v>
      </c>
      <c r="Z608">
        <v>0</v>
      </c>
      <c r="AA608">
        <v>0</v>
      </c>
      <c r="AB608">
        <v>0</v>
      </c>
      <c r="AC608">
        <v>9</v>
      </c>
      <c r="AD608">
        <v>13.87</v>
      </c>
      <c r="AE608">
        <v>1.34</v>
      </c>
      <c r="AF608">
        <v>0</v>
      </c>
      <c r="AG608">
        <v>0.28000000000000003</v>
      </c>
      <c r="AH608">
        <v>55.09</v>
      </c>
      <c r="AI608">
        <v>16.45</v>
      </c>
      <c r="AJ608">
        <v>12.93</v>
      </c>
      <c r="AK608">
        <v>0</v>
      </c>
      <c r="AL608">
        <v>0</v>
      </c>
      <c r="AM608">
        <v>0.04</v>
      </c>
      <c r="AN608">
        <f t="shared" si="28"/>
        <v>4</v>
      </c>
      <c r="AO608" t="str">
        <f t="shared" si="29"/>
        <v>Wednesday</v>
      </c>
    </row>
    <row r="609" spans="1:41" x14ac:dyDescent="0.2">
      <c r="A609" t="s">
        <v>40</v>
      </c>
      <c r="B609" s="1">
        <v>45896</v>
      </c>
      <c r="C609" s="1">
        <f t="shared" si="27"/>
        <v>45900</v>
      </c>
      <c r="D609">
        <v>10</v>
      </c>
      <c r="E609">
        <v>29</v>
      </c>
      <c r="F609">
        <v>5</v>
      </c>
      <c r="G609">
        <v>1</v>
      </c>
      <c r="H609">
        <v>13</v>
      </c>
      <c r="I609">
        <v>0</v>
      </c>
      <c r="J609">
        <v>0</v>
      </c>
      <c r="K609">
        <v>9</v>
      </c>
      <c r="L609" t="s">
        <v>40</v>
      </c>
      <c r="M609" t="s">
        <v>38</v>
      </c>
      <c r="N609" s="1">
        <v>45896</v>
      </c>
      <c r="O609" s="2">
        <v>0.54280092592592588</v>
      </c>
      <c r="P609" s="2">
        <v>0.91668981481481482</v>
      </c>
      <c r="Q609">
        <v>8.98</v>
      </c>
      <c r="R609">
        <v>8.9700000000000006</v>
      </c>
      <c r="S609">
        <v>1.26</v>
      </c>
      <c r="T609">
        <v>0.33</v>
      </c>
      <c r="U609">
        <v>0</v>
      </c>
      <c r="V609">
        <v>0.37</v>
      </c>
      <c r="W609">
        <v>3.74</v>
      </c>
      <c r="X609">
        <v>1.46</v>
      </c>
      <c r="Y609">
        <v>1.8</v>
      </c>
      <c r="Z609">
        <v>0</v>
      </c>
      <c r="AA609">
        <v>0</v>
      </c>
      <c r="AB609">
        <v>0</v>
      </c>
      <c r="AC609">
        <v>8.9700000000000006</v>
      </c>
      <c r="AD609">
        <v>14.01</v>
      </c>
      <c r="AE609">
        <v>3.69</v>
      </c>
      <c r="AF609">
        <v>0</v>
      </c>
      <c r="AG609">
        <v>4.1500000000000004</v>
      </c>
      <c r="AH609">
        <v>41.72</v>
      </c>
      <c r="AI609">
        <v>16.32</v>
      </c>
      <c r="AJ609">
        <v>20.07</v>
      </c>
      <c r="AK609">
        <v>0</v>
      </c>
      <c r="AL609">
        <v>0</v>
      </c>
      <c r="AM609">
        <v>0.04</v>
      </c>
      <c r="AN609">
        <f t="shared" si="28"/>
        <v>4</v>
      </c>
      <c r="AO609" t="str">
        <f t="shared" si="29"/>
        <v>Wednesday</v>
      </c>
    </row>
    <row r="610" spans="1:41" x14ac:dyDescent="0.2">
      <c r="A610" t="s">
        <v>41</v>
      </c>
      <c r="B610" s="1">
        <v>45896</v>
      </c>
      <c r="C610" s="1">
        <f t="shared" si="27"/>
        <v>45900</v>
      </c>
      <c r="D610">
        <v>23</v>
      </c>
      <c r="E610">
        <v>61</v>
      </c>
      <c r="F610">
        <v>6</v>
      </c>
      <c r="G610">
        <v>2</v>
      </c>
      <c r="H610">
        <v>2</v>
      </c>
      <c r="I610">
        <v>0</v>
      </c>
      <c r="J610">
        <v>0</v>
      </c>
      <c r="K610">
        <v>40</v>
      </c>
      <c r="L610" t="s">
        <v>41</v>
      </c>
      <c r="M610" t="s">
        <v>38</v>
      </c>
      <c r="N610" s="1">
        <v>45896</v>
      </c>
      <c r="O610" s="2">
        <v>0.54184027777777777</v>
      </c>
      <c r="P610" s="2">
        <v>0.79106481481481483</v>
      </c>
      <c r="Q610">
        <v>5.98</v>
      </c>
      <c r="R610">
        <v>5.98</v>
      </c>
      <c r="S610">
        <v>0.86</v>
      </c>
      <c r="T610">
        <v>0</v>
      </c>
      <c r="U610">
        <v>0</v>
      </c>
      <c r="V610">
        <v>0.19</v>
      </c>
      <c r="W610">
        <v>2.25</v>
      </c>
      <c r="X610">
        <v>1.49</v>
      </c>
      <c r="Y610">
        <v>1.18</v>
      </c>
      <c r="Z610">
        <v>0</v>
      </c>
      <c r="AA610">
        <v>0</v>
      </c>
      <c r="AB610">
        <v>0</v>
      </c>
      <c r="AC610">
        <v>5.98</v>
      </c>
      <c r="AD610">
        <v>14.35</v>
      </c>
      <c r="AE610">
        <v>0</v>
      </c>
      <c r="AF610">
        <v>0</v>
      </c>
      <c r="AG610">
        <v>3.19</v>
      </c>
      <c r="AH610">
        <v>37.64</v>
      </c>
      <c r="AI610">
        <v>24.99</v>
      </c>
      <c r="AJ610">
        <v>19.77</v>
      </c>
      <c r="AK610">
        <v>0</v>
      </c>
      <c r="AL610">
        <v>0</v>
      </c>
      <c r="AM610">
        <v>7.0000000000000007E-2</v>
      </c>
      <c r="AN610">
        <f t="shared" si="28"/>
        <v>4</v>
      </c>
      <c r="AO610" t="str">
        <f t="shared" si="29"/>
        <v>Wednesday</v>
      </c>
    </row>
    <row r="611" spans="1:41" x14ac:dyDescent="0.2">
      <c r="A611" t="s">
        <v>42</v>
      </c>
      <c r="B611" s="1">
        <v>45896</v>
      </c>
      <c r="C611" s="1">
        <f t="shared" si="27"/>
        <v>45900</v>
      </c>
      <c r="D611">
        <v>1</v>
      </c>
      <c r="E611">
        <v>1</v>
      </c>
      <c r="F611">
        <v>0</v>
      </c>
      <c r="G611">
        <v>0</v>
      </c>
      <c r="H611">
        <v>0</v>
      </c>
      <c r="I611">
        <v>0</v>
      </c>
      <c r="J611">
        <v>0</v>
      </c>
      <c r="K611">
        <v>0</v>
      </c>
      <c r="L611" t="s">
        <v>42</v>
      </c>
      <c r="M611" t="s">
        <v>38</v>
      </c>
      <c r="N611" s="1">
        <v>45896</v>
      </c>
      <c r="O611" s="2">
        <v>0.70092592592592595</v>
      </c>
      <c r="P611" s="2">
        <v>0.70420138888888884</v>
      </c>
      <c r="Q611">
        <v>0.08</v>
      </c>
      <c r="R611">
        <v>0.08</v>
      </c>
      <c r="S611">
        <v>7.0000000000000007E-2</v>
      </c>
      <c r="T611">
        <v>0</v>
      </c>
      <c r="U611">
        <v>0</v>
      </c>
      <c r="V611">
        <v>0</v>
      </c>
      <c r="W611">
        <v>0</v>
      </c>
      <c r="X611">
        <v>0</v>
      </c>
      <c r="Y611">
        <v>0</v>
      </c>
      <c r="Z611">
        <v>0</v>
      </c>
      <c r="AA611">
        <v>0</v>
      </c>
      <c r="AB611">
        <v>0</v>
      </c>
      <c r="AC611">
        <v>0.08</v>
      </c>
      <c r="AD611">
        <v>95.05</v>
      </c>
      <c r="AE611">
        <v>0</v>
      </c>
      <c r="AF611">
        <v>0</v>
      </c>
      <c r="AG611">
        <v>0</v>
      </c>
      <c r="AH611">
        <v>0</v>
      </c>
      <c r="AI611">
        <v>0</v>
      </c>
      <c r="AJ611">
        <v>0</v>
      </c>
      <c r="AK611">
        <v>0</v>
      </c>
      <c r="AL611">
        <v>0</v>
      </c>
      <c r="AM611">
        <v>4.95</v>
      </c>
      <c r="AN611">
        <f t="shared" si="28"/>
        <v>4</v>
      </c>
      <c r="AO611" t="str">
        <f t="shared" si="29"/>
        <v>Wednesday</v>
      </c>
    </row>
    <row r="612" spans="1:41" x14ac:dyDescent="0.2">
      <c r="A612" t="s">
        <v>43</v>
      </c>
      <c r="B612" s="1">
        <v>45896</v>
      </c>
      <c r="C612" s="1">
        <f t="shared" si="27"/>
        <v>45900</v>
      </c>
      <c r="D612">
        <v>19</v>
      </c>
      <c r="E612">
        <v>51</v>
      </c>
      <c r="F612">
        <v>5</v>
      </c>
      <c r="G612">
        <v>0</v>
      </c>
      <c r="H612">
        <v>5</v>
      </c>
      <c r="I612">
        <v>1</v>
      </c>
      <c r="J612">
        <v>0</v>
      </c>
      <c r="K612">
        <v>18</v>
      </c>
      <c r="L612" t="s">
        <v>43</v>
      </c>
      <c r="M612" t="s">
        <v>38</v>
      </c>
      <c r="N612" s="1">
        <v>45896</v>
      </c>
      <c r="O612" s="2">
        <v>0.54175925925925927</v>
      </c>
      <c r="P612" s="2">
        <v>0.92976851851851849</v>
      </c>
      <c r="Q612">
        <v>9.3000000000000007</v>
      </c>
      <c r="R612">
        <v>8.75</v>
      </c>
      <c r="S612">
        <v>1.69</v>
      </c>
      <c r="T612">
        <v>0.21</v>
      </c>
      <c r="U612">
        <v>0</v>
      </c>
      <c r="V612">
        <v>0.23</v>
      </c>
      <c r="W612">
        <v>2.52</v>
      </c>
      <c r="X612">
        <v>1.47</v>
      </c>
      <c r="Y612">
        <v>2.4900000000000002</v>
      </c>
      <c r="Z612">
        <v>0</v>
      </c>
      <c r="AA612">
        <v>0.13</v>
      </c>
      <c r="AB612">
        <v>0.01</v>
      </c>
      <c r="AC612">
        <v>8.75</v>
      </c>
      <c r="AD612">
        <v>19.28</v>
      </c>
      <c r="AE612">
        <v>2.4</v>
      </c>
      <c r="AF612">
        <v>0</v>
      </c>
      <c r="AG612">
        <v>2.66</v>
      </c>
      <c r="AH612">
        <v>28.75</v>
      </c>
      <c r="AI612">
        <v>16.77</v>
      </c>
      <c r="AJ612">
        <v>28.49</v>
      </c>
      <c r="AK612">
        <v>0</v>
      </c>
      <c r="AL612">
        <v>1.52</v>
      </c>
      <c r="AM612">
        <v>0.13</v>
      </c>
      <c r="AN612">
        <f t="shared" si="28"/>
        <v>4</v>
      </c>
      <c r="AO612" t="str">
        <f t="shared" si="29"/>
        <v>Wednesday</v>
      </c>
    </row>
    <row r="613" spans="1:41" x14ac:dyDescent="0.2">
      <c r="B613" s="1">
        <v>45896</v>
      </c>
      <c r="C613" s="1">
        <f t="shared" si="27"/>
        <v>45900</v>
      </c>
      <c r="D613">
        <v>449</v>
      </c>
      <c r="E613">
        <v>0</v>
      </c>
      <c r="F613">
        <v>0</v>
      </c>
      <c r="G613">
        <v>0</v>
      </c>
      <c r="H613">
        <v>0</v>
      </c>
      <c r="I613">
        <v>0</v>
      </c>
      <c r="J613">
        <v>0</v>
      </c>
      <c r="K613">
        <v>0</v>
      </c>
      <c r="AN613">
        <f t="shared" si="28"/>
        <v>4</v>
      </c>
      <c r="AO613" t="str">
        <f t="shared" si="29"/>
        <v>Wednesday</v>
      </c>
    </row>
    <row r="614" spans="1:41" x14ac:dyDescent="0.2">
      <c r="A614" t="s">
        <v>37</v>
      </c>
      <c r="B614" s="1">
        <v>45895</v>
      </c>
      <c r="C614" s="1">
        <f t="shared" si="27"/>
        <v>45900</v>
      </c>
      <c r="D614">
        <v>31</v>
      </c>
      <c r="E614">
        <v>96</v>
      </c>
      <c r="F614">
        <v>6</v>
      </c>
      <c r="G614">
        <v>0</v>
      </c>
      <c r="H614">
        <v>2</v>
      </c>
      <c r="I614">
        <v>0</v>
      </c>
      <c r="J614">
        <v>4</v>
      </c>
      <c r="K614">
        <v>68</v>
      </c>
      <c r="L614" t="s">
        <v>37</v>
      </c>
      <c r="M614" t="s">
        <v>38</v>
      </c>
      <c r="N614" s="1">
        <v>45895</v>
      </c>
      <c r="O614" s="2">
        <v>0.54199074074074072</v>
      </c>
      <c r="P614" s="2">
        <v>0.91671296296296301</v>
      </c>
      <c r="Q614">
        <v>9</v>
      </c>
      <c r="R614">
        <v>8.07</v>
      </c>
      <c r="S614">
        <v>2.76</v>
      </c>
      <c r="T614">
        <v>0.55000000000000004</v>
      </c>
      <c r="U614">
        <v>0</v>
      </c>
      <c r="V614">
        <v>0.39</v>
      </c>
      <c r="W614">
        <v>3.8</v>
      </c>
      <c r="X614">
        <v>0.56999999999999995</v>
      </c>
      <c r="Y614">
        <v>0</v>
      </c>
      <c r="Z614">
        <v>0</v>
      </c>
      <c r="AA614">
        <v>0</v>
      </c>
      <c r="AB614">
        <v>0.01</v>
      </c>
      <c r="AC614">
        <v>8.07</v>
      </c>
      <c r="AD614">
        <v>34.19</v>
      </c>
      <c r="AE614">
        <v>6.78</v>
      </c>
      <c r="AF614">
        <v>0</v>
      </c>
      <c r="AG614">
        <v>4.8099999999999996</v>
      </c>
      <c r="AH614">
        <v>47.06</v>
      </c>
      <c r="AI614">
        <v>7.05</v>
      </c>
      <c r="AJ614">
        <v>0</v>
      </c>
      <c r="AK614">
        <v>0</v>
      </c>
      <c r="AL614">
        <v>0</v>
      </c>
      <c r="AM614">
        <v>0.11</v>
      </c>
      <c r="AN614">
        <f t="shared" si="28"/>
        <v>3</v>
      </c>
      <c r="AO614" t="str">
        <f t="shared" si="29"/>
        <v>Tuesday</v>
      </c>
    </row>
    <row r="615" spans="1:41" x14ac:dyDescent="0.2">
      <c r="A615" t="s">
        <v>39</v>
      </c>
      <c r="B615" s="1">
        <v>45895</v>
      </c>
      <c r="C615" s="1">
        <f t="shared" si="27"/>
        <v>45900</v>
      </c>
      <c r="D615">
        <v>34</v>
      </c>
      <c r="E615">
        <v>63</v>
      </c>
      <c r="F615">
        <v>4</v>
      </c>
      <c r="G615">
        <v>1</v>
      </c>
      <c r="H615">
        <v>10</v>
      </c>
      <c r="I615">
        <v>0</v>
      </c>
      <c r="J615">
        <v>2</v>
      </c>
      <c r="K615">
        <v>25</v>
      </c>
      <c r="L615" t="s">
        <v>39</v>
      </c>
      <c r="M615" t="s">
        <v>38</v>
      </c>
      <c r="N615" s="1">
        <v>45895</v>
      </c>
      <c r="O615" s="2">
        <v>0.54184027777777777</v>
      </c>
      <c r="P615" s="2">
        <v>0.91672453703703705</v>
      </c>
      <c r="Q615">
        <v>9</v>
      </c>
      <c r="R615">
        <v>8.9499999999999993</v>
      </c>
      <c r="S615">
        <v>1.1399999999999999</v>
      </c>
      <c r="T615">
        <v>0.2</v>
      </c>
      <c r="U615">
        <v>0</v>
      </c>
      <c r="V615">
        <v>0.03</v>
      </c>
      <c r="W615">
        <v>6.15</v>
      </c>
      <c r="X615">
        <v>1.43</v>
      </c>
      <c r="Y615">
        <v>0</v>
      </c>
      <c r="Z615">
        <v>0</v>
      </c>
      <c r="AA615">
        <v>0</v>
      </c>
      <c r="AB615">
        <v>0.01</v>
      </c>
      <c r="AC615">
        <v>8.9499999999999993</v>
      </c>
      <c r="AD615">
        <v>12.71</v>
      </c>
      <c r="AE615">
        <v>2.19</v>
      </c>
      <c r="AF615">
        <v>0</v>
      </c>
      <c r="AG615">
        <v>0.33</v>
      </c>
      <c r="AH615">
        <v>68.650000000000006</v>
      </c>
      <c r="AI615">
        <v>16.02</v>
      </c>
      <c r="AJ615">
        <v>0</v>
      </c>
      <c r="AK615">
        <v>0</v>
      </c>
      <c r="AL615">
        <v>0</v>
      </c>
      <c r="AM615">
        <v>0.09</v>
      </c>
      <c r="AN615">
        <f t="shared" si="28"/>
        <v>3</v>
      </c>
      <c r="AO615" t="str">
        <f t="shared" si="29"/>
        <v>Tuesday</v>
      </c>
    </row>
    <row r="616" spans="1:41" x14ac:dyDescent="0.2">
      <c r="A616" t="s">
        <v>40</v>
      </c>
      <c r="B616" s="1">
        <v>45895</v>
      </c>
      <c r="C616" s="1">
        <f t="shared" si="27"/>
        <v>45900</v>
      </c>
      <c r="D616">
        <v>23</v>
      </c>
      <c r="E616">
        <v>48</v>
      </c>
      <c r="F616">
        <v>1</v>
      </c>
      <c r="G616">
        <v>0</v>
      </c>
      <c r="H616">
        <v>7</v>
      </c>
      <c r="I616">
        <v>0</v>
      </c>
      <c r="J616">
        <v>3</v>
      </c>
      <c r="K616">
        <v>29</v>
      </c>
      <c r="L616" t="s">
        <v>40</v>
      </c>
      <c r="M616" t="s">
        <v>38</v>
      </c>
      <c r="N616" s="1">
        <v>45895</v>
      </c>
      <c r="O616" s="2">
        <v>0.54405092592592597</v>
      </c>
      <c r="P616" s="2">
        <v>0.92246527777777776</v>
      </c>
      <c r="Q616">
        <v>9.08</v>
      </c>
      <c r="R616">
        <v>9.08</v>
      </c>
      <c r="S616">
        <v>1.37</v>
      </c>
      <c r="T616">
        <v>0.17</v>
      </c>
      <c r="U616">
        <v>0</v>
      </c>
      <c r="V616">
        <v>0.56999999999999995</v>
      </c>
      <c r="W616">
        <v>5.51</v>
      </c>
      <c r="X616">
        <v>1.21</v>
      </c>
      <c r="Y616">
        <v>0.25</v>
      </c>
      <c r="Z616">
        <v>0</v>
      </c>
      <c r="AA616">
        <v>0</v>
      </c>
      <c r="AB616">
        <v>0</v>
      </c>
      <c r="AC616">
        <v>9.08</v>
      </c>
      <c r="AD616">
        <v>15.12</v>
      </c>
      <c r="AE616">
        <v>1.84</v>
      </c>
      <c r="AF616">
        <v>0</v>
      </c>
      <c r="AG616">
        <v>6.23</v>
      </c>
      <c r="AH616">
        <v>60.66</v>
      </c>
      <c r="AI616">
        <v>13.36</v>
      </c>
      <c r="AJ616">
        <v>2.75</v>
      </c>
      <c r="AK616">
        <v>0</v>
      </c>
      <c r="AL616">
        <v>0</v>
      </c>
      <c r="AM616">
        <v>0.04</v>
      </c>
      <c r="AN616">
        <f t="shared" si="28"/>
        <v>3</v>
      </c>
      <c r="AO616" t="str">
        <f t="shared" si="29"/>
        <v>Tuesday</v>
      </c>
    </row>
    <row r="617" spans="1:41" x14ac:dyDescent="0.2">
      <c r="A617" t="s">
        <v>41</v>
      </c>
      <c r="B617" s="1">
        <v>45895</v>
      </c>
      <c r="C617" s="1">
        <f t="shared" si="27"/>
        <v>45900</v>
      </c>
      <c r="D617">
        <v>29</v>
      </c>
      <c r="E617">
        <v>65</v>
      </c>
      <c r="F617">
        <v>5</v>
      </c>
      <c r="G617">
        <v>8</v>
      </c>
      <c r="H617">
        <v>1</v>
      </c>
      <c r="I617">
        <v>0</v>
      </c>
      <c r="J617">
        <v>2</v>
      </c>
      <c r="K617">
        <v>35</v>
      </c>
      <c r="L617" t="s">
        <v>41</v>
      </c>
      <c r="M617" t="s">
        <v>38</v>
      </c>
      <c r="N617" s="1">
        <v>45895</v>
      </c>
      <c r="O617" s="2">
        <v>0.54177083333333331</v>
      </c>
      <c r="P617" s="2">
        <v>0.91625000000000001</v>
      </c>
      <c r="Q617">
        <v>8.98</v>
      </c>
      <c r="R617">
        <v>8.99</v>
      </c>
      <c r="S617">
        <v>1.17</v>
      </c>
      <c r="T617">
        <v>0.25</v>
      </c>
      <c r="U617">
        <v>0</v>
      </c>
      <c r="V617">
        <v>0.26</v>
      </c>
      <c r="W617">
        <v>5.26</v>
      </c>
      <c r="X617">
        <v>1.48</v>
      </c>
      <c r="Y617">
        <v>0.56000000000000005</v>
      </c>
      <c r="Z617">
        <v>0</v>
      </c>
      <c r="AA617">
        <v>0</v>
      </c>
      <c r="AB617">
        <v>0</v>
      </c>
      <c r="AC617">
        <v>8.99</v>
      </c>
      <c r="AD617">
        <v>13.07</v>
      </c>
      <c r="AE617">
        <v>2.77</v>
      </c>
      <c r="AF617">
        <v>0</v>
      </c>
      <c r="AG617">
        <v>2.89</v>
      </c>
      <c r="AH617">
        <v>58.52</v>
      </c>
      <c r="AI617">
        <v>16.489999999999998</v>
      </c>
      <c r="AJ617">
        <v>6.21</v>
      </c>
      <c r="AK617">
        <v>0</v>
      </c>
      <c r="AL617">
        <v>0</v>
      </c>
      <c r="AM617">
        <v>0.04</v>
      </c>
      <c r="AN617">
        <f t="shared" si="28"/>
        <v>3</v>
      </c>
      <c r="AO617" t="str">
        <f t="shared" si="29"/>
        <v>Tuesday</v>
      </c>
    </row>
    <row r="618" spans="1:41" x14ac:dyDescent="0.2">
      <c r="A618" t="s">
        <v>50</v>
      </c>
      <c r="B618" s="1">
        <v>45895</v>
      </c>
      <c r="C618" s="1">
        <f t="shared" si="27"/>
        <v>45900</v>
      </c>
      <c r="D618">
        <v>1</v>
      </c>
      <c r="E618">
        <v>1</v>
      </c>
      <c r="F618">
        <v>1</v>
      </c>
      <c r="G618">
        <v>0</v>
      </c>
      <c r="H618">
        <v>0</v>
      </c>
      <c r="I618">
        <v>0</v>
      </c>
      <c r="J618">
        <v>0</v>
      </c>
      <c r="K618">
        <v>0</v>
      </c>
      <c r="AN618">
        <f t="shared" si="28"/>
        <v>3</v>
      </c>
      <c r="AO618" t="str">
        <f t="shared" si="29"/>
        <v>Tuesday</v>
      </c>
    </row>
    <row r="619" spans="1:41" x14ac:dyDescent="0.2">
      <c r="A619" t="s">
        <v>43</v>
      </c>
      <c r="B619" s="1">
        <v>45895</v>
      </c>
      <c r="C619" s="1">
        <f t="shared" si="27"/>
        <v>45900</v>
      </c>
      <c r="D619">
        <v>21</v>
      </c>
      <c r="E619">
        <v>41</v>
      </c>
      <c r="F619">
        <v>6</v>
      </c>
      <c r="G619">
        <v>1</v>
      </c>
      <c r="H619">
        <v>3</v>
      </c>
      <c r="I619">
        <v>0</v>
      </c>
      <c r="J619">
        <v>0</v>
      </c>
      <c r="K619">
        <v>14</v>
      </c>
      <c r="L619" t="s">
        <v>43</v>
      </c>
      <c r="M619" t="s">
        <v>38</v>
      </c>
      <c r="N619" s="1">
        <v>45895</v>
      </c>
      <c r="O619" s="2">
        <v>0.54741898148148149</v>
      </c>
      <c r="P619" s="2">
        <v>0.92614583333333333</v>
      </c>
      <c r="Q619">
        <v>9.08</v>
      </c>
      <c r="R619">
        <v>9.09</v>
      </c>
      <c r="S619">
        <v>1.63</v>
      </c>
      <c r="T619">
        <v>0.13</v>
      </c>
      <c r="U619">
        <v>0</v>
      </c>
      <c r="V619">
        <v>0.38</v>
      </c>
      <c r="W619">
        <v>4.8</v>
      </c>
      <c r="X619">
        <v>1.48</v>
      </c>
      <c r="Y619">
        <v>0</v>
      </c>
      <c r="Z619">
        <v>0</v>
      </c>
      <c r="AA619">
        <v>0.66</v>
      </c>
      <c r="AB619">
        <v>0.01</v>
      </c>
      <c r="AC619">
        <v>9.09</v>
      </c>
      <c r="AD619">
        <v>17.96</v>
      </c>
      <c r="AE619">
        <v>1.42</v>
      </c>
      <c r="AF619">
        <v>0</v>
      </c>
      <c r="AG619">
        <v>4.1500000000000004</v>
      </c>
      <c r="AH619">
        <v>52.81</v>
      </c>
      <c r="AI619">
        <v>16.28</v>
      </c>
      <c r="AJ619">
        <v>0</v>
      </c>
      <c r="AK619">
        <v>0</v>
      </c>
      <c r="AL619">
        <v>7.24</v>
      </c>
      <c r="AM619">
        <v>0.14000000000000001</v>
      </c>
      <c r="AN619">
        <f t="shared" si="28"/>
        <v>3</v>
      </c>
      <c r="AO619" t="str">
        <f t="shared" si="29"/>
        <v>Tuesday</v>
      </c>
    </row>
    <row r="620" spans="1:41" x14ac:dyDescent="0.2">
      <c r="B620" s="1">
        <v>45895</v>
      </c>
      <c r="C620" s="1">
        <f t="shared" si="27"/>
        <v>45900</v>
      </c>
      <c r="D620">
        <v>459</v>
      </c>
      <c r="E620">
        <v>0</v>
      </c>
      <c r="F620">
        <v>0</v>
      </c>
      <c r="G620">
        <v>0</v>
      </c>
      <c r="H620">
        <v>0</v>
      </c>
      <c r="I620">
        <v>0</v>
      </c>
      <c r="J620">
        <v>0</v>
      </c>
      <c r="K620">
        <v>0</v>
      </c>
      <c r="AN620">
        <f t="shared" si="28"/>
        <v>3</v>
      </c>
      <c r="AO620" t="str">
        <f t="shared" si="29"/>
        <v>Tuesday</v>
      </c>
    </row>
    <row r="621" spans="1:41" x14ac:dyDescent="0.2">
      <c r="A621" t="s">
        <v>37</v>
      </c>
      <c r="B621" s="1">
        <v>45894</v>
      </c>
      <c r="C621" s="1">
        <f t="shared" si="27"/>
        <v>45900</v>
      </c>
      <c r="D621">
        <v>38</v>
      </c>
      <c r="E621">
        <v>99</v>
      </c>
      <c r="F621">
        <v>5</v>
      </c>
      <c r="G621">
        <v>1</v>
      </c>
      <c r="H621">
        <v>7</v>
      </c>
      <c r="I621">
        <v>0</v>
      </c>
      <c r="J621">
        <v>2</v>
      </c>
      <c r="K621">
        <v>61</v>
      </c>
      <c r="L621" t="s">
        <v>37</v>
      </c>
      <c r="M621" t="s">
        <v>38</v>
      </c>
      <c r="N621" s="1">
        <v>45894</v>
      </c>
      <c r="O621" s="2">
        <v>0.54202546296296295</v>
      </c>
      <c r="P621" s="2">
        <v>0.91675925925925927</v>
      </c>
      <c r="Q621">
        <v>9</v>
      </c>
      <c r="R621">
        <v>8.1300000000000008</v>
      </c>
      <c r="S621">
        <v>3.07</v>
      </c>
      <c r="T621">
        <v>1.02</v>
      </c>
      <c r="U621">
        <v>0</v>
      </c>
      <c r="V621">
        <v>0.38</v>
      </c>
      <c r="W621">
        <v>3.22</v>
      </c>
      <c r="X621">
        <v>0.4</v>
      </c>
      <c r="Y621">
        <v>0</v>
      </c>
      <c r="Z621">
        <v>0</v>
      </c>
      <c r="AA621">
        <v>0</v>
      </c>
      <c r="AB621">
        <v>0.04</v>
      </c>
      <c r="AC621">
        <v>8.1300000000000008</v>
      </c>
      <c r="AD621">
        <v>37.68</v>
      </c>
      <c r="AE621">
        <v>12.6</v>
      </c>
      <c r="AF621">
        <v>0</v>
      </c>
      <c r="AG621">
        <v>4.7</v>
      </c>
      <c r="AH621">
        <v>39.549999999999997</v>
      </c>
      <c r="AI621">
        <v>4.96</v>
      </c>
      <c r="AJ621">
        <v>0</v>
      </c>
      <c r="AK621">
        <v>0</v>
      </c>
      <c r="AL621">
        <v>0</v>
      </c>
      <c r="AM621">
        <v>0.52</v>
      </c>
      <c r="AN621">
        <f t="shared" si="28"/>
        <v>2</v>
      </c>
      <c r="AO621" t="str">
        <f t="shared" si="29"/>
        <v>Monday</v>
      </c>
    </row>
    <row r="622" spans="1:41" x14ac:dyDescent="0.2">
      <c r="A622" t="s">
        <v>40</v>
      </c>
      <c r="B622" s="1">
        <v>45894</v>
      </c>
      <c r="C622" s="1">
        <f t="shared" si="27"/>
        <v>45900</v>
      </c>
      <c r="D622">
        <v>24</v>
      </c>
      <c r="E622">
        <v>61</v>
      </c>
      <c r="F622">
        <v>8</v>
      </c>
      <c r="G622">
        <v>5</v>
      </c>
      <c r="H622">
        <v>11</v>
      </c>
      <c r="I622">
        <v>0</v>
      </c>
      <c r="J622">
        <v>0</v>
      </c>
      <c r="K622">
        <v>29</v>
      </c>
      <c r="L622" t="s">
        <v>40</v>
      </c>
      <c r="M622" t="s">
        <v>38</v>
      </c>
      <c r="N622" s="1">
        <v>45894</v>
      </c>
      <c r="O622" s="2">
        <v>0.54260416666666667</v>
      </c>
      <c r="P622" s="2">
        <v>0.91675925925925927</v>
      </c>
      <c r="Q622">
        <v>8.98</v>
      </c>
      <c r="R622">
        <v>8.98</v>
      </c>
      <c r="S622">
        <v>0.92</v>
      </c>
      <c r="T622">
        <v>0.14000000000000001</v>
      </c>
      <c r="U622">
        <v>0</v>
      </c>
      <c r="V622">
        <v>0.43</v>
      </c>
      <c r="W622">
        <v>5.47</v>
      </c>
      <c r="X622">
        <v>1.53</v>
      </c>
      <c r="Y622">
        <v>0.49</v>
      </c>
      <c r="Z622">
        <v>0</v>
      </c>
      <c r="AA622">
        <v>0</v>
      </c>
      <c r="AB622">
        <v>0</v>
      </c>
      <c r="AC622">
        <v>8.98</v>
      </c>
      <c r="AD622">
        <v>10.24</v>
      </c>
      <c r="AE622">
        <v>1.53</v>
      </c>
      <c r="AF622">
        <v>0</v>
      </c>
      <c r="AG622">
        <v>4.8</v>
      </c>
      <c r="AH622">
        <v>60.88</v>
      </c>
      <c r="AI622">
        <v>17.04</v>
      </c>
      <c r="AJ622">
        <v>5.46</v>
      </c>
      <c r="AK622">
        <v>0</v>
      </c>
      <c r="AL622">
        <v>0</v>
      </c>
      <c r="AM622">
        <v>0.04</v>
      </c>
      <c r="AN622">
        <f t="shared" si="28"/>
        <v>2</v>
      </c>
      <c r="AO622" t="str">
        <f t="shared" si="29"/>
        <v>Monday</v>
      </c>
    </row>
    <row r="623" spans="1:41" x14ac:dyDescent="0.2">
      <c r="A623" t="s">
        <v>41</v>
      </c>
      <c r="B623" s="1">
        <v>45894</v>
      </c>
      <c r="C623" s="1">
        <f t="shared" si="27"/>
        <v>45900</v>
      </c>
      <c r="D623">
        <v>36</v>
      </c>
      <c r="E623">
        <v>79</v>
      </c>
      <c r="F623">
        <v>7</v>
      </c>
      <c r="G623">
        <v>6</v>
      </c>
      <c r="H623">
        <v>12</v>
      </c>
      <c r="I623">
        <v>0</v>
      </c>
      <c r="J623">
        <v>0</v>
      </c>
      <c r="K623">
        <v>38</v>
      </c>
      <c r="L623" t="s">
        <v>41</v>
      </c>
      <c r="M623" t="s">
        <v>38</v>
      </c>
      <c r="N623" s="1">
        <v>45894</v>
      </c>
      <c r="O623" s="2">
        <v>0.5417939814814815</v>
      </c>
      <c r="P623" s="2">
        <v>0.91608796296296291</v>
      </c>
      <c r="Q623">
        <v>8.98</v>
      </c>
      <c r="R623">
        <v>8.98</v>
      </c>
      <c r="S623">
        <v>2.44</v>
      </c>
      <c r="T623">
        <v>0.1</v>
      </c>
      <c r="U623">
        <v>0</v>
      </c>
      <c r="V623">
        <v>0.45</v>
      </c>
      <c r="W623">
        <v>4.53</v>
      </c>
      <c r="X623">
        <v>1.45</v>
      </c>
      <c r="Y623">
        <v>0</v>
      </c>
      <c r="Z623">
        <v>0</v>
      </c>
      <c r="AA623">
        <v>0</v>
      </c>
      <c r="AB623">
        <v>0</v>
      </c>
      <c r="AC623">
        <v>8.98</v>
      </c>
      <c r="AD623">
        <v>27.14</v>
      </c>
      <c r="AE623">
        <v>1.1499999999999999</v>
      </c>
      <c r="AF623">
        <v>0</v>
      </c>
      <c r="AG623">
        <v>5.07</v>
      </c>
      <c r="AH623">
        <v>50.47</v>
      </c>
      <c r="AI623">
        <v>16.14</v>
      </c>
      <c r="AJ623">
        <v>0</v>
      </c>
      <c r="AK623">
        <v>0</v>
      </c>
      <c r="AL623">
        <v>0</v>
      </c>
      <c r="AM623">
        <v>0.04</v>
      </c>
      <c r="AN623">
        <f t="shared" si="28"/>
        <v>2</v>
      </c>
      <c r="AO623" t="str">
        <f t="shared" si="29"/>
        <v>Monday</v>
      </c>
    </row>
    <row r="624" spans="1:41" x14ac:dyDescent="0.2">
      <c r="A624" t="s">
        <v>43</v>
      </c>
      <c r="B624" s="1">
        <v>45894</v>
      </c>
      <c r="C624" s="1">
        <f t="shared" si="27"/>
        <v>45900</v>
      </c>
      <c r="D624">
        <v>37</v>
      </c>
      <c r="E624">
        <v>105</v>
      </c>
      <c r="F624">
        <v>12</v>
      </c>
      <c r="G624">
        <v>5</v>
      </c>
      <c r="H624">
        <v>6</v>
      </c>
      <c r="I624">
        <v>2</v>
      </c>
      <c r="J624">
        <v>0</v>
      </c>
      <c r="K624">
        <v>40</v>
      </c>
      <c r="L624" t="s">
        <v>43</v>
      </c>
      <c r="M624" t="s">
        <v>38</v>
      </c>
      <c r="N624" s="1">
        <v>45894</v>
      </c>
      <c r="O624" s="2">
        <v>0.5411111111111111</v>
      </c>
      <c r="P624" s="2">
        <v>0.91820601851851846</v>
      </c>
      <c r="Q624">
        <v>9.0500000000000007</v>
      </c>
      <c r="R624">
        <v>9.0500000000000007</v>
      </c>
      <c r="S624">
        <v>2.72</v>
      </c>
      <c r="T624">
        <v>0.32</v>
      </c>
      <c r="U624">
        <v>0</v>
      </c>
      <c r="V624">
        <v>0.62</v>
      </c>
      <c r="W624">
        <v>3.96</v>
      </c>
      <c r="X624">
        <v>1.44</v>
      </c>
      <c r="Y624">
        <v>0</v>
      </c>
      <c r="Z624">
        <v>0</v>
      </c>
      <c r="AA624">
        <v>0</v>
      </c>
      <c r="AB624">
        <v>0</v>
      </c>
      <c r="AC624">
        <v>9.0500000000000007</v>
      </c>
      <c r="AD624">
        <v>30.01</v>
      </c>
      <c r="AE624">
        <v>3.49</v>
      </c>
      <c r="AF624">
        <v>0</v>
      </c>
      <c r="AG624">
        <v>6.85</v>
      </c>
      <c r="AH624">
        <v>43.75</v>
      </c>
      <c r="AI624">
        <v>15.86</v>
      </c>
      <c r="AJ624">
        <v>0</v>
      </c>
      <c r="AK624">
        <v>0</v>
      </c>
      <c r="AL624">
        <v>0</v>
      </c>
      <c r="AM624">
        <v>0.03</v>
      </c>
      <c r="AN624">
        <f t="shared" si="28"/>
        <v>2</v>
      </c>
      <c r="AO624" t="str">
        <f t="shared" si="29"/>
        <v>Monday</v>
      </c>
    </row>
    <row r="625" spans="1:41" x14ac:dyDescent="0.2">
      <c r="B625" s="1">
        <v>45894</v>
      </c>
      <c r="C625" s="1">
        <f t="shared" si="27"/>
        <v>45900</v>
      </c>
      <c r="D625">
        <v>450</v>
      </c>
      <c r="E625">
        <v>0</v>
      </c>
      <c r="F625">
        <v>0</v>
      </c>
      <c r="G625">
        <v>0</v>
      </c>
      <c r="H625">
        <v>0</v>
      </c>
      <c r="I625">
        <v>0</v>
      </c>
      <c r="J625">
        <v>0</v>
      </c>
      <c r="K625">
        <v>0</v>
      </c>
      <c r="AN625">
        <f t="shared" si="28"/>
        <v>2</v>
      </c>
      <c r="AO625" t="str">
        <f t="shared" si="29"/>
        <v>Monday</v>
      </c>
    </row>
    <row r="626" spans="1:41" x14ac:dyDescent="0.2">
      <c r="A626" t="s">
        <v>37</v>
      </c>
      <c r="B626" s="1">
        <v>45891</v>
      </c>
      <c r="C626" s="1">
        <f t="shared" si="27"/>
        <v>45900</v>
      </c>
      <c r="D626">
        <v>29</v>
      </c>
      <c r="E626">
        <v>69</v>
      </c>
      <c r="F626">
        <v>2</v>
      </c>
      <c r="G626">
        <v>2</v>
      </c>
      <c r="H626">
        <v>6</v>
      </c>
      <c r="I626">
        <v>4</v>
      </c>
      <c r="J626">
        <v>0</v>
      </c>
      <c r="K626">
        <v>32</v>
      </c>
      <c r="L626" t="s">
        <v>37</v>
      </c>
      <c r="M626" t="s">
        <v>38</v>
      </c>
      <c r="N626" s="1">
        <v>45891</v>
      </c>
      <c r="O626" s="2">
        <v>0.54217592592592589</v>
      </c>
      <c r="P626" s="2">
        <v>0.91672453703703705</v>
      </c>
      <c r="Q626">
        <v>9</v>
      </c>
      <c r="R626">
        <v>8.11</v>
      </c>
      <c r="S626">
        <v>2.39</v>
      </c>
      <c r="T626">
        <v>0.42</v>
      </c>
      <c r="U626">
        <v>0</v>
      </c>
      <c r="V626">
        <v>0.22</v>
      </c>
      <c r="W626">
        <v>4.63</v>
      </c>
      <c r="X626">
        <v>0.44</v>
      </c>
      <c r="Y626">
        <v>0</v>
      </c>
      <c r="Z626">
        <v>0</v>
      </c>
      <c r="AA626">
        <v>0</v>
      </c>
      <c r="AB626">
        <v>0.01</v>
      </c>
      <c r="AC626">
        <v>8.11</v>
      </c>
      <c r="AD626">
        <v>29.42</v>
      </c>
      <c r="AE626">
        <v>5.22</v>
      </c>
      <c r="AF626">
        <v>0</v>
      </c>
      <c r="AG626">
        <v>2.77</v>
      </c>
      <c r="AH626">
        <v>57.07</v>
      </c>
      <c r="AI626">
        <v>5.4</v>
      </c>
      <c r="AJ626">
        <v>0</v>
      </c>
      <c r="AK626">
        <v>0</v>
      </c>
      <c r="AL626">
        <v>0</v>
      </c>
      <c r="AM626">
        <v>0.11</v>
      </c>
      <c r="AN626">
        <f t="shared" si="28"/>
        <v>6</v>
      </c>
      <c r="AO626" t="str">
        <f t="shared" si="29"/>
        <v>Friday</v>
      </c>
    </row>
    <row r="627" spans="1:41" x14ac:dyDescent="0.2">
      <c r="A627" t="s">
        <v>40</v>
      </c>
      <c r="B627" s="1">
        <v>45891</v>
      </c>
      <c r="C627" s="1">
        <f t="shared" si="27"/>
        <v>45900</v>
      </c>
      <c r="D627">
        <v>14</v>
      </c>
      <c r="E627">
        <v>25</v>
      </c>
      <c r="F627">
        <v>2</v>
      </c>
      <c r="G627">
        <v>5</v>
      </c>
      <c r="H627">
        <v>3</v>
      </c>
      <c r="I627">
        <v>0</v>
      </c>
      <c r="J627">
        <v>0</v>
      </c>
      <c r="K627">
        <v>9</v>
      </c>
      <c r="L627" t="s">
        <v>40</v>
      </c>
      <c r="M627" t="s">
        <v>38</v>
      </c>
      <c r="N627" s="1">
        <v>45891</v>
      </c>
      <c r="O627" s="2">
        <v>0.5443634259259259</v>
      </c>
      <c r="P627" s="2">
        <v>0.91828703703703707</v>
      </c>
      <c r="Q627">
        <v>8.98</v>
      </c>
      <c r="R627">
        <v>7.74</v>
      </c>
      <c r="S627">
        <v>0.59</v>
      </c>
      <c r="T627">
        <v>0</v>
      </c>
      <c r="U627">
        <v>0</v>
      </c>
      <c r="V627">
        <v>0.26</v>
      </c>
      <c r="W627">
        <v>3.58</v>
      </c>
      <c r="X627">
        <v>1.25</v>
      </c>
      <c r="Y627">
        <v>2.04</v>
      </c>
      <c r="Z627">
        <v>0</v>
      </c>
      <c r="AA627">
        <v>0</v>
      </c>
      <c r="AB627">
        <v>0.01</v>
      </c>
      <c r="AC627">
        <v>7.74</v>
      </c>
      <c r="AD627">
        <v>7.63</v>
      </c>
      <c r="AE627">
        <v>0</v>
      </c>
      <c r="AF627">
        <v>0</v>
      </c>
      <c r="AG627">
        <v>3.43</v>
      </c>
      <c r="AH627">
        <v>46.3</v>
      </c>
      <c r="AI627">
        <v>16.21</v>
      </c>
      <c r="AJ627">
        <v>26.34</v>
      </c>
      <c r="AK627">
        <v>0</v>
      </c>
      <c r="AL627">
        <v>0</v>
      </c>
      <c r="AM627">
        <v>0.1</v>
      </c>
      <c r="AN627">
        <f t="shared" si="28"/>
        <v>6</v>
      </c>
      <c r="AO627" t="str">
        <f t="shared" si="29"/>
        <v>Friday</v>
      </c>
    </row>
    <row r="628" spans="1:41" x14ac:dyDescent="0.2">
      <c r="A628" t="s">
        <v>41</v>
      </c>
      <c r="B628" s="1">
        <v>45891</v>
      </c>
      <c r="C628" s="1">
        <f t="shared" si="27"/>
        <v>45900</v>
      </c>
      <c r="D628">
        <v>22</v>
      </c>
      <c r="E628">
        <v>46</v>
      </c>
      <c r="F628">
        <v>5</v>
      </c>
      <c r="G628">
        <v>7</v>
      </c>
      <c r="H628">
        <v>7</v>
      </c>
      <c r="I628">
        <v>1</v>
      </c>
      <c r="J628">
        <v>0</v>
      </c>
      <c r="K628">
        <v>20</v>
      </c>
      <c r="L628" t="s">
        <v>41</v>
      </c>
      <c r="M628" t="s">
        <v>38</v>
      </c>
      <c r="N628" s="1">
        <v>45891</v>
      </c>
      <c r="O628" s="2">
        <v>0.5417939814814815</v>
      </c>
      <c r="P628" s="2">
        <v>0.91531249999999997</v>
      </c>
      <c r="Q628">
        <v>8.9700000000000006</v>
      </c>
      <c r="R628">
        <v>8.9600000000000009</v>
      </c>
      <c r="S628">
        <v>1.0900000000000001</v>
      </c>
      <c r="T628">
        <v>0.21</v>
      </c>
      <c r="U628">
        <v>0</v>
      </c>
      <c r="V628">
        <v>0.31</v>
      </c>
      <c r="W628">
        <v>5.89</v>
      </c>
      <c r="X628">
        <v>1.47</v>
      </c>
      <c r="Y628">
        <v>0</v>
      </c>
      <c r="Z628">
        <v>0</v>
      </c>
      <c r="AA628">
        <v>0</v>
      </c>
      <c r="AB628">
        <v>0</v>
      </c>
      <c r="AC628">
        <v>8.9600000000000009</v>
      </c>
      <c r="AD628">
        <v>12.12</v>
      </c>
      <c r="AE628">
        <v>2.3199999999999998</v>
      </c>
      <c r="AF628">
        <v>0</v>
      </c>
      <c r="AG628">
        <v>3.47</v>
      </c>
      <c r="AH628">
        <v>65.680000000000007</v>
      </c>
      <c r="AI628">
        <v>16.36</v>
      </c>
      <c r="AJ628">
        <v>0</v>
      </c>
      <c r="AK628">
        <v>0</v>
      </c>
      <c r="AL628">
        <v>0</v>
      </c>
      <c r="AM628">
        <v>0.04</v>
      </c>
      <c r="AN628">
        <f t="shared" si="28"/>
        <v>6</v>
      </c>
      <c r="AO628" t="str">
        <f t="shared" si="29"/>
        <v>Friday</v>
      </c>
    </row>
    <row r="629" spans="1:41" x14ac:dyDescent="0.2">
      <c r="A629" t="s">
        <v>43</v>
      </c>
      <c r="B629" s="1">
        <v>45891</v>
      </c>
      <c r="C629" s="1">
        <f t="shared" si="27"/>
        <v>45900</v>
      </c>
      <c r="D629">
        <v>22</v>
      </c>
      <c r="E629">
        <v>47</v>
      </c>
      <c r="F629">
        <v>2</v>
      </c>
      <c r="G629">
        <v>1</v>
      </c>
      <c r="H629">
        <v>2</v>
      </c>
      <c r="I629">
        <v>0</v>
      </c>
      <c r="J629">
        <v>0</v>
      </c>
      <c r="K629">
        <v>19</v>
      </c>
      <c r="L629" t="s">
        <v>43</v>
      </c>
      <c r="M629" t="s">
        <v>38</v>
      </c>
      <c r="N629" s="1">
        <v>45891</v>
      </c>
      <c r="O629" s="2">
        <v>0.54208333333333336</v>
      </c>
      <c r="P629" s="2">
        <v>0.91817129629629635</v>
      </c>
      <c r="Q629">
        <v>9.0299999999999994</v>
      </c>
      <c r="R629">
        <v>9.01</v>
      </c>
      <c r="S629">
        <v>0.74</v>
      </c>
      <c r="T629">
        <v>0.2</v>
      </c>
      <c r="U629">
        <v>0</v>
      </c>
      <c r="V629">
        <v>0.38</v>
      </c>
      <c r="W629">
        <v>5.34</v>
      </c>
      <c r="X629">
        <v>2.0099999999999998</v>
      </c>
      <c r="Y629">
        <v>0</v>
      </c>
      <c r="Z629">
        <v>0</v>
      </c>
      <c r="AA629">
        <v>0.21</v>
      </c>
      <c r="AB629">
        <v>0.13</v>
      </c>
      <c r="AC629">
        <v>9.01</v>
      </c>
      <c r="AD629">
        <v>8.1999999999999993</v>
      </c>
      <c r="AE629">
        <v>2.2000000000000002</v>
      </c>
      <c r="AF629">
        <v>0</v>
      </c>
      <c r="AG629">
        <v>4.24</v>
      </c>
      <c r="AH629">
        <v>59.28</v>
      </c>
      <c r="AI629">
        <v>22.32</v>
      </c>
      <c r="AJ629">
        <v>0</v>
      </c>
      <c r="AK629">
        <v>0</v>
      </c>
      <c r="AL629">
        <v>2.34</v>
      </c>
      <c r="AM629">
        <v>1.42</v>
      </c>
      <c r="AN629">
        <f t="shared" si="28"/>
        <v>6</v>
      </c>
      <c r="AO629" t="str">
        <f t="shared" si="29"/>
        <v>Friday</v>
      </c>
    </row>
    <row r="630" spans="1:41" x14ac:dyDescent="0.2">
      <c r="B630" s="1">
        <v>45891</v>
      </c>
      <c r="C630" s="1">
        <f t="shared" si="27"/>
        <v>45900</v>
      </c>
      <c r="D630">
        <v>446</v>
      </c>
      <c r="E630">
        <v>0</v>
      </c>
      <c r="F630">
        <v>0</v>
      </c>
      <c r="G630">
        <v>0</v>
      </c>
      <c r="H630">
        <v>0</v>
      </c>
      <c r="I630">
        <v>0</v>
      </c>
      <c r="J630">
        <v>0</v>
      </c>
      <c r="K630">
        <v>0</v>
      </c>
      <c r="AN630">
        <f t="shared" si="28"/>
        <v>6</v>
      </c>
      <c r="AO630" t="str">
        <f t="shared" si="29"/>
        <v>Friday</v>
      </c>
    </row>
    <row r="631" spans="1:41" x14ac:dyDescent="0.2">
      <c r="A631" t="s">
        <v>37</v>
      </c>
      <c r="B631" s="1">
        <v>45890</v>
      </c>
      <c r="C631" s="1">
        <f t="shared" si="27"/>
        <v>45900</v>
      </c>
      <c r="D631">
        <v>35</v>
      </c>
      <c r="E631">
        <v>85</v>
      </c>
      <c r="F631">
        <v>3</v>
      </c>
      <c r="G631">
        <v>10</v>
      </c>
      <c r="H631">
        <v>0</v>
      </c>
      <c r="I631">
        <v>0</v>
      </c>
      <c r="J631">
        <v>0</v>
      </c>
      <c r="K631">
        <v>34</v>
      </c>
      <c r="L631" t="s">
        <v>37</v>
      </c>
      <c r="M631" t="s">
        <v>38</v>
      </c>
      <c r="N631" s="1">
        <v>45890</v>
      </c>
      <c r="O631" s="2">
        <v>0.54232638888888884</v>
      </c>
      <c r="P631" s="2">
        <v>0.91673611111111108</v>
      </c>
      <c r="Q631">
        <v>9</v>
      </c>
      <c r="R631">
        <v>8.98</v>
      </c>
      <c r="S631">
        <v>1.97</v>
      </c>
      <c r="T631">
        <v>0.24</v>
      </c>
      <c r="U631">
        <v>0</v>
      </c>
      <c r="V631">
        <v>0.31</v>
      </c>
      <c r="W631">
        <v>4.3600000000000003</v>
      </c>
      <c r="X631">
        <v>1.19</v>
      </c>
      <c r="Y631">
        <v>0.91</v>
      </c>
      <c r="Z631">
        <v>0</v>
      </c>
      <c r="AA631">
        <v>0</v>
      </c>
      <c r="AB631">
        <v>0</v>
      </c>
      <c r="AC631">
        <v>8.98</v>
      </c>
      <c r="AD631">
        <v>21.97</v>
      </c>
      <c r="AE631">
        <v>2.67</v>
      </c>
      <c r="AF631">
        <v>0</v>
      </c>
      <c r="AG631">
        <v>3.43</v>
      </c>
      <c r="AH631">
        <v>48.52</v>
      </c>
      <c r="AI631">
        <v>13.22</v>
      </c>
      <c r="AJ631">
        <v>10.14</v>
      </c>
      <c r="AK631">
        <v>0</v>
      </c>
      <c r="AL631">
        <v>0</v>
      </c>
      <c r="AM631">
        <v>0.05</v>
      </c>
      <c r="AN631">
        <f t="shared" si="28"/>
        <v>5</v>
      </c>
      <c r="AO631" t="str">
        <f t="shared" si="29"/>
        <v>Thursday</v>
      </c>
    </row>
    <row r="632" spans="1:41" x14ac:dyDescent="0.2">
      <c r="A632" t="s">
        <v>40</v>
      </c>
      <c r="B632" s="1">
        <v>45890</v>
      </c>
      <c r="C632" s="1">
        <f t="shared" si="27"/>
        <v>45900</v>
      </c>
      <c r="D632">
        <v>13</v>
      </c>
      <c r="E632">
        <v>45</v>
      </c>
      <c r="F632">
        <v>7</v>
      </c>
      <c r="G632">
        <v>3</v>
      </c>
      <c r="H632">
        <v>1</v>
      </c>
      <c r="I632">
        <v>0</v>
      </c>
      <c r="J632">
        <v>1</v>
      </c>
      <c r="K632">
        <v>29</v>
      </c>
      <c r="L632" t="s">
        <v>40</v>
      </c>
      <c r="M632" t="s">
        <v>38</v>
      </c>
      <c r="N632" s="1">
        <v>45890</v>
      </c>
      <c r="O632" s="2">
        <v>0.54216435185185186</v>
      </c>
      <c r="P632" s="2">
        <v>0.91798611111111106</v>
      </c>
      <c r="Q632">
        <v>9.02</v>
      </c>
      <c r="R632">
        <v>9.02</v>
      </c>
      <c r="S632">
        <v>0.46</v>
      </c>
      <c r="T632">
        <v>0</v>
      </c>
      <c r="U632">
        <v>0</v>
      </c>
      <c r="V632">
        <v>0.13</v>
      </c>
      <c r="W632">
        <v>3.29</v>
      </c>
      <c r="X632">
        <v>1.25</v>
      </c>
      <c r="Y632">
        <v>3.88</v>
      </c>
      <c r="Z632">
        <v>0</v>
      </c>
      <c r="AA632">
        <v>0</v>
      </c>
      <c r="AB632">
        <v>0</v>
      </c>
      <c r="AC632">
        <v>9.02</v>
      </c>
      <c r="AD632">
        <v>5.12</v>
      </c>
      <c r="AE632">
        <v>0</v>
      </c>
      <c r="AF632">
        <v>0</v>
      </c>
      <c r="AG632">
        <v>1.45</v>
      </c>
      <c r="AH632">
        <v>36.43</v>
      </c>
      <c r="AI632">
        <v>13.89</v>
      </c>
      <c r="AJ632">
        <v>43.06</v>
      </c>
      <c r="AK632">
        <v>0</v>
      </c>
      <c r="AL632">
        <v>0</v>
      </c>
      <c r="AM632">
        <v>0.04</v>
      </c>
      <c r="AN632">
        <f t="shared" si="28"/>
        <v>5</v>
      </c>
      <c r="AO632" t="str">
        <f t="shared" si="29"/>
        <v>Thursday</v>
      </c>
    </row>
    <row r="633" spans="1:41" x14ac:dyDescent="0.2">
      <c r="A633" t="s">
        <v>41</v>
      </c>
      <c r="B633" s="1">
        <v>45890</v>
      </c>
      <c r="C633" s="1">
        <f t="shared" si="27"/>
        <v>45900</v>
      </c>
      <c r="D633">
        <v>23</v>
      </c>
      <c r="E633">
        <v>48</v>
      </c>
      <c r="F633">
        <v>8</v>
      </c>
      <c r="G633">
        <v>6</v>
      </c>
      <c r="H633">
        <v>3</v>
      </c>
      <c r="I633">
        <v>2</v>
      </c>
      <c r="J633">
        <v>0</v>
      </c>
      <c r="K633">
        <v>19</v>
      </c>
      <c r="L633" t="s">
        <v>41</v>
      </c>
      <c r="M633" t="s">
        <v>38</v>
      </c>
      <c r="N633" s="1">
        <v>45890</v>
      </c>
      <c r="O633" s="2">
        <v>0.5417939814814815</v>
      </c>
      <c r="P633" s="2">
        <v>0.91696759259259264</v>
      </c>
      <c r="Q633">
        <v>9</v>
      </c>
      <c r="R633">
        <v>8.9600000000000009</v>
      </c>
      <c r="S633">
        <v>1.45</v>
      </c>
      <c r="T633">
        <v>0.19</v>
      </c>
      <c r="U633">
        <v>0</v>
      </c>
      <c r="V633">
        <v>0.16</v>
      </c>
      <c r="W633">
        <v>4.8499999999999996</v>
      </c>
      <c r="X633">
        <v>1.46</v>
      </c>
      <c r="Y633">
        <v>0.84</v>
      </c>
      <c r="Z633">
        <v>0</v>
      </c>
      <c r="AA633">
        <v>0</v>
      </c>
      <c r="AB633">
        <v>0.01</v>
      </c>
      <c r="AC633">
        <v>8.9600000000000009</v>
      </c>
      <c r="AD633">
        <v>16.21</v>
      </c>
      <c r="AE633">
        <v>2.1</v>
      </c>
      <c r="AF633">
        <v>0</v>
      </c>
      <c r="AG633">
        <v>1.81</v>
      </c>
      <c r="AH633">
        <v>54.09</v>
      </c>
      <c r="AI633">
        <v>16.29</v>
      </c>
      <c r="AJ633">
        <v>9.35</v>
      </c>
      <c r="AK633">
        <v>0</v>
      </c>
      <c r="AL633">
        <v>0</v>
      </c>
      <c r="AM633">
        <v>0.15</v>
      </c>
      <c r="AN633">
        <f t="shared" si="28"/>
        <v>5</v>
      </c>
      <c r="AO633" t="str">
        <f t="shared" si="29"/>
        <v>Thursday</v>
      </c>
    </row>
    <row r="634" spans="1:41" x14ac:dyDescent="0.2">
      <c r="A634" t="s">
        <v>43</v>
      </c>
      <c r="B634" s="1">
        <v>45890</v>
      </c>
      <c r="C634" s="1">
        <f t="shared" si="27"/>
        <v>45900</v>
      </c>
      <c r="D634">
        <v>30</v>
      </c>
      <c r="E634">
        <v>59</v>
      </c>
      <c r="F634">
        <v>5</v>
      </c>
      <c r="G634">
        <v>6</v>
      </c>
      <c r="H634">
        <v>0</v>
      </c>
      <c r="I634">
        <v>2</v>
      </c>
      <c r="J634">
        <v>1</v>
      </c>
      <c r="K634">
        <v>20</v>
      </c>
      <c r="L634" t="s">
        <v>43</v>
      </c>
      <c r="M634" t="s">
        <v>38</v>
      </c>
      <c r="N634" s="1">
        <v>45890</v>
      </c>
      <c r="O634" s="2">
        <v>0.54112268518518514</v>
      </c>
      <c r="P634" s="2">
        <v>0.91718750000000004</v>
      </c>
      <c r="Q634">
        <v>9.02</v>
      </c>
      <c r="R634">
        <v>8.99</v>
      </c>
      <c r="S634">
        <v>1.78</v>
      </c>
      <c r="T634">
        <v>0</v>
      </c>
      <c r="U634">
        <v>0</v>
      </c>
      <c r="V634">
        <v>0.72</v>
      </c>
      <c r="W634">
        <v>4.0199999999999996</v>
      </c>
      <c r="X634">
        <v>1.45</v>
      </c>
      <c r="Y634">
        <v>0.88</v>
      </c>
      <c r="Z634">
        <v>0</v>
      </c>
      <c r="AA634">
        <v>0.12</v>
      </c>
      <c r="AB634">
        <v>0.02</v>
      </c>
      <c r="AC634">
        <v>8.99</v>
      </c>
      <c r="AD634">
        <v>19.77</v>
      </c>
      <c r="AE634">
        <v>0.04</v>
      </c>
      <c r="AF634">
        <v>0</v>
      </c>
      <c r="AG634">
        <v>7.97</v>
      </c>
      <c r="AH634">
        <v>44.69</v>
      </c>
      <c r="AI634">
        <v>16.170000000000002</v>
      </c>
      <c r="AJ634">
        <v>9.81</v>
      </c>
      <c r="AK634">
        <v>0</v>
      </c>
      <c r="AL634">
        <v>1.3</v>
      </c>
      <c r="AM634">
        <v>0.24</v>
      </c>
      <c r="AN634">
        <f t="shared" si="28"/>
        <v>5</v>
      </c>
      <c r="AO634" t="str">
        <f t="shared" si="29"/>
        <v>Thursday</v>
      </c>
    </row>
    <row r="635" spans="1:41" x14ac:dyDescent="0.2">
      <c r="B635" s="1">
        <v>45890</v>
      </c>
      <c r="C635" s="1">
        <f t="shared" si="27"/>
        <v>45900</v>
      </c>
      <c r="D635">
        <v>450</v>
      </c>
      <c r="E635">
        <v>0</v>
      </c>
      <c r="F635">
        <v>0</v>
      </c>
      <c r="G635">
        <v>0</v>
      </c>
      <c r="H635">
        <v>0</v>
      </c>
      <c r="I635">
        <v>0</v>
      </c>
      <c r="J635">
        <v>0</v>
      </c>
      <c r="K635">
        <v>0</v>
      </c>
      <c r="AN635">
        <f t="shared" si="28"/>
        <v>5</v>
      </c>
      <c r="AO635" t="str">
        <f t="shared" si="29"/>
        <v>Thursday</v>
      </c>
    </row>
    <row r="636" spans="1:41" x14ac:dyDescent="0.2">
      <c r="A636" t="s">
        <v>37</v>
      </c>
      <c r="B636" s="1">
        <v>45889</v>
      </c>
      <c r="C636" s="1">
        <f t="shared" si="27"/>
        <v>45900</v>
      </c>
      <c r="D636">
        <v>27</v>
      </c>
      <c r="E636">
        <v>78</v>
      </c>
      <c r="F636">
        <v>7</v>
      </c>
      <c r="G636">
        <v>0</v>
      </c>
      <c r="H636">
        <v>4</v>
      </c>
      <c r="I636">
        <v>0</v>
      </c>
      <c r="J636">
        <v>0</v>
      </c>
      <c r="K636">
        <v>46</v>
      </c>
      <c r="L636" t="s">
        <v>37</v>
      </c>
      <c r="M636" t="s">
        <v>38</v>
      </c>
      <c r="N636" s="1">
        <v>45889</v>
      </c>
      <c r="O636" s="2">
        <v>0.54182870370370373</v>
      </c>
      <c r="P636" s="2">
        <v>0.9167939814814815</v>
      </c>
      <c r="Q636">
        <v>9</v>
      </c>
      <c r="R636">
        <v>9</v>
      </c>
      <c r="S636">
        <v>1.0900000000000001</v>
      </c>
      <c r="T636">
        <v>7.0000000000000007E-2</v>
      </c>
      <c r="U636">
        <v>0</v>
      </c>
      <c r="V636">
        <v>0.16</v>
      </c>
      <c r="W636">
        <v>6.41</v>
      </c>
      <c r="X636">
        <v>1.26</v>
      </c>
      <c r="Y636">
        <v>0</v>
      </c>
      <c r="Z636">
        <v>0</v>
      </c>
      <c r="AA636">
        <v>0</v>
      </c>
      <c r="AB636">
        <v>0.01</v>
      </c>
      <c r="AC636">
        <v>9</v>
      </c>
      <c r="AD636">
        <v>12.16</v>
      </c>
      <c r="AE636">
        <v>0.8</v>
      </c>
      <c r="AF636">
        <v>0</v>
      </c>
      <c r="AG636">
        <v>1.82</v>
      </c>
      <c r="AH636">
        <v>71.22</v>
      </c>
      <c r="AI636">
        <v>13.95</v>
      </c>
      <c r="AJ636">
        <v>0</v>
      </c>
      <c r="AK636">
        <v>0</v>
      </c>
      <c r="AL636">
        <v>0</v>
      </c>
      <c r="AM636">
        <v>0.06</v>
      </c>
      <c r="AN636">
        <f t="shared" si="28"/>
        <v>4</v>
      </c>
      <c r="AO636" t="str">
        <f t="shared" si="29"/>
        <v>Wednesday</v>
      </c>
    </row>
    <row r="637" spans="1:41" x14ac:dyDescent="0.2">
      <c r="A637" t="s">
        <v>39</v>
      </c>
      <c r="B637" s="1">
        <v>45889</v>
      </c>
      <c r="C637" s="1">
        <f t="shared" si="27"/>
        <v>45900</v>
      </c>
      <c r="D637">
        <v>21</v>
      </c>
      <c r="E637">
        <v>39</v>
      </c>
      <c r="F637">
        <v>6</v>
      </c>
      <c r="G637">
        <v>2</v>
      </c>
      <c r="H637">
        <v>1</v>
      </c>
      <c r="I637">
        <v>0</v>
      </c>
      <c r="J637">
        <v>0</v>
      </c>
      <c r="K637">
        <v>10</v>
      </c>
      <c r="L637" t="s">
        <v>39</v>
      </c>
      <c r="M637" t="s">
        <v>38</v>
      </c>
      <c r="N637" s="1">
        <v>45889</v>
      </c>
      <c r="O637" s="2">
        <v>0.54193287037037041</v>
      </c>
      <c r="P637" s="2">
        <v>0.9170949074074074</v>
      </c>
      <c r="Q637">
        <v>9</v>
      </c>
      <c r="R637">
        <v>9</v>
      </c>
      <c r="S637">
        <v>1.37</v>
      </c>
      <c r="T637">
        <v>0.15</v>
      </c>
      <c r="U637">
        <v>0</v>
      </c>
      <c r="V637">
        <v>0.02</v>
      </c>
      <c r="W637">
        <v>6.23</v>
      </c>
      <c r="X637">
        <v>1.23</v>
      </c>
      <c r="Y637">
        <v>0</v>
      </c>
      <c r="Z637">
        <v>0</v>
      </c>
      <c r="AA637">
        <v>0</v>
      </c>
      <c r="AB637">
        <v>0</v>
      </c>
      <c r="AC637">
        <v>9</v>
      </c>
      <c r="AD637">
        <v>15.21</v>
      </c>
      <c r="AE637">
        <v>1.71</v>
      </c>
      <c r="AF637">
        <v>0</v>
      </c>
      <c r="AG637">
        <v>0.24</v>
      </c>
      <c r="AH637">
        <v>69.180000000000007</v>
      </c>
      <c r="AI637">
        <v>13.61</v>
      </c>
      <c r="AJ637">
        <v>0</v>
      </c>
      <c r="AK637">
        <v>0</v>
      </c>
      <c r="AL637">
        <v>0</v>
      </c>
      <c r="AM637">
        <v>0.05</v>
      </c>
      <c r="AN637">
        <f t="shared" si="28"/>
        <v>4</v>
      </c>
      <c r="AO637" t="str">
        <f t="shared" si="29"/>
        <v>Wednesday</v>
      </c>
    </row>
    <row r="638" spans="1:41" x14ac:dyDescent="0.2">
      <c r="A638" t="s">
        <v>40</v>
      </c>
      <c r="B638" s="1">
        <v>45889</v>
      </c>
      <c r="C638" s="1">
        <f t="shared" si="27"/>
        <v>45900</v>
      </c>
      <c r="D638">
        <v>17</v>
      </c>
      <c r="E638">
        <v>46</v>
      </c>
      <c r="F638">
        <v>4</v>
      </c>
      <c r="G638">
        <v>0</v>
      </c>
      <c r="H638">
        <v>20</v>
      </c>
      <c r="I638">
        <v>0</v>
      </c>
      <c r="J638">
        <v>0</v>
      </c>
      <c r="K638">
        <v>17</v>
      </c>
      <c r="L638" t="s">
        <v>40</v>
      </c>
      <c r="M638" t="s">
        <v>38</v>
      </c>
      <c r="N638" s="1">
        <v>45889</v>
      </c>
      <c r="O638" s="2">
        <v>0.5430787037037037</v>
      </c>
      <c r="P638" s="2">
        <v>0.91668981481481482</v>
      </c>
      <c r="Q638">
        <v>8.9700000000000006</v>
      </c>
      <c r="R638">
        <v>8.9700000000000006</v>
      </c>
      <c r="S638">
        <v>0.79</v>
      </c>
      <c r="T638">
        <v>0</v>
      </c>
      <c r="U638">
        <v>0</v>
      </c>
      <c r="V638">
        <v>0.27</v>
      </c>
      <c r="W638">
        <v>6.05</v>
      </c>
      <c r="X638">
        <v>1.54</v>
      </c>
      <c r="Y638">
        <v>0.32</v>
      </c>
      <c r="Z638">
        <v>0</v>
      </c>
      <c r="AA638">
        <v>0</v>
      </c>
      <c r="AB638">
        <v>0</v>
      </c>
      <c r="AC638">
        <v>8.9700000000000006</v>
      </c>
      <c r="AD638">
        <v>8.85</v>
      </c>
      <c r="AE638">
        <v>0</v>
      </c>
      <c r="AF638">
        <v>0</v>
      </c>
      <c r="AG638">
        <v>2.97</v>
      </c>
      <c r="AH638">
        <v>67.430000000000007</v>
      </c>
      <c r="AI638">
        <v>17.18</v>
      </c>
      <c r="AJ638">
        <v>3.53</v>
      </c>
      <c r="AK638">
        <v>0</v>
      </c>
      <c r="AL638">
        <v>0</v>
      </c>
      <c r="AM638">
        <v>0.04</v>
      </c>
      <c r="AN638">
        <f t="shared" si="28"/>
        <v>4</v>
      </c>
      <c r="AO638" t="str">
        <f t="shared" si="29"/>
        <v>Wednesday</v>
      </c>
    </row>
    <row r="639" spans="1:41" x14ac:dyDescent="0.2">
      <c r="A639" t="s">
        <v>41</v>
      </c>
      <c r="B639" s="1">
        <v>45889</v>
      </c>
      <c r="C639" s="1">
        <f t="shared" si="27"/>
        <v>45900</v>
      </c>
      <c r="D639">
        <v>23</v>
      </c>
      <c r="E639">
        <v>42</v>
      </c>
      <c r="F639">
        <v>4</v>
      </c>
      <c r="G639">
        <v>0</v>
      </c>
      <c r="H639">
        <v>12</v>
      </c>
      <c r="I639">
        <v>0</v>
      </c>
      <c r="J639">
        <v>0</v>
      </c>
      <c r="K639">
        <v>7</v>
      </c>
      <c r="L639" t="s">
        <v>41</v>
      </c>
      <c r="M639" t="s">
        <v>38</v>
      </c>
      <c r="N639" s="1">
        <v>45889</v>
      </c>
      <c r="O639" s="2">
        <v>0.54174768518518523</v>
      </c>
      <c r="P639" s="2">
        <v>0.91766203703703708</v>
      </c>
      <c r="Q639">
        <v>9.02</v>
      </c>
      <c r="R639">
        <v>9.02</v>
      </c>
      <c r="S639">
        <v>1.26</v>
      </c>
      <c r="T639">
        <v>0.32</v>
      </c>
      <c r="U639">
        <v>0</v>
      </c>
      <c r="V639">
        <v>0.25</v>
      </c>
      <c r="W639">
        <v>5.75</v>
      </c>
      <c r="X639">
        <v>1.44</v>
      </c>
      <c r="Y639">
        <v>0</v>
      </c>
      <c r="Z639">
        <v>0</v>
      </c>
      <c r="AA639">
        <v>0</v>
      </c>
      <c r="AB639">
        <v>0</v>
      </c>
      <c r="AC639">
        <v>9.02</v>
      </c>
      <c r="AD639">
        <v>13.95</v>
      </c>
      <c r="AE639">
        <v>3.59</v>
      </c>
      <c r="AF639">
        <v>0</v>
      </c>
      <c r="AG639">
        <v>2.79</v>
      </c>
      <c r="AH639">
        <v>63.7</v>
      </c>
      <c r="AI639">
        <v>15.93</v>
      </c>
      <c r="AJ639">
        <v>0</v>
      </c>
      <c r="AK639">
        <v>0</v>
      </c>
      <c r="AL639">
        <v>0</v>
      </c>
      <c r="AM639">
        <v>0.04</v>
      </c>
      <c r="AN639">
        <f t="shared" si="28"/>
        <v>4</v>
      </c>
      <c r="AO639" t="str">
        <f t="shared" si="29"/>
        <v>Wednesday</v>
      </c>
    </row>
    <row r="640" spans="1:41" x14ac:dyDescent="0.2">
      <c r="A640" t="s">
        <v>43</v>
      </c>
      <c r="B640" s="1">
        <v>45889</v>
      </c>
      <c r="C640" s="1">
        <f t="shared" si="27"/>
        <v>45900</v>
      </c>
      <c r="D640">
        <v>22</v>
      </c>
      <c r="E640">
        <v>69</v>
      </c>
      <c r="F640">
        <v>4</v>
      </c>
      <c r="G640">
        <v>4</v>
      </c>
      <c r="H640">
        <v>12</v>
      </c>
      <c r="I640">
        <v>0</v>
      </c>
      <c r="J640">
        <v>0</v>
      </c>
      <c r="K640">
        <v>19</v>
      </c>
      <c r="L640" t="s">
        <v>43</v>
      </c>
      <c r="M640" t="s">
        <v>38</v>
      </c>
      <c r="N640" s="1">
        <v>45889</v>
      </c>
      <c r="O640" s="2">
        <v>0.54108796296296291</v>
      </c>
      <c r="P640" s="2">
        <v>0.91873842592592592</v>
      </c>
      <c r="Q640">
        <v>9.0500000000000007</v>
      </c>
      <c r="R640">
        <v>9.06</v>
      </c>
      <c r="S640">
        <v>1.19</v>
      </c>
      <c r="T640">
        <v>0.24</v>
      </c>
      <c r="U640">
        <v>0</v>
      </c>
      <c r="V640">
        <v>0.24</v>
      </c>
      <c r="W640">
        <v>5.9</v>
      </c>
      <c r="X640">
        <v>1.5</v>
      </c>
      <c r="Y640">
        <v>0</v>
      </c>
      <c r="Z640">
        <v>0</v>
      </c>
      <c r="AA640">
        <v>0</v>
      </c>
      <c r="AB640">
        <v>0</v>
      </c>
      <c r="AC640">
        <v>9.06</v>
      </c>
      <c r="AD640">
        <v>13.08</v>
      </c>
      <c r="AE640">
        <v>2.68</v>
      </c>
      <c r="AF640">
        <v>0</v>
      </c>
      <c r="AG640">
        <v>2.61</v>
      </c>
      <c r="AH640">
        <v>65.08</v>
      </c>
      <c r="AI640">
        <v>16.5</v>
      </c>
      <c r="AJ640">
        <v>0</v>
      </c>
      <c r="AK640">
        <v>0</v>
      </c>
      <c r="AL640">
        <v>0</v>
      </c>
      <c r="AM640">
        <v>0.05</v>
      </c>
      <c r="AN640">
        <f t="shared" si="28"/>
        <v>4</v>
      </c>
      <c r="AO640" t="str">
        <f t="shared" si="29"/>
        <v>Wednesday</v>
      </c>
    </row>
    <row r="641" spans="1:41" x14ac:dyDescent="0.2">
      <c r="B641" s="1">
        <v>45889</v>
      </c>
      <c r="C641" s="1">
        <f t="shared" si="27"/>
        <v>45900</v>
      </c>
      <c r="D641">
        <v>461</v>
      </c>
      <c r="E641">
        <v>0</v>
      </c>
      <c r="F641">
        <v>0</v>
      </c>
      <c r="G641">
        <v>0</v>
      </c>
      <c r="H641">
        <v>0</v>
      </c>
      <c r="I641">
        <v>0</v>
      </c>
      <c r="J641">
        <v>0</v>
      </c>
      <c r="K641">
        <v>0</v>
      </c>
      <c r="AN641">
        <f t="shared" si="28"/>
        <v>4</v>
      </c>
      <c r="AO641" t="str">
        <f t="shared" si="29"/>
        <v>Wednesday</v>
      </c>
    </row>
    <row r="642" spans="1:41" x14ac:dyDescent="0.2">
      <c r="A642" t="s">
        <v>37</v>
      </c>
      <c r="B642" s="1">
        <v>45888</v>
      </c>
      <c r="C642" s="1">
        <f t="shared" si="27"/>
        <v>45900</v>
      </c>
      <c r="D642">
        <v>35</v>
      </c>
      <c r="E642">
        <v>70</v>
      </c>
      <c r="F642">
        <v>3</v>
      </c>
      <c r="G642">
        <v>2</v>
      </c>
      <c r="H642">
        <v>4</v>
      </c>
      <c r="I642">
        <v>0</v>
      </c>
      <c r="J642">
        <v>1</v>
      </c>
      <c r="K642">
        <v>35</v>
      </c>
      <c r="L642" t="s">
        <v>37</v>
      </c>
      <c r="M642" t="s">
        <v>38</v>
      </c>
      <c r="N642" s="1">
        <v>45888</v>
      </c>
      <c r="O642" s="2">
        <v>0.54331018518518515</v>
      </c>
      <c r="P642" s="2">
        <v>0.91673611111111108</v>
      </c>
      <c r="Q642">
        <v>8.9700000000000006</v>
      </c>
      <c r="R642">
        <v>8.02</v>
      </c>
      <c r="S642">
        <v>2.2000000000000002</v>
      </c>
      <c r="T642">
        <v>0.15</v>
      </c>
      <c r="U642">
        <v>0</v>
      </c>
      <c r="V642">
        <v>0.25</v>
      </c>
      <c r="W642">
        <v>5.34</v>
      </c>
      <c r="X642">
        <v>7.0000000000000007E-2</v>
      </c>
      <c r="Y642">
        <v>0</v>
      </c>
      <c r="Z642">
        <v>0</v>
      </c>
      <c r="AA642">
        <v>0</v>
      </c>
      <c r="AB642">
        <v>0.02</v>
      </c>
      <c r="AC642">
        <v>8.02</v>
      </c>
      <c r="AD642">
        <v>27.41</v>
      </c>
      <c r="AE642">
        <v>1.85</v>
      </c>
      <c r="AF642">
        <v>0</v>
      </c>
      <c r="AG642">
        <v>3.13</v>
      </c>
      <c r="AH642">
        <v>66.58</v>
      </c>
      <c r="AI642">
        <v>0.82</v>
      </c>
      <c r="AJ642">
        <v>0</v>
      </c>
      <c r="AK642">
        <v>0</v>
      </c>
      <c r="AL642">
        <v>0</v>
      </c>
      <c r="AM642">
        <v>0.21</v>
      </c>
      <c r="AN642">
        <f t="shared" si="28"/>
        <v>3</v>
      </c>
      <c r="AO642" t="str">
        <f t="shared" si="29"/>
        <v>Tuesday</v>
      </c>
    </row>
    <row r="643" spans="1:41" x14ac:dyDescent="0.2">
      <c r="A643" t="s">
        <v>39</v>
      </c>
      <c r="B643" s="1">
        <v>45888</v>
      </c>
      <c r="C643" s="1">
        <f t="shared" ref="C643:C706" si="30">EOMONTH(B643,0)</f>
        <v>45900</v>
      </c>
      <c r="D643">
        <v>33</v>
      </c>
      <c r="E643">
        <v>61</v>
      </c>
      <c r="F643">
        <v>3</v>
      </c>
      <c r="G643">
        <v>6</v>
      </c>
      <c r="H643">
        <v>14</v>
      </c>
      <c r="I643">
        <v>0</v>
      </c>
      <c r="J643">
        <v>0</v>
      </c>
      <c r="K643">
        <v>19</v>
      </c>
      <c r="L643" t="s">
        <v>39</v>
      </c>
      <c r="M643" t="s">
        <v>38</v>
      </c>
      <c r="N643" s="1">
        <v>45888</v>
      </c>
      <c r="O643" s="2">
        <v>0.54195601851851849</v>
      </c>
      <c r="P643" s="2">
        <v>0.91951388888888885</v>
      </c>
      <c r="Q643">
        <v>9.07</v>
      </c>
      <c r="R643">
        <v>9.06</v>
      </c>
      <c r="S643">
        <v>2.2000000000000002</v>
      </c>
      <c r="T643">
        <v>0.12</v>
      </c>
      <c r="U643">
        <v>0</v>
      </c>
      <c r="V643">
        <v>0.05</v>
      </c>
      <c r="W643">
        <v>5.19</v>
      </c>
      <c r="X643">
        <v>1.49</v>
      </c>
      <c r="Y643">
        <v>0</v>
      </c>
      <c r="Z643">
        <v>0</v>
      </c>
      <c r="AA643">
        <v>0</v>
      </c>
      <c r="AB643">
        <v>0.01</v>
      </c>
      <c r="AC643">
        <v>9.06</v>
      </c>
      <c r="AD643">
        <v>24.3</v>
      </c>
      <c r="AE643">
        <v>1.28</v>
      </c>
      <c r="AF643">
        <v>0</v>
      </c>
      <c r="AG643">
        <v>0.55000000000000004</v>
      </c>
      <c r="AH643">
        <v>57.31</v>
      </c>
      <c r="AI643">
        <v>16.48</v>
      </c>
      <c r="AJ643">
        <v>0</v>
      </c>
      <c r="AK643">
        <v>0</v>
      </c>
      <c r="AL643">
        <v>0</v>
      </c>
      <c r="AM643">
        <v>7.0000000000000007E-2</v>
      </c>
      <c r="AN643">
        <f t="shared" ref="AN643:AN706" si="31">WEEKDAY(B643,1)</f>
        <v>3</v>
      </c>
      <c r="AO643" t="str">
        <f t="shared" ref="AO643:AO706" si="32">VLOOKUP(AN643,$AY$2:$AZ$8,2,FALSE)</f>
        <v>Tuesday</v>
      </c>
    </row>
    <row r="644" spans="1:41" x14ac:dyDescent="0.2">
      <c r="A644" t="s">
        <v>40</v>
      </c>
      <c r="B644" s="1">
        <v>45888</v>
      </c>
      <c r="C644" s="1">
        <f t="shared" si="30"/>
        <v>45900</v>
      </c>
      <c r="D644">
        <v>20</v>
      </c>
      <c r="E644">
        <v>37</v>
      </c>
      <c r="F644">
        <v>4</v>
      </c>
      <c r="G644">
        <v>4</v>
      </c>
      <c r="H644">
        <v>6</v>
      </c>
      <c r="I644">
        <v>0</v>
      </c>
      <c r="J644">
        <v>0</v>
      </c>
      <c r="K644">
        <v>18</v>
      </c>
      <c r="L644" t="s">
        <v>40</v>
      </c>
      <c r="M644" t="s">
        <v>38</v>
      </c>
      <c r="N644" s="1">
        <v>45888</v>
      </c>
      <c r="O644" s="2">
        <v>0.54188657407407403</v>
      </c>
      <c r="P644" s="2">
        <v>0.94130787037037034</v>
      </c>
      <c r="Q644">
        <v>9.58</v>
      </c>
      <c r="R644">
        <v>9.59</v>
      </c>
      <c r="S644">
        <v>2.67</v>
      </c>
      <c r="T644">
        <v>0.19</v>
      </c>
      <c r="U644">
        <v>0</v>
      </c>
      <c r="V644">
        <v>0.38</v>
      </c>
      <c r="W644">
        <v>4.6399999999999997</v>
      </c>
      <c r="X644">
        <v>1.42</v>
      </c>
      <c r="Y644">
        <v>0.28999999999999998</v>
      </c>
      <c r="Z644">
        <v>0</v>
      </c>
      <c r="AA644">
        <v>0</v>
      </c>
      <c r="AB644">
        <v>0</v>
      </c>
      <c r="AC644">
        <v>9.59</v>
      </c>
      <c r="AD644">
        <v>27.83</v>
      </c>
      <c r="AE644">
        <v>1.94</v>
      </c>
      <c r="AF644">
        <v>0</v>
      </c>
      <c r="AG644">
        <v>3.94</v>
      </c>
      <c r="AH644">
        <v>48.4</v>
      </c>
      <c r="AI644">
        <v>14.82</v>
      </c>
      <c r="AJ644">
        <v>3.02</v>
      </c>
      <c r="AK644">
        <v>0</v>
      </c>
      <c r="AL644">
        <v>0</v>
      </c>
      <c r="AM644">
        <v>0.04</v>
      </c>
      <c r="AN644">
        <f t="shared" si="31"/>
        <v>3</v>
      </c>
      <c r="AO644" t="str">
        <f t="shared" si="32"/>
        <v>Tuesday</v>
      </c>
    </row>
    <row r="645" spans="1:41" x14ac:dyDescent="0.2">
      <c r="A645" t="s">
        <v>41</v>
      </c>
      <c r="B645" s="1">
        <v>45888</v>
      </c>
      <c r="C645" s="1">
        <f t="shared" si="30"/>
        <v>45900</v>
      </c>
      <c r="D645">
        <v>27</v>
      </c>
      <c r="E645">
        <v>54</v>
      </c>
      <c r="F645">
        <v>5</v>
      </c>
      <c r="G645">
        <v>8</v>
      </c>
      <c r="H645">
        <v>1</v>
      </c>
      <c r="I645">
        <v>0</v>
      </c>
      <c r="J645">
        <v>0</v>
      </c>
      <c r="K645">
        <v>22</v>
      </c>
      <c r="L645" t="s">
        <v>41</v>
      </c>
      <c r="M645" t="s">
        <v>38</v>
      </c>
      <c r="N645" s="1">
        <v>45888</v>
      </c>
      <c r="O645" s="2">
        <v>0.54178240740740746</v>
      </c>
      <c r="P645" s="2">
        <v>0.91628472222222224</v>
      </c>
      <c r="Q645">
        <v>8.98</v>
      </c>
      <c r="R645">
        <v>8.35</v>
      </c>
      <c r="S645">
        <v>1.27</v>
      </c>
      <c r="T645">
        <v>0.56000000000000005</v>
      </c>
      <c r="U645">
        <v>0</v>
      </c>
      <c r="V645">
        <v>0.15</v>
      </c>
      <c r="W645">
        <v>5.54</v>
      </c>
      <c r="X645">
        <v>0.82</v>
      </c>
      <c r="Y645">
        <v>0</v>
      </c>
      <c r="Z645">
        <v>0</v>
      </c>
      <c r="AA645">
        <v>0</v>
      </c>
      <c r="AB645">
        <v>0.01</v>
      </c>
      <c r="AC645">
        <v>8.35</v>
      </c>
      <c r="AD645">
        <v>15.22</v>
      </c>
      <c r="AE645">
        <v>6.75</v>
      </c>
      <c r="AF645">
        <v>0</v>
      </c>
      <c r="AG645">
        <v>1.8</v>
      </c>
      <c r="AH645">
        <v>66.28</v>
      </c>
      <c r="AI645">
        <v>9.85</v>
      </c>
      <c r="AJ645">
        <v>0</v>
      </c>
      <c r="AK645">
        <v>0</v>
      </c>
      <c r="AL645">
        <v>0</v>
      </c>
      <c r="AM645">
        <v>0.11</v>
      </c>
      <c r="AN645">
        <f t="shared" si="31"/>
        <v>3</v>
      </c>
      <c r="AO645" t="str">
        <f t="shared" si="32"/>
        <v>Tuesday</v>
      </c>
    </row>
    <row r="646" spans="1:41" x14ac:dyDescent="0.2">
      <c r="A646" t="s">
        <v>42</v>
      </c>
      <c r="B646" s="1">
        <v>45888</v>
      </c>
      <c r="C646" s="1">
        <f t="shared" si="30"/>
        <v>45900</v>
      </c>
      <c r="D646">
        <v>1</v>
      </c>
      <c r="E646">
        <v>1</v>
      </c>
      <c r="F646">
        <v>0</v>
      </c>
      <c r="G646">
        <v>0</v>
      </c>
      <c r="H646">
        <v>0</v>
      </c>
      <c r="I646">
        <v>0</v>
      </c>
      <c r="J646">
        <v>0</v>
      </c>
      <c r="K646">
        <v>0</v>
      </c>
      <c r="L646" t="s">
        <v>42</v>
      </c>
      <c r="M646" t="s">
        <v>38</v>
      </c>
      <c r="N646" s="1">
        <v>45888</v>
      </c>
      <c r="O646" s="2">
        <v>0.64729166666666671</v>
      </c>
      <c r="R646">
        <v>8.4600000000000009</v>
      </c>
      <c r="S646">
        <v>8.4600000000000009</v>
      </c>
      <c r="T646">
        <v>0</v>
      </c>
      <c r="U646">
        <v>0</v>
      </c>
      <c r="V646">
        <v>0</v>
      </c>
      <c r="W646">
        <v>0</v>
      </c>
      <c r="X646">
        <v>0</v>
      </c>
      <c r="Y646">
        <v>0</v>
      </c>
      <c r="Z646">
        <v>0</v>
      </c>
      <c r="AA646">
        <v>0</v>
      </c>
      <c r="AB646">
        <v>0</v>
      </c>
      <c r="AC646">
        <v>8.4600000000000009</v>
      </c>
      <c r="AD646">
        <v>99.93</v>
      </c>
      <c r="AE646">
        <v>0</v>
      </c>
      <c r="AF646">
        <v>0</v>
      </c>
      <c r="AG646">
        <v>0.02</v>
      </c>
      <c r="AH646">
        <v>0</v>
      </c>
      <c r="AI646">
        <v>0</v>
      </c>
      <c r="AJ646">
        <v>0</v>
      </c>
      <c r="AK646">
        <v>0</v>
      </c>
      <c r="AL646">
        <v>0</v>
      </c>
      <c r="AM646">
        <v>0.05</v>
      </c>
      <c r="AN646">
        <f t="shared" si="31"/>
        <v>3</v>
      </c>
      <c r="AO646" t="str">
        <f t="shared" si="32"/>
        <v>Tuesday</v>
      </c>
    </row>
    <row r="647" spans="1:41" x14ac:dyDescent="0.2">
      <c r="A647" t="s">
        <v>43</v>
      </c>
      <c r="B647" s="1">
        <v>45888</v>
      </c>
      <c r="C647" s="1">
        <f t="shared" si="30"/>
        <v>45900</v>
      </c>
      <c r="D647">
        <v>23</v>
      </c>
      <c r="E647">
        <v>60</v>
      </c>
      <c r="F647">
        <v>3</v>
      </c>
      <c r="G647">
        <v>7</v>
      </c>
      <c r="H647">
        <v>7</v>
      </c>
      <c r="I647">
        <v>0</v>
      </c>
      <c r="J647">
        <v>0</v>
      </c>
      <c r="K647">
        <v>17</v>
      </c>
      <c r="L647" t="s">
        <v>43</v>
      </c>
      <c r="M647" t="s">
        <v>38</v>
      </c>
      <c r="N647" s="1">
        <v>45888</v>
      </c>
      <c r="O647" s="2">
        <v>0.54256944444444444</v>
      </c>
      <c r="P647" s="2">
        <v>0.91706018518518517</v>
      </c>
      <c r="Q647">
        <v>8.98</v>
      </c>
      <c r="R647">
        <v>8.99</v>
      </c>
      <c r="S647">
        <v>1.78</v>
      </c>
      <c r="T647">
        <v>0.2</v>
      </c>
      <c r="U647">
        <v>0</v>
      </c>
      <c r="V647">
        <v>0.43</v>
      </c>
      <c r="W647">
        <v>5.08</v>
      </c>
      <c r="X647">
        <v>1.48</v>
      </c>
      <c r="Y647">
        <v>0</v>
      </c>
      <c r="Z647">
        <v>0</v>
      </c>
      <c r="AA647">
        <v>0</v>
      </c>
      <c r="AB647">
        <v>0</v>
      </c>
      <c r="AC647">
        <v>8.99</v>
      </c>
      <c r="AD647">
        <v>19.809999999999999</v>
      </c>
      <c r="AE647">
        <v>2.2799999999999998</v>
      </c>
      <c r="AF647">
        <v>0</v>
      </c>
      <c r="AG647">
        <v>4.84</v>
      </c>
      <c r="AH647">
        <v>56.54</v>
      </c>
      <c r="AI647">
        <v>16.489999999999998</v>
      </c>
      <c r="AJ647">
        <v>0</v>
      </c>
      <c r="AK647">
        <v>0</v>
      </c>
      <c r="AL647">
        <v>0</v>
      </c>
      <c r="AM647">
        <v>0.05</v>
      </c>
      <c r="AN647">
        <f t="shared" si="31"/>
        <v>3</v>
      </c>
      <c r="AO647" t="str">
        <f t="shared" si="32"/>
        <v>Tuesday</v>
      </c>
    </row>
    <row r="648" spans="1:41" x14ac:dyDescent="0.2">
      <c r="B648" s="1">
        <v>45888</v>
      </c>
      <c r="C648" s="1">
        <f t="shared" si="30"/>
        <v>45900</v>
      </c>
      <c r="D648">
        <v>465</v>
      </c>
      <c r="E648">
        <v>0</v>
      </c>
      <c r="F648">
        <v>0</v>
      </c>
      <c r="G648">
        <v>0</v>
      </c>
      <c r="H648">
        <v>0</v>
      </c>
      <c r="I648">
        <v>0</v>
      </c>
      <c r="J648">
        <v>0</v>
      </c>
      <c r="K648">
        <v>0</v>
      </c>
      <c r="AN648">
        <f t="shared" si="31"/>
        <v>3</v>
      </c>
      <c r="AO648" t="str">
        <f t="shared" si="32"/>
        <v>Tuesday</v>
      </c>
    </row>
    <row r="649" spans="1:41" x14ac:dyDescent="0.2">
      <c r="A649" t="s">
        <v>37</v>
      </c>
      <c r="B649" s="1">
        <v>45887</v>
      </c>
      <c r="C649" s="1">
        <f t="shared" si="30"/>
        <v>45900</v>
      </c>
      <c r="D649">
        <v>15</v>
      </c>
      <c r="E649">
        <v>34</v>
      </c>
      <c r="F649">
        <v>1</v>
      </c>
      <c r="G649">
        <v>1</v>
      </c>
      <c r="H649">
        <v>3</v>
      </c>
      <c r="I649">
        <v>0</v>
      </c>
      <c r="J649">
        <v>0</v>
      </c>
      <c r="K649">
        <v>18</v>
      </c>
      <c r="L649" t="s">
        <v>37</v>
      </c>
      <c r="M649" t="s">
        <v>38</v>
      </c>
      <c r="N649" s="1">
        <v>45887</v>
      </c>
      <c r="O649" s="2">
        <v>0.54184027777777777</v>
      </c>
      <c r="P649" s="2">
        <v>0.91689814814814818</v>
      </c>
      <c r="Q649">
        <v>9</v>
      </c>
      <c r="R649">
        <v>8.09</v>
      </c>
      <c r="S649">
        <v>1.97</v>
      </c>
      <c r="T649">
        <v>0.22</v>
      </c>
      <c r="U649">
        <v>0</v>
      </c>
      <c r="V649">
        <v>0.16</v>
      </c>
      <c r="W649">
        <v>4</v>
      </c>
      <c r="X649">
        <v>0.59</v>
      </c>
      <c r="Y649">
        <v>1.1499999999999999</v>
      </c>
      <c r="Z649">
        <v>0</v>
      </c>
      <c r="AA649">
        <v>0</v>
      </c>
      <c r="AB649">
        <v>0.01</v>
      </c>
      <c r="AC649">
        <v>8.09</v>
      </c>
      <c r="AD649">
        <v>24.3</v>
      </c>
      <c r="AE649">
        <v>2.74</v>
      </c>
      <c r="AF649">
        <v>0</v>
      </c>
      <c r="AG649">
        <v>1.96</v>
      </c>
      <c r="AH649">
        <v>49.39</v>
      </c>
      <c r="AI649">
        <v>7.29</v>
      </c>
      <c r="AJ649">
        <v>14.17</v>
      </c>
      <c r="AK649">
        <v>0</v>
      </c>
      <c r="AL649">
        <v>0</v>
      </c>
      <c r="AM649">
        <v>0.16</v>
      </c>
      <c r="AN649">
        <f t="shared" si="31"/>
        <v>2</v>
      </c>
      <c r="AO649" t="str">
        <f t="shared" si="32"/>
        <v>Monday</v>
      </c>
    </row>
    <row r="650" spans="1:41" x14ac:dyDescent="0.2">
      <c r="A650" t="s">
        <v>39</v>
      </c>
      <c r="B650" s="1">
        <v>45887</v>
      </c>
      <c r="C650" s="1">
        <f t="shared" si="30"/>
        <v>45900</v>
      </c>
      <c r="D650">
        <v>21</v>
      </c>
      <c r="E650">
        <v>39</v>
      </c>
      <c r="F650">
        <v>2</v>
      </c>
      <c r="G650">
        <v>1</v>
      </c>
      <c r="H650">
        <v>5</v>
      </c>
      <c r="I650">
        <v>0</v>
      </c>
      <c r="J650">
        <v>0</v>
      </c>
      <c r="K650">
        <v>13</v>
      </c>
      <c r="L650" t="s">
        <v>39</v>
      </c>
      <c r="M650" t="s">
        <v>38</v>
      </c>
      <c r="N650" s="1">
        <v>45887</v>
      </c>
      <c r="O650" s="2">
        <v>0.54181712962962958</v>
      </c>
      <c r="P650" s="2">
        <v>0.91670138888888886</v>
      </c>
      <c r="Q650">
        <v>9</v>
      </c>
      <c r="R650">
        <v>9</v>
      </c>
      <c r="S650">
        <v>0.95</v>
      </c>
      <c r="T650">
        <v>0.12</v>
      </c>
      <c r="U650">
        <v>0</v>
      </c>
      <c r="V650">
        <v>0.06</v>
      </c>
      <c r="W650">
        <v>6.39</v>
      </c>
      <c r="X650">
        <v>1.47</v>
      </c>
      <c r="Y650">
        <v>0</v>
      </c>
      <c r="Z650">
        <v>0</v>
      </c>
      <c r="AA650">
        <v>0</v>
      </c>
      <c r="AB650">
        <v>0</v>
      </c>
      <c r="AC650">
        <v>9</v>
      </c>
      <c r="AD650">
        <v>10.58</v>
      </c>
      <c r="AE650">
        <v>1.34</v>
      </c>
      <c r="AF650">
        <v>0</v>
      </c>
      <c r="AG650">
        <v>0.68</v>
      </c>
      <c r="AH650">
        <v>70.989999999999995</v>
      </c>
      <c r="AI650">
        <v>16.36</v>
      </c>
      <c r="AJ650">
        <v>0</v>
      </c>
      <c r="AK650">
        <v>0</v>
      </c>
      <c r="AL650">
        <v>0</v>
      </c>
      <c r="AM650">
        <v>0.05</v>
      </c>
      <c r="AN650">
        <f t="shared" si="31"/>
        <v>2</v>
      </c>
      <c r="AO650" t="str">
        <f t="shared" si="32"/>
        <v>Monday</v>
      </c>
    </row>
    <row r="651" spans="1:41" x14ac:dyDescent="0.2">
      <c r="A651" t="s">
        <v>40</v>
      </c>
      <c r="B651" s="1">
        <v>45887</v>
      </c>
      <c r="C651" s="1">
        <f t="shared" si="30"/>
        <v>45900</v>
      </c>
      <c r="D651">
        <v>20</v>
      </c>
      <c r="E651">
        <v>37</v>
      </c>
      <c r="F651">
        <v>7</v>
      </c>
      <c r="G651">
        <v>0</v>
      </c>
      <c r="H651">
        <v>5</v>
      </c>
      <c r="I651">
        <v>0</v>
      </c>
      <c r="J651">
        <v>0</v>
      </c>
      <c r="K651">
        <v>13</v>
      </c>
      <c r="L651" t="s">
        <v>40</v>
      </c>
      <c r="M651" t="s">
        <v>38</v>
      </c>
      <c r="N651" s="1">
        <v>45887</v>
      </c>
      <c r="O651" s="2">
        <v>0.54246527777777775</v>
      </c>
      <c r="P651" s="2">
        <v>0.92726851851851855</v>
      </c>
      <c r="Q651">
        <v>9.23</v>
      </c>
      <c r="R651">
        <v>9.24</v>
      </c>
      <c r="S651">
        <v>1.42</v>
      </c>
      <c r="T651">
        <v>0.43</v>
      </c>
      <c r="U651">
        <v>0</v>
      </c>
      <c r="V651">
        <v>0.21</v>
      </c>
      <c r="W651">
        <v>5.04</v>
      </c>
      <c r="X651">
        <v>1.27</v>
      </c>
      <c r="Y651">
        <v>0.87</v>
      </c>
      <c r="Z651">
        <v>0</v>
      </c>
      <c r="AA651">
        <v>0</v>
      </c>
      <c r="AB651">
        <v>0</v>
      </c>
      <c r="AC651">
        <v>9.24</v>
      </c>
      <c r="AD651">
        <v>15.34</v>
      </c>
      <c r="AE651">
        <v>4.6500000000000004</v>
      </c>
      <c r="AF651">
        <v>0</v>
      </c>
      <c r="AG651">
        <v>2.23</v>
      </c>
      <c r="AH651">
        <v>54.57</v>
      </c>
      <c r="AI651">
        <v>13.73</v>
      </c>
      <c r="AJ651">
        <v>9.42</v>
      </c>
      <c r="AK651">
        <v>0</v>
      </c>
      <c r="AL651">
        <v>0</v>
      </c>
      <c r="AM651">
        <v>0.05</v>
      </c>
      <c r="AN651">
        <f t="shared" si="31"/>
        <v>2</v>
      </c>
      <c r="AO651" t="str">
        <f t="shared" si="32"/>
        <v>Monday</v>
      </c>
    </row>
    <row r="652" spans="1:41" x14ac:dyDescent="0.2">
      <c r="A652" t="s">
        <v>41</v>
      </c>
      <c r="B652" s="1">
        <v>45887</v>
      </c>
      <c r="C652" s="1">
        <f t="shared" si="30"/>
        <v>45900</v>
      </c>
      <c r="D652">
        <v>15</v>
      </c>
      <c r="E652">
        <v>48</v>
      </c>
      <c r="F652">
        <v>3</v>
      </c>
      <c r="G652">
        <v>10</v>
      </c>
      <c r="H652">
        <v>15</v>
      </c>
      <c r="I652">
        <v>0</v>
      </c>
      <c r="J652">
        <v>0</v>
      </c>
      <c r="K652">
        <v>16</v>
      </c>
      <c r="L652" t="s">
        <v>41</v>
      </c>
      <c r="M652" t="s">
        <v>38</v>
      </c>
      <c r="N652" s="1">
        <v>45887</v>
      </c>
      <c r="O652" s="2">
        <v>0.54178240740740746</v>
      </c>
      <c r="P652" s="2">
        <v>0.91660879629629632</v>
      </c>
      <c r="Q652">
        <v>8.98</v>
      </c>
      <c r="R652">
        <v>9</v>
      </c>
      <c r="S652">
        <v>0.93</v>
      </c>
      <c r="T652">
        <v>0.31</v>
      </c>
      <c r="U652">
        <v>0</v>
      </c>
      <c r="V652">
        <v>0.18</v>
      </c>
      <c r="W652">
        <v>5.55</v>
      </c>
      <c r="X652">
        <v>1.48</v>
      </c>
      <c r="Y652">
        <v>0.56000000000000005</v>
      </c>
      <c r="Z652">
        <v>0</v>
      </c>
      <c r="AA652">
        <v>0</v>
      </c>
      <c r="AB652">
        <v>0</v>
      </c>
      <c r="AC652">
        <v>9</v>
      </c>
      <c r="AD652">
        <v>10.29</v>
      </c>
      <c r="AE652">
        <v>3.41</v>
      </c>
      <c r="AF652">
        <v>0</v>
      </c>
      <c r="AG652">
        <v>2</v>
      </c>
      <c r="AH652">
        <v>61.66</v>
      </c>
      <c r="AI652">
        <v>16.41</v>
      </c>
      <c r="AJ652">
        <v>6.18</v>
      </c>
      <c r="AK652">
        <v>0</v>
      </c>
      <c r="AL652">
        <v>0</v>
      </c>
      <c r="AM652">
        <v>0.04</v>
      </c>
      <c r="AN652">
        <f t="shared" si="31"/>
        <v>2</v>
      </c>
      <c r="AO652" t="str">
        <f t="shared" si="32"/>
        <v>Monday</v>
      </c>
    </row>
    <row r="653" spans="1:41" x14ac:dyDescent="0.2">
      <c r="A653" t="s">
        <v>42</v>
      </c>
      <c r="B653" s="1">
        <v>45887</v>
      </c>
      <c r="C653" s="1">
        <f t="shared" si="30"/>
        <v>45900</v>
      </c>
      <c r="D653">
        <v>1</v>
      </c>
      <c r="E653">
        <v>2</v>
      </c>
      <c r="F653">
        <v>0</v>
      </c>
      <c r="G653">
        <v>0</v>
      </c>
      <c r="H653">
        <v>0</v>
      </c>
      <c r="I653">
        <v>0</v>
      </c>
      <c r="J653">
        <v>0</v>
      </c>
      <c r="K653">
        <v>0</v>
      </c>
      <c r="L653" t="s">
        <v>42</v>
      </c>
      <c r="M653" t="s">
        <v>38</v>
      </c>
      <c r="N653" s="1">
        <v>45887</v>
      </c>
      <c r="O653" s="2">
        <v>0.71672453703703709</v>
      </c>
      <c r="P653" s="2">
        <v>0.892974537037037</v>
      </c>
      <c r="Q653">
        <v>4.22</v>
      </c>
      <c r="R653">
        <v>0.06</v>
      </c>
      <c r="S653">
        <v>0.04</v>
      </c>
      <c r="T653">
        <v>0</v>
      </c>
      <c r="U653">
        <v>0</v>
      </c>
      <c r="V653">
        <v>0.01</v>
      </c>
      <c r="W653">
        <v>0</v>
      </c>
      <c r="X653">
        <v>0</v>
      </c>
      <c r="Y653">
        <v>0</v>
      </c>
      <c r="Z653">
        <v>0</v>
      </c>
      <c r="AA653">
        <v>0</v>
      </c>
      <c r="AB653">
        <v>0.01</v>
      </c>
      <c r="AC653">
        <v>0.06</v>
      </c>
      <c r="AD653">
        <v>67.63</v>
      </c>
      <c r="AE653">
        <v>0</v>
      </c>
      <c r="AF653">
        <v>0</v>
      </c>
      <c r="AG653">
        <v>19.809999999999999</v>
      </c>
      <c r="AH653">
        <v>0</v>
      </c>
      <c r="AI653">
        <v>0</v>
      </c>
      <c r="AJ653">
        <v>0</v>
      </c>
      <c r="AK653">
        <v>0</v>
      </c>
      <c r="AL653">
        <v>0</v>
      </c>
      <c r="AM653">
        <v>12.56</v>
      </c>
      <c r="AN653">
        <f t="shared" si="31"/>
        <v>2</v>
      </c>
      <c r="AO653" t="str">
        <f t="shared" si="32"/>
        <v>Monday</v>
      </c>
    </row>
    <row r="654" spans="1:41" x14ac:dyDescent="0.2">
      <c r="A654" t="s">
        <v>43</v>
      </c>
      <c r="B654" s="1">
        <v>45887</v>
      </c>
      <c r="C654" s="1">
        <f t="shared" si="30"/>
        <v>45900</v>
      </c>
      <c r="D654">
        <v>17</v>
      </c>
      <c r="E654">
        <v>37</v>
      </c>
      <c r="F654">
        <v>2</v>
      </c>
      <c r="G654">
        <v>0</v>
      </c>
      <c r="H654">
        <v>5</v>
      </c>
      <c r="I654">
        <v>0</v>
      </c>
      <c r="J654">
        <v>0</v>
      </c>
      <c r="K654">
        <v>19</v>
      </c>
      <c r="L654" t="s">
        <v>43</v>
      </c>
      <c r="M654" t="s">
        <v>38</v>
      </c>
      <c r="N654" s="1">
        <v>45887</v>
      </c>
      <c r="O654" s="2">
        <v>0.55152777777777773</v>
      </c>
      <c r="P654" s="2">
        <v>0.92729166666666663</v>
      </c>
      <c r="Q654">
        <v>9.02</v>
      </c>
      <c r="R654">
        <v>9.02</v>
      </c>
      <c r="S654">
        <v>1.08</v>
      </c>
      <c r="T654">
        <v>0.22</v>
      </c>
      <c r="U654">
        <v>0</v>
      </c>
      <c r="V654">
        <v>0.3</v>
      </c>
      <c r="W654">
        <v>5.36</v>
      </c>
      <c r="X654">
        <v>1.48</v>
      </c>
      <c r="Y654">
        <v>0.57999999999999996</v>
      </c>
      <c r="Z654">
        <v>0</v>
      </c>
      <c r="AA654">
        <v>0</v>
      </c>
      <c r="AB654">
        <v>0</v>
      </c>
      <c r="AC654">
        <v>9.02</v>
      </c>
      <c r="AD654">
        <v>11.94</v>
      </c>
      <c r="AE654">
        <v>2.4</v>
      </c>
      <c r="AF654">
        <v>0</v>
      </c>
      <c r="AG654">
        <v>3.29</v>
      </c>
      <c r="AH654">
        <v>59.46</v>
      </c>
      <c r="AI654">
        <v>16.43</v>
      </c>
      <c r="AJ654">
        <v>6.44</v>
      </c>
      <c r="AK654">
        <v>0</v>
      </c>
      <c r="AL654">
        <v>0</v>
      </c>
      <c r="AM654">
        <v>0.04</v>
      </c>
      <c r="AN654">
        <f t="shared" si="31"/>
        <v>2</v>
      </c>
      <c r="AO654" t="str">
        <f t="shared" si="32"/>
        <v>Monday</v>
      </c>
    </row>
    <row r="655" spans="1:41" x14ac:dyDescent="0.2">
      <c r="B655" s="1">
        <v>45887</v>
      </c>
      <c r="C655" s="1">
        <f t="shared" si="30"/>
        <v>45900</v>
      </c>
      <c r="D655">
        <v>422</v>
      </c>
      <c r="E655">
        <v>0</v>
      </c>
      <c r="F655">
        <v>0</v>
      </c>
      <c r="G655">
        <v>0</v>
      </c>
      <c r="H655">
        <v>0</v>
      </c>
      <c r="I655">
        <v>0</v>
      </c>
      <c r="J655">
        <v>0</v>
      </c>
      <c r="K655">
        <v>0</v>
      </c>
      <c r="AN655">
        <f t="shared" si="31"/>
        <v>2</v>
      </c>
      <c r="AO655" t="str">
        <f t="shared" si="32"/>
        <v>Monday</v>
      </c>
    </row>
    <row r="656" spans="1:41" x14ac:dyDescent="0.2">
      <c r="A656" t="s">
        <v>37</v>
      </c>
      <c r="B656" s="1">
        <v>45884</v>
      </c>
      <c r="C656" s="1">
        <f t="shared" si="30"/>
        <v>45900</v>
      </c>
      <c r="D656">
        <v>22</v>
      </c>
      <c r="E656">
        <v>42</v>
      </c>
      <c r="F656">
        <v>3</v>
      </c>
      <c r="G656">
        <v>3</v>
      </c>
      <c r="H656">
        <v>5</v>
      </c>
      <c r="I656">
        <v>0</v>
      </c>
      <c r="J656">
        <v>0</v>
      </c>
      <c r="K656">
        <v>15</v>
      </c>
      <c r="L656" t="s">
        <v>37</v>
      </c>
      <c r="M656" t="s">
        <v>38</v>
      </c>
      <c r="N656" s="1">
        <v>45884</v>
      </c>
      <c r="O656" s="2">
        <v>0.54305555555555551</v>
      </c>
      <c r="P656" s="2">
        <v>0.91744212962962968</v>
      </c>
      <c r="Q656">
        <v>8.98</v>
      </c>
      <c r="R656">
        <v>8.07</v>
      </c>
      <c r="S656">
        <v>2.34</v>
      </c>
      <c r="T656">
        <v>0.38</v>
      </c>
      <c r="U656">
        <v>0</v>
      </c>
      <c r="V656">
        <v>0.23</v>
      </c>
      <c r="W656">
        <v>4.7</v>
      </c>
      <c r="X656">
        <v>0.31</v>
      </c>
      <c r="Y656">
        <v>0</v>
      </c>
      <c r="Z656">
        <v>0</v>
      </c>
      <c r="AA656">
        <v>0</v>
      </c>
      <c r="AB656">
        <v>0.1</v>
      </c>
      <c r="AC656">
        <v>8.07</v>
      </c>
      <c r="AD656">
        <v>29.01</v>
      </c>
      <c r="AE656">
        <v>4.74</v>
      </c>
      <c r="AF656">
        <v>0</v>
      </c>
      <c r="AG656">
        <v>2.86</v>
      </c>
      <c r="AH656">
        <v>58.28</v>
      </c>
      <c r="AI656">
        <v>3.89</v>
      </c>
      <c r="AJ656">
        <v>0</v>
      </c>
      <c r="AK656">
        <v>0</v>
      </c>
      <c r="AL656">
        <v>0</v>
      </c>
      <c r="AM656">
        <v>1.22</v>
      </c>
      <c r="AN656">
        <f t="shared" si="31"/>
        <v>6</v>
      </c>
      <c r="AO656" t="str">
        <f t="shared" si="32"/>
        <v>Friday</v>
      </c>
    </row>
    <row r="657" spans="1:41" x14ac:dyDescent="0.2">
      <c r="A657" t="s">
        <v>39</v>
      </c>
      <c r="B657" s="1">
        <v>45884</v>
      </c>
      <c r="C657" s="1">
        <f t="shared" si="30"/>
        <v>45900</v>
      </c>
      <c r="D657">
        <v>25</v>
      </c>
      <c r="E657">
        <v>62</v>
      </c>
      <c r="F657">
        <v>14</v>
      </c>
      <c r="G657">
        <v>10</v>
      </c>
      <c r="H657">
        <v>7</v>
      </c>
      <c r="I657">
        <v>3</v>
      </c>
      <c r="J657">
        <v>0</v>
      </c>
      <c r="K657">
        <v>16</v>
      </c>
      <c r="L657" t="s">
        <v>39</v>
      </c>
      <c r="M657" t="s">
        <v>38</v>
      </c>
      <c r="N657" s="1">
        <v>45884</v>
      </c>
      <c r="O657" s="2">
        <v>0.54148148148148145</v>
      </c>
      <c r="P657" s="2">
        <v>0.91699074074074072</v>
      </c>
      <c r="Q657">
        <v>9.02</v>
      </c>
      <c r="R657">
        <v>9.01</v>
      </c>
      <c r="S657">
        <v>1.69</v>
      </c>
      <c r="T657">
        <v>0.11</v>
      </c>
      <c r="U657">
        <v>0</v>
      </c>
      <c r="V657">
        <v>0.03</v>
      </c>
      <c r="W657">
        <v>5.72</v>
      </c>
      <c r="X657">
        <v>1.47</v>
      </c>
      <c r="Y657">
        <v>0</v>
      </c>
      <c r="Z657">
        <v>0</v>
      </c>
      <c r="AA657">
        <v>0</v>
      </c>
      <c r="AB657">
        <v>0</v>
      </c>
      <c r="AC657">
        <v>9.01</v>
      </c>
      <c r="AD657">
        <v>18.72</v>
      </c>
      <c r="AE657">
        <v>1.17</v>
      </c>
      <c r="AF657">
        <v>0</v>
      </c>
      <c r="AG657">
        <v>0.31</v>
      </c>
      <c r="AH657">
        <v>63.48</v>
      </c>
      <c r="AI657">
        <v>16.27</v>
      </c>
      <c r="AJ657">
        <v>0</v>
      </c>
      <c r="AK657">
        <v>0</v>
      </c>
      <c r="AL657">
        <v>0</v>
      </c>
      <c r="AM657">
        <v>0.05</v>
      </c>
      <c r="AN657">
        <f t="shared" si="31"/>
        <v>6</v>
      </c>
      <c r="AO657" t="str">
        <f t="shared" si="32"/>
        <v>Friday</v>
      </c>
    </row>
    <row r="658" spans="1:41" x14ac:dyDescent="0.2">
      <c r="A658" t="s">
        <v>40</v>
      </c>
      <c r="B658" s="1">
        <v>45884</v>
      </c>
      <c r="C658" s="1">
        <f t="shared" si="30"/>
        <v>45900</v>
      </c>
      <c r="D658">
        <v>17</v>
      </c>
      <c r="E658">
        <v>37</v>
      </c>
      <c r="F658">
        <v>2</v>
      </c>
      <c r="G658">
        <v>1</v>
      </c>
      <c r="H658">
        <v>11</v>
      </c>
      <c r="I658">
        <v>0</v>
      </c>
      <c r="J658">
        <v>0</v>
      </c>
      <c r="K658">
        <v>13</v>
      </c>
      <c r="L658" t="s">
        <v>40</v>
      </c>
      <c r="M658" t="s">
        <v>38</v>
      </c>
      <c r="N658" s="1">
        <v>45884</v>
      </c>
      <c r="O658" s="2">
        <v>0.54219907407407408</v>
      </c>
      <c r="P658" s="2">
        <v>0.91684027777777777</v>
      </c>
      <c r="Q658">
        <v>9</v>
      </c>
      <c r="R658">
        <v>8.99</v>
      </c>
      <c r="S658">
        <v>0.64</v>
      </c>
      <c r="T658">
        <v>0</v>
      </c>
      <c r="U658">
        <v>0</v>
      </c>
      <c r="V658">
        <v>0.09</v>
      </c>
      <c r="W658">
        <v>5.83</v>
      </c>
      <c r="X658">
        <v>1.53</v>
      </c>
      <c r="Y658">
        <v>0.89</v>
      </c>
      <c r="Z658">
        <v>0</v>
      </c>
      <c r="AA658">
        <v>0</v>
      </c>
      <c r="AB658">
        <v>0</v>
      </c>
      <c r="AC658">
        <v>8.99</v>
      </c>
      <c r="AD658">
        <v>7.12</v>
      </c>
      <c r="AE658">
        <v>0</v>
      </c>
      <c r="AF658">
        <v>0</v>
      </c>
      <c r="AG658">
        <v>1.06</v>
      </c>
      <c r="AH658">
        <v>64.89</v>
      </c>
      <c r="AI658">
        <v>17</v>
      </c>
      <c r="AJ658">
        <v>9.89</v>
      </c>
      <c r="AK658">
        <v>0</v>
      </c>
      <c r="AL658">
        <v>0</v>
      </c>
      <c r="AM658">
        <v>0.04</v>
      </c>
      <c r="AN658">
        <f t="shared" si="31"/>
        <v>6</v>
      </c>
      <c r="AO658" t="str">
        <f t="shared" si="32"/>
        <v>Friday</v>
      </c>
    </row>
    <row r="659" spans="1:41" x14ac:dyDescent="0.2">
      <c r="A659" t="s">
        <v>41</v>
      </c>
      <c r="B659" s="1">
        <v>45884</v>
      </c>
      <c r="C659" s="1">
        <f t="shared" si="30"/>
        <v>45900</v>
      </c>
      <c r="D659">
        <v>15</v>
      </c>
      <c r="E659">
        <v>32</v>
      </c>
      <c r="F659">
        <v>2</v>
      </c>
      <c r="G659">
        <v>6</v>
      </c>
      <c r="H659">
        <v>3</v>
      </c>
      <c r="I659">
        <v>0</v>
      </c>
      <c r="J659">
        <v>0</v>
      </c>
      <c r="K659">
        <v>16</v>
      </c>
      <c r="L659" t="s">
        <v>41</v>
      </c>
      <c r="M659" t="s">
        <v>38</v>
      </c>
      <c r="N659" s="1">
        <v>45884</v>
      </c>
      <c r="O659" s="2">
        <v>0.54186342592592596</v>
      </c>
      <c r="P659" s="2">
        <v>0.91608796296296291</v>
      </c>
      <c r="Q659">
        <v>8.98</v>
      </c>
      <c r="R659">
        <v>8.98</v>
      </c>
      <c r="S659">
        <v>0.56000000000000005</v>
      </c>
      <c r="T659">
        <v>0.51</v>
      </c>
      <c r="U659">
        <v>0</v>
      </c>
      <c r="V659">
        <v>0.19</v>
      </c>
      <c r="W659">
        <v>6.28</v>
      </c>
      <c r="X659">
        <v>1.43</v>
      </c>
      <c r="Y659">
        <v>0</v>
      </c>
      <c r="Z659">
        <v>0</v>
      </c>
      <c r="AA659">
        <v>0</v>
      </c>
      <c r="AB659">
        <v>0</v>
      </c>
      <c r="AC659">
        <v>8.98</v>
      </c>
      <c r="AD659">
        <v>6.28</v>
      </c>
      <c r="AE659">
        <v>5.7</v>
      </c>
      <c r="AF659">
        <v>0</v>
      </c>
      <c r="AG659">
        <v>2.09</v>
      </c>
      <c r="AH659">
        <v>69.959999999999994</v>
      </c>
      <c r="AI659">
        <v>15.92</v>
      </c>
      <c r="AJ659">
        <v>0</v>
      </c>
      <c r="AK659">
        <v>0</v>
      </c>
      <c r="AL659">
        <v>0</v>
      </c>
      <c r="AM659">
        <v>0.05</v>
      </c>
      <c r="AN659">
        <f t="shared" si="31"/>
        <v>6</v>
      </c>
      <c r="AO659" t="str">
        <f t="shared" si="32"/>
        <v>Friday</v>
      </c>
    </row>
    <row r="660" spans="1:41" x14ac:dyDescent="0.2">
      <c r="A660" t="s">
        <v>43</v>
      </c>
      <c r="B660" s="1">
        <v>45884</v>
      </c>
      <c r="C660" s="1">
        <f t="shared" si="30"/>
        <v>45900</v>
      </c>
      <c r="D660">
        <v>16</v>
      </c>
      <c r="E660">
        <v>48</v>
      </c>
      <c r="F660">
        <v>9</v>
      </c>
      <c r="G660">
        <v>2</v>
      </c>
      <c r="H660">
        <v>0</v>
      </c>
      <c r="I660">
        <v>0</v>
      </c>
      <c r="J660">
        <v>0</v>
      </c>
      <c r="K660">
        <v>19</v>
      </c>
      <c r="L660" t="s">
        <v>43</v>
      </c>
      <c r="M660" t="s">
        <v>38</v>
      </c>
      <c r="N660" s="1">
        <v>45884</v>
      </c>
      <c r="O660" s="2">
        <v>0.54185185185185181</v>
      </c>
      <c r="P660" s="2">
        <v>0.91745370370370372</v>
      </c>
      <c r="Q660">
        <v>9.02</v>
      </c>
      <c r="R660">
        <v>9.01</v>
      </c>
      <c r="S660">
        <v>0.77</v>
      </c>
      <c r="T660">
        <v>0.34</v>
      </c>
      <c r="U660">
        <v>0</v>
      </c>
      <c r="V660">
        <v>0.22</v>
      </c>
      <c r="W660">
        <v>5.75</v>
      </c>
      <c r="X660">
        <v>1.93</v>
      </c>
      <c r="Y660">
        <v>0</v>
      </c>
      <c r="Z660">
        <v>0</v>
      </c>
      <c r="AA660">
        <v>0</v>
      </c>
      <c r="AB660">
        <v>0</v>
      </c>
      <c r="AC660">
        <v>9.01</v>
      </c>
      <c r="AD660">
        <v>8.5399999999999991</v>
      </c>
      <c r="AE660">
        <v>3.74</v>
      </c>
      <c r="AF660">
        <v>0</v>
      </c>
      <c r="AG660">
        <v>2.46</v>
      </c>
      <c r="AH660">
        <v>63.82</v>
      </c>
      <c r="AI660">
        <v>21.4</v>
      </c>
      <c r="AJ660">
        <v>0</v>
      </c>
      <c r="AK660">
        <v>0</v>
      </c>
      <c r="AL660">
        <v>0</v>
      </c>
      <c r="AM660">
        <v>0.04</v>
      </c>
      <c r="AN660">
        <f t="shared" si="31"/>
        <v>6</v>
      </c>
      <c r="AO660" t="str">
        <f t="shared" si="32"/>
        <v>Friday</v>
      </c>
    </row>
    <row r="661" spans="1:41" x14ac:dyDescent="0.2">
      <c r="B661" s="1">
        <v>45884</v>
      </c>
      <c r="C661" s="1">
        <f t="shared" si="30"/>
        <v>45900</v>
      </c>
      <c r="D661">
        <v>430</v>
      </c>
      <c r="E661">
        <v>0</v>
      </c>
      <c r="F661">
        <v>0</v>
      </c>
      <c r="G661">
        <v>0</v>
      </c>
      <c r="H661">
        <v>0</v>
      </c>
      <c r="I661">
        <v>0</v>
      </c>
      <c r="J661">
        <v>0</v>
      </c>
      <c r="K661">
        <v>0</v>
      </c>
      <c r="AN661">
        <f t="shared" si="31"/>
        <v>6</v>
      </c>
      <c r="AO661" t="str">
        <f t="shared" si="32"/>
        <v>Friday</v>
      </c>
    </row>
    <row r="662" spans="1:41" x14ac:dyDescent="0.2">
      <c r="A662" t="s">
        <v>37</v>
      </c>
      <c r="B662" s="1">
        <v>45883</v>
      </c>
      <c r="C662" s="1">
        <f t="shared" si="30"/>
        <v>45900</v>
      </c>
      <c r="D662">
        <v>24</v>
      </c>
      <c r="E662">
        <v>40</v>
      </c>
      <c r="F662">
        <v>1</v>
      </c>
      <c r="G662">
        <v>2</v>
      </c>
      <c r="H662">
        <v>1</v>
      </c>
      <c r="I662">
        <v>0</v>
      </c>
      <c r="J662">
        <v>5</v>
      </c>
      <c r="K662">
        <v>18</v>
      </c>
      <c r="L662" t="s">
        <v>37</v>
      </c>
      <c r="M662" t="s">
        <v>38</v>
      </c>
      <c r="N662" s="1">
        <v>45883</v>
      </c>
      <c r="O662" s="2">
        <v>0.54181712962962958</v>
      </c>
      <c r="P662" s="2">
        <v>0.91695601851851849</v>
      </c>
      <c r="Q662">
        <v>9</v>
      </c>
      <c r="R662">
        <v>8.17</v>
      </c>
      <c r="S662">
        <v>1.33</v>
      </c>
      <c r="T662">
        <v>0.26</v>
      </c>
      <c r="U662">
        <v>0</v>
      </c>
      <c r="V662">
        <v>0.19</v>
      </c>
      <c r="W662">
        <v>4.72</v>
      </c>
      <c r="X662">
        <v>0.47</v>
      </c>
      <c r="Y662">
        <v>1.17</v>
      </c>
      <c r="Z662">
        <v>0</v>
      </c>
      <c r="AA662">
        <v>0</v>
      </c>
      <c r="AB662">
        <v>0.03</v>
      </c>
      <c r="AC662">
        <v>8.17</v>
      </c>
      <c r="AD662">
        <v>16.3</v>
      </c>
      <c r="AE662">
        <v>3.17</v>
      </c>
      <c r="AF662">
        <v>0</v>
      </c>
      <c r="AG662">
        <v>2.31</v>
      </c>
      <c r="AH662">
        <v>57.74</v>
      </c>
      <c r="AI662">
        <v>5.76</v>
      </c>
      <c r="AJ662">
        <v>14.32</v>
      </c>
      <c r="AK662">
        <v>0</v>
      </c>
      <c r="AL662">
        <v>0</v>
      </c>
      <c r="AM662">
        <v>0.41</v>
      </c>
      <c r="AN662">
        <f t="shared" si="31"/>
        <v>5</v>
      </c>
      <c r="AO662" t="str">
        <f t="shared" si="32"/>
        <v>Thursday</v>
      </c>
    </row>
    <row r="663" spans="1:41" x14ac:dyDescent="0.2">
      <c r="A663" t="s">
        <v>39</v>
      </c>
      <c r="B663" s="1">
        <v>45883</v>
      </c>
      <c r="C663" s="1">
        <f t="shared" si="30"/>
        <v>45900</v>
      </c>
      <c r="D663">
        <v>17</v>
      </c>
      <c r="E663">
        <v>35</v>
      </c>
      <c r="F663">
        <v>1</v>
      </c>
      <c r="G663">
        <v>1</v>
      </c>
      <c r="H663">
        <v>4</v>
      </c>
      <c r="I663">
        <v>0</v>
      </c>
      <c r="J663">
        <v>0</v>
      </c>
      <c r="K663">
        <v>23</v>
      </c>
      <c r="L663" t="s">
        <v>39</v>
      </c>
      <c r="M663" t="s">
        <v>38</v>
      </c>
      <c r="N663" s="1">
        <v>45883</v>
      </c>
      <c r="O663" s="2">
        <v>0.54223379629629631</v>
      </c>
      <c r="P663" s="2">
        <v>0.91693287037037041</v>
      </c>
      <c r="Q663">
        <v>9</v>
      </c>
      <c r="R663">
        <v>8.99</v>
      </c>
      <c r="S663">
        <v>1.22</v>
      </c>
      <c r="T663">
        <v>0.11</v>
      </c>
      <c r="U663">
        <v>0</v>
      </c>
      <c r="V663">
        <v>0.03</v>
      </c>
      <c r="W663">
        <v>5.01</v>
      </c>
      <c r="X663">
        <v>1.46</v>
      </c>
      <c r="Y663">
        <v>1.17</v>
      </c>
      <c r="Z663">
        <v>0</v>
      </c>
      <c r="AA663">
        <v>0</v>
      </c>
      <c r="AB663">
        <v>0</v>
      </c>
      <c r="AC663">
        <v>8.99</v>
      </c>
      <c r="AD663">
        <v>13.6</v>
      </c>
      <c r="AE663">
        <v>1.18</v>
      </c>
      <c r="AF663">
        <v>0</v>
      </c>
      <c r="AG663">
        <v>0.28000000000000003</v>
      </c>
      <c r="AH663">
        <v>55.67</v>
      </c>
      <c r="AI663">
        <v>16.22</v>
      </c>
      <c r="AJ663">
        <v>13</v>
      </c>
      <c r="AK663">
        <v>0</v>
      </c>
      <c r="AL663">
        <v>0</v>
      </c>
      <c r="AM663">
        <v>0.04</v>
      </c>
      <c r="AN663">
        <f t="shared" si="31"/>
        <v>5</v>
      </c>
      <c r="AO663" t="str">
        <f t="shared" si="32"/>
        <v>Thursday</v>
      </c>
    </row>
    <row r="664" spans="1:41" x14ac:dyDescent="0.2">
      <c r="A664" t="s">
        <v>40</v>
      </c>
      <c r="B664" s="1">
        <v>45883</v>
      </c>
      <c r="C664" s="1">
        <f t="shared" si="30"/>
        <v>45900</v>
      </c>
      <c r="D664">
        <v>14</v>
      </c>
      <c r="E664">
        <v>26</v>
      </c>
      <c r="F664">
        <v>2</v>
      </c>
      <c r="G664">
        <v>3</v>
      </c>
      <c r="H664">
        <v>6</v>
      </c>
      <c r="I664">
        <v>0</v>
      </c>
      <c r="J664">
        <v>3</v>
      </c>
      <c r="K664">
        <v>10</v>
      </c>
      <c r="L664" t="s">
        <v>40</v>
      </c>
      <c r="M664" t="s">
        <v>38</v>
      </c>
      <c r="N664" s="1">
        <v>45883</v>
      </c>
      <c r="O664" s="2">
        <v>0.54079861111111116</v>
      </c>
      <c r="P664" s="2">
        <v>0.92363425925925924</v>
      </c>
      <c r="Q664">
        <v>9.1999999999999993</v>
      </c>
      <c r="R664">
        <v>9.19</v>
      </c>
      <c r="S664">
        <v>0.98</v>
      </c>
      <c r="T664">
        <v>0</v>
      </c>
      <c r="U664">
        <v>0</v>
      </c>
      <c r="V664">
        <v>0.23</v>
      </c>
      <c r="W664">
        <v>5.07</v>
      </c>
      <c r="X664">
        <v>1.51</v>
      </c>
      <c r="Y664">
        <v>1.38</v>
      </c>
      <c r="Z664">
        <v>0</v>
      </c>
      <c r="AA664">
        <v>0</v>
      </c>
      <c r="AB664">
        <v>0.02</v>
      </c>
      <c r="AC664">
        <v>9.19</v>
      </c>
      <c r="AD664">
        <v>10.69</v>
      </c>
      <c r="AE664">
        <v>0</v>
      </c>
      <c r="AF664">
        <v>0</v>
      </c>
      <c r="AG664">
        <v>2.4500000000000002</v>
      </c>
      <c r="AH664">
        <v>55.21</v>
      </c>
      <c r="AI664">
        <v>16.43</v>
      </c>
      <c r="AJ664">
        <v>14.97</v>
      </c>
      <c r="AK664">
        <v>0</v>
      </c>
      <c r="AL664">
        <v>0</v>
      </c>
      <c r="AM664">
        <v>0.24</v>
      </c>
      <c r="AN664">
        <f t="shared" si="31"/>
        <v>5</v>
      </c>
      <c r="AO664" t="str">
        <f t="shared" si="32"/>
        <v>Thursday</v>
      </c>
    </row>
    <row r="665" spans="1:41" x14ac:dyDescent="0.2">
      <c r="A665" t="s">
        <v>41</v>
      </c>
      <c r="B665" s="1">
        <v>45883</v>
      </c>
      <c r="C665" s="1">
        <f t="shared" si="30"/>
        <v>45900</v>
      </c>
      <c r="D665">
        <v>11</v>
      </c>
      <c r="E665">
        <v>19</v>
      </c>
      <c r="F665">
        <v>0</v>
      </c>
      <c r="G665">
        <v>1</v>
      </c>
      <c r="H665">
        <v>4</v>
      </c>
      <c r="I665">
        <v>0</v>
      </c>
      <c r="J665">
        <v>1</v>
      </c>
      <c r="K665">
        <v>6</v>
      </c>
      <c r="L665" t="s">
        <v>41</v>
      </c>
      <c r="M665" t="s">
        <v>38</v>
      </c>
      <c r="N665" s="1">
        <v>45883</v>
      </c>
      <c r="O665" s="2">
        <v>0.54251157407407402</v>
      </c>
      <c r="P665" s="2">
        <v>0.83284722222222218</v>
      </c>
      <c r="Q665">
        <v>6.97</v>
      </c>
      <c r="R665">
        <v>6.97</v>
      </c>
      <c r="S665">
        <v>0.63</v>
      </c>
      <c r="T665">
        <v>0</v>
      </c>
      <c r="U665">
        <v>0</v>
      </c>
      <c r="V665">
        <v>0.09</v>
      </c>
      <c r="W665">
        <v>3.16</v>
      </c>
      <c r="X665">
        <v>1.47</v>
      </c>
      <c r="Y665">
        <v>1.62</v>
      </c>
      <c r="Z665">
        <v>0</v>
      </c>
      <c r="AA665">
        <v>0</v>
      </c>
      <c r="AB665">
        <v>0</v>
      </c>
      <c r="AC665">
        <v>6.97</v>
      </c>
      <c r="AD665">
        <v>9.11</v>
      </c>
      <c r="AE665">
        <v>0</v>
      </c>
      <c r="AF665">
        <v>0</v>
      </c>
      <c r="AG665">
        <v>1.22</v>
      </c>
      <c r="AH665">
        <v>45.29</v>
      </c>
      <c r="AI665">
        <v>21.08</v>
      </c>
      <c r="AJ665">
        <v>23.24</v>
      </c>
      <c r="AK665">
        <v>0</v>
      </c>
      <c r="AL665">
        <v>0</v>
      </c>
      <c r="AM665">
        <v>0.05</v>
      </c>
      <c r="AN665">
        <f t="shared" si="31"/>
        <v>5</v>
      </c>
      <c r="AO665" t="str">
        <f t="shared" si="32"/>
        <v>Thursday</v>
      </c>
    </row>
    <row r="666" spans="1:41" x14ac:dyDescent="0.2">
      <c r="A666" t="s">
        <v>43</v>
      </c>
      <c r="B666" s="1">
        <v>45883</v>
      </c>
      <c r="C666" s="1">
        <f t="shared" si="30"/>
        <v>45900</v>
      </c>
      <c r="D666">
        <v>13</v>
      </c>
      <c r="E666">
        <v>30</v>
      </c>
      <c r="F666">
        <v>1</v>
      </c>
      <c r="G666">
        <v>1</v>
      </c>
      <c r="H666">
        <v>1</v>
      </c>
      <c r="I666">
        <v>0</v>
      </c>
      <c r="J666">
        <v>0</v>
      </c>
      <c r="K666">
        <v>7</v>
      </c>
      <c r="L666" t="s">
        <v>43</v>
      </c>
      <c r="M666" t="s">
        <v>38</v>
      </c>
      <c r="N666" s="1">
        <v>45883</v>
      </c>
      <c r="O666" s="2">
        <v>0.54271990740740739</v>
      </c>
      <c r="P666" s="2">
        <v>0.91738425925925926</v>
      </c>
      <c r="Q666">
        <v>9</v>
      </c>
      <c r="R666">
        <v>8.99</v>
      </c>
      <c r="S666">
        <v>0.98</v>
      </c>
      <c r="T666">
        <v>0.3</v>
      </c>
      <c r="U666">
        <v>0</v>
      </c>
      <c r="V666">
        <v>0.18</v>
      </c>
      <c r="W666">
        <v>4.93</v>
      </c>
      <c r="X666">
        <v>1.43</v>
      </c>
      <c r="Y666">
        <v>1.17</v>
      </c>
      <c r="Z666">
        <v>0</v>
      </c>
      <c r="AA666">
        <v>0</v>
      </c>
      <c r="AB666">
        <v>0</v>
      </c>
      <c r="AC666">
        <v>8.99</v>
      </c>
      <c r="AD666">
        <v>10.85</v>
      </c>
      <c r="AE666">
        <v>3.31</v>
      </c>
      <c r="AF666">
        <v>0</v>
      </c>
      <c r="AG666">
        <v>2.04</v>
      </c>
      <c r="AH666">
        <v>54.79</v>
      </c>
      <c r="AI666">
        <v>15.93</v>
      </c>
      <c r="AJ666">
        <v>13.05</v>
      </c>
      <c r="AK666">
        <v>0</v>
      </c>
      <c r="AL666">
        <v>0</v>
      </c>
      <c r="AM666">
        <v>0.04</v>
      </c>
      <c r="AN666">
        <f t="shared" si="31"/>
        <v>5</v>
      </c>
      <c r="AO666" t="str">
        <f t="shared" si="32"/>
        <v>Thursday</v>
      </c>
    </row>
    <row r="667" spans="1:41" x14ac:dyDescent="0.2">
      <c r="B667" s="1">
        <v>45883</v>
      </c>
      <c r="C667" s="1">
        <f t="shared" si="30"/>
        <v>45900</v>
      </c>
      <c r="D667">
        <v>445</v>
      </c>
      <c r="E667">
        <v>0</v>
      </c>
      <c r="F667">
        <v>0</v>
      </c>
      <c r="G667">
        <v>0</v>
      </c>
      <c r="H667">
        <v>0</v>
      </c>
      <c r="I667">
        <v>0</v>
      </c>
      <c r="J667">
        <v>0</v>
      </c>
      <c r="K667">
        <v>0</v>
      </c>
      <c r="AN667">
        <f t="shared" si="31"/>
        <v>5</v>
      </c>
      <c r="AO667" t="str">
        <f t="shared" si="32"/>
        <v>Thursday</v>
      </c>
    </row>
    <row r="668" spans="1:41" x14ac:dyDescent="0.2">
      <c r="A668" t="s">
        <v>37</v>
      </c>
      <c r="B668" s="1">
        <v>45882</v>
      </c>
      <c r="C668" s="1">
        <f t="shared" si="30"/>
        <v>45900</v>
      </c>
      <c r="D668">
        <v>28</v>
      </c>
      <c r="E668">
        <v>56</v>
      </c>
      <c r="F668">
        <v>8</v>
      </c>
      <c r="G668">
        <v>4</v>
      </c>
      <c r="H668">
        <v>2</v>
      </c>
      <c r="I668">
        <v>0</v>
      </c>
      <c r="J668">
        <v>0</v>
      </c>
      <c r="K668">
        <v>29</v>
      </c>
      <c r="L668" t="s">
        <v>37</v>
      </c>
      <c r="M668" t="s">
        <v>38</v>
      </c>
      <c r="N668" s="1">
        <v>45882</v>
      </c>
      <c r="O668" s="2">
        <v>0.54168981481481482</v>
      </c>
      <c r="P668" s="2">
        <v>0.92356481481481478</v>
      </c>
      <c r="Q668">
        <v>9.15</v>
      </c>
      <c r="R668">
        <v>8.3000000000000007</v>
      </c>
      <c r="S668">
        <v>1.74</v>
      </c>
      <c r="T668">
        <v>0.03</v>
      </c>
      <c r="U668">
        <v>0</v>
      </c>
      <c r="V668">
        <v>0.19</v>
      </c>
      <c r="W668">
        <v>5.66</v>
      </c>
      <c r="X668">
        <v>0.64</v>
      </c>
      <c r="Y668">
        <v>0</v>
      </c>
      <c r="Z668">
        <v>0</v>
      </c>
      <c r="AA668">
        <v>0</v>
      </c>
      <c r="AB668">
        <v>0.03</v>
      </c>
      <c r="AC668">
        <v>8.3000000000000007</v>
      </c>
      <c r="AD668">
        <v>20.95</v>
      </c>
      <c r="AE668">
        <v>0.42</v>
      </c>
      <c r="AF668">
        <v>0</v>
      </c>
      <c r="AG668">
        <v>2.33</v>
      </c>
      <c r="AH668">
        <v>68.239999999999995</v>
      </c>
      <c r="AI668">
        <v>7.71</v>
      </c>
      <c r="AJ668">
        <v>0</v>
      </c>
      <c r="AK668">
        <v>0</v>
      </c>
      <c r="AL668">
        <v>0</v>
      </c>
      <c r="AM668">
        <v>0.36</v>
      </c>
      <c r="AN668">
        <f t="shared" si="31"/>
        <v>4</v>
      </c>
      <c r="AO668" t="str">
        <f t="shared" si="32"/>
        <v>Wednesday</v>
      </c>
    </row>
    <row r="669" spans="1:41" x14ac:dyDescent="0.2">
      <c r="A669" t="s">
        <v>39</v>
      </c>
      <c r="B669" s="1">
        <v>45882</v>
      </c>
      <c r="C669" s="1">
        <f t="shared" si="30"/>
        <v>45900</v>
      </c>
      <c r="D669">
        <v>12</v>
      </c>
      <c r="E669">
        <v>22</v>
      </c>
      <c r="F669">
        <v>2</v>
      </c>
      <c r="G669">
        <v>1</v>
      </c>
      <c r="H669">
        <v>1</v>
      </c>
      <c r="I669">
        <v>2</v>
      </c>
      <c r="J669">
        <v>0</v>
      </c>
      <c r="K669">
        <v>12</v>
      </c>
      <c r="L669" t="s">
        <v>39</v>
      </c>
      <c r="M669" t="s">
        <v>38</v>
      </c>
      <c r="N669" s="1">
        <v>45882</v>
      </c>
      <c r="O669" s="2">
        <v>0.54188657407407403</v>
      </c>
      <c r="P669" s="2">
        <v>0.91670138888888886</v>
      </c>
      <c r="Q669">
        <v>9</v>
      </c>
      <c r="R669">
        <v>9</v>
      </c>
      <c r="S669">
        <v>0.97</v>
      </c>
      <c r="T669">
        <v>0.01</v>
      </c>
      <c r="U669">
        <v>0</v>
      </c>
      <c r="V669">
        <v>0.01</v>
      </c>
      <c r="W669">
        <v>5.91</v>
      </c>
      <c r="X669">
        <v>1.48</v>
      </c>
      <c r="Y669">
        <v>0.61</v>
      </c>
      <c r="Z669">
        <v>0</v>
      </c>
      <c r="AA669">
        <v>0</v>
      </c>
      <c r="AB669">
        <v>0</v>
      </c>
      <c r="AC669">
        <v>9</v>
      </c>
      <c r="AD669">
        <v>10.74</v>
      </c>
      <c r="AE669">
        <v>0.15</v>
      </c>
      <c r="AF669">
        <v>0</v>
      </c>
      <c r="AG669">
        <v>0.16</v>
      </c>
      <c r="AH669">
        <v>65.7</v>
      </c>
      <c r="AI669">
        <v>16.46</v>
      </c>
      <c r="AJ669">
        <v>6.74</v>
      </c>
      <c r="AK669">
        <v>0</v>
      </c>
      <c r="AL669">
        <v>0</v>
      </c>
      <c r="AM669">
        <v>0.05</v>
      </c>
      <c r="AN669">
        <f t="shared" si="31"/>
        <v>4</v>
      </c>
      <c r="AO669" t="str">
        <f t="shared" si="32"/>
        <v>Wednesday</v>
      </c>
    </row>
    <row r="670" spans="1:41" x14ac:dyDescent="0.2">
      <c r="A670" t="s">
        <v>40</v>
      </c>
      <c r="B670" s="1">
        <v>45882</v>
      </c>
      <c r="C670" s="1">
        <f t="shared" si="30"/>
        <v>45900</v>
      </c>
      <c r="D670">
        <v>16</v>
      </c>
      <c r="E670">
        <v>28</v>
      </c>
      <c r="F670">
        <v>5</v>
      </c>
      <c r="G670">
        <v>2</v>
      </c>
      <c r="H670">
        <v>5</v>
      </c>
      <c r="I670">
        <v>0</v>
      </c>
      <c r="J670">
        <v>1</v>
      </c>
      <c r="K670">
        <v>7</v>
      </c>
      <c r="L670" t="s">
        <v>40</v>
      </c>
      <c r="M670" t="s">
        <v>38</v>
      </c>
      <c r="N670" s="1">
        <v>45882</v>
      </c>
      <c r="O670" s="2">
        <v>0.54240740740740745</v>
      </c>
      <c r="P670" s="2">
        <v>0.91667824074074078</v>
      </c>
      <c r="Q670">
        <v>8.98</v>
      </c>
      <c r="R670">
        <v>8.98</v>
      </c>
      <c r="S670">
        <v>1.61</v>
      </c>
      <c r="T670">
        <v>0.08</v>
      </c>
      <c r="U670">
        <v>0</v>
      </c>
      <c r="V670">
        <v>0.31</v>
      </c>
      <c r="W670">
        <v>5.48</v>
      </c>
      <c r="X670">
        <v>1.26</v>
      </c>
      <c r="Y670">
        <v>0.24</v>
      </c>
      <c r="Z670">
        <v>0</v>
      </c>
      <c r="AA670">
        <v>0</v>
      </c>
      <c r="AB670">
        <v>0</v>
      </c>
      <c r="AC670">
        <v>8.98</v>
      </c>
      <c r="AD670">
        <v>17.95</v>
      </c>
      <c r="AE670">
        <v>0.94</v>
      </c>
      <c r="AF670">
        <v>0</v>
      </c>
      <c r="AG670">
        <v>3.42</v>
      </c>
      <c r="AH670">
        <v>60.96</v>
      </c>
      <c r="AI670">
        <v>14.01</v>
      </c>
      <c r="AJ670">
        <v>2.69</v>
      </c>
      <c r="AK670">
        <v>0</v>
      </c>
      <c r="AL670">
        <v>0</v>
      </c>
      <c r="AM670">
        <v>0.04</v>
      </c>
      <c r="AN670">
        <f t="shared" si="31"/>
        <v>4</v>
      </c>
      <c r="AO670" t="str">
        <f t="shared" si="32"/>
        <v>Wednesday</v>
      </c>
    </row>
    <row r="671" spans="1:41" x14ac:dyDescent="0.2">
      <c r="A671" t="s">
        <v>41</v>
      </c>
      <c r="B671" s="1">
        <v>45882</v>
      </c>
      <c r="C671" s="1">
        <f t="shared" si="30"/>
        <v>45900</v>
      </c>
      <c r="D671">
        <v>30</v>
      </c>
      <c r="E671">
        <v>40</v>
      </c>
      <c r="F671">
        <v>1</v>
      </c>
      <c r="G671">
        <v>4</v>
      </c>
      <c r="H671">
        <v>2</v>
      </c>
      <c r="I671">
        <v>0</v>
      </c>
      <c r="J671">
        <v>4</v>
      </c>
      <c r="K671">
        <v>14</v>
      </c>
      <c r="L671" t="s">
        <v>41</v>
      </c>
      <c r="M671" t="s">
        <v>38</v>
      </c>
      <c r="N671" s="1">
        <v>45882</v>
      </c>
      <c r="O671" s="2">
        <v>0.54238425925925926</v>
      </c>
      <c r="P671" s="2">
        <v>0.91631944444444446</v>
      </c>
      <c r="Q671">
        <v>8.9700000000000006</v>
      </c>
      <c r="R671">
        <v>8.9600000000000009</v>
      </c>
      <c r="S671">
        <v>1.48</v>
      </c>
      <c r="T671">
        <v>0</v>
      </c>
      <c r="U671">
        <v>0</v>
      </c>
      <c r="V671">
        <v>0.26</v>
      </c>
      <c r="W671">
        <v>5.78</v>
      </c>
      <c r="X671">
        <v>1.44</v>
      </c>
      <c r="Y671">
        <v>0</v>
      </c>
      <c r="Z671">
        <v>0</v>
      </c>
      <c r="AA671">
        <v>0</v>
      </c>
      <c r="AB671">
        <v>0.01</v>
      </c>
      <c r="AC671">
        <v>8.9600000000000009</v>
      </c>
      <c r="AD671">
        <v>16.54</v>
      </c>
      <c r="AE671">
        <v>0</v>
      </c>
      <c r="AF671">
        <v>0</v>
      </c>
      <c r="AG671">
        <v>2.89</v>
      </c>
      <c r="AH671">
        <v>64.47</v>
      </c>
      <c r="AI671">
        <v>16.04</v>
      </c>
      <c r="AJ671">
        <v>0</v>
      </c>
      <c r="AK671">
        <v>0</v>
      </c>
      <c r="AL671">
        <v>0</v>
      </c>
      <c r="AM671">
        <v>7.0000000000000007E-2</v>
      </c>
      <c r="AN671">
        <f t="shared" si="31"/>
        <v>4</v>
      </c>
      <c r="AO671" t="str">
        <f t="shared" si="32"/>
        <v>Wednesday</v>
      </c>
    </row>
    <row r="672" spans="1:41" x14ac:dyDescent="0.2">
      <c r="A672" t="s">
        <v>42</v>
      </c>
      <c r="B672" s="1">
        <v>45882</v>
      </c>
      <c r="C672" s="1">
        <f t="shared" si="30"/>
        <v>45900</v>
      </c>
      <c r="D672">
        <v>1</v>
      </c>
      <c r="E672">
        <v>2</v>
      </c>
      <c r="F672">
        <v>0</v>
      </c>
      <c r="G672">
        <v>0</v>
      </c>
      <c r="H672">
        <v>0</v>
      </c>
      <c r="I672">
        <v>0</v>
      </c>
      <c r="J672">
        <v>1</v>
      </c>
      <c r="K672">
        <v>0</v>
      </c>
      <c r="L672" t="s">
        <v>42</v>
      </c>
      <c r="M672" t="s">
        <v>38</v>
      </c>
      <c r="N672" s="1">
        <v>45882</v>
      </c>
      <c r="O672" s="2">
        <v>0.59175925925925921</v>
      </c>
      <c r="P672" s="2">
        <v>0.60130787037037037</v>
      </c>
      <c r="Q672">
        <v>0.22</v>
      </c>
      <c r="R672">
        <v>0.23</v>
      </c>
      <c r="S672">
        <v>0.19</v>
      </c>
      <c r="T672">
        <v>0</v>
      </c>
      <c r="U672">
        <v>0</v>
      </c>
      <c r="V672">
        <v>0.03</v>
      </c>
      <c r="W672">
        <v>0</v>
      </c>
      <c r="X672">
        <v>0</v>
      </c>
      <c r="Y672">
        <v>0</v>
      </c>
      <c r="Z672">
        <v>0</v>
      </c>
      <c r="AA672">
        <v>0</v>
      </c>
      <c r="AB672">
        <v>0.01</v>
      </c>
      <c r="AC672">
        <v>0.23</v>
      </c>
      <c r="AD672">
        <v>82.79</v>
      </c>
      <c r="AE672">
        <v>0</v>
      </c>
      <c r="AF672">
        <v>0</v>
      </c>
      <c r="AG672">
        <v>13.58</v>
      </c>
      <c r="AH672">
        <v>0</v>
      </c>
      <c r="AI672">
        <v>0</v>
      </c>
      <c r="AJ672">
        <v>0</v>
      </c>
      <c r="AK672">
        <v>0</v>
      </c>
      <c r="AL672">
        <v>0</v>
      </c>
      <c r="AM672">
        <v>3.64</v>
      </c>
      <c r="AN672">
        <f t="shared" si="31"/>
        <v>4</v>
      </c>
      <c r="AO672" t="str">
        <f t="shared" si="32"/>
        <v>Wednesday</v>
      </c>
    </row>
    <row r="673" spans="1:41" x14ac:dyDescent="0.2">
      <c r="A673" t="s">
        <v>43</v>
      </c>
      <c r="B673" s="1">
        <v>45882</v>
      </c>
      <c r="C673" s="1">
        <f t="shared" si="30"/>
        <v>45900</v>
      </c>
      <c r="D673">
        <v>18</v>
      </c>
      <c r="E673">
        <v>37</v>
      </c>
      <c r="F673">
        <v>1</v>
      </c>
      <c r="G673">
        <v>1</v>
      </c>
      <c r="H673">
        <v>2</v>
      </c>
      <c r="I673">
        <v>1</v>
      </c>
      <c r="J673">
        <v>1</v>
      </c>
      <c r="K673">
        <v>10</v>
      </c>
      <c r="L673" t="s">
        <v>43</v>
      </c>
      <c r="M673" t="s">
        <v>38</v>
      </c>
      <c r="N673" s="1">
        <v>45882</v>
      </c>
      <c r="O673" s="2">
        <v>0.54186342592592596</v>
      </c>
      <c r="P673" s="2">
        <v>0.92024305555555552</v>
      </c>
      <c r="Q673">
        <v>9.08</v>
      </c>
      <c r="R673">
        <v>9.08</v>
      </c>
      <c r="S673">
        <v>0.98</v>
      </c>
      <c r="T673">
        <v>0.36</v>
      </c>
      <c r="U673">
        <v>0</v>
      </c>
      <c r="V673">
        <v>0.42</v>
      </c>
      <c r="W673">
        <v>5.17</v>
      </c>
      <c r="X673">
        <v>1.5</v>
      </c>
      <c r="Y673">
        <v>0.56000000000000005</v>
      </c>
      <c r="Z673">
        <v>0</v>
      </c>
      <c r="AA673">
        <v>0.09</v>
      </c>
      <c r="AB673">
        <v>0.01</v>
      </c>
      <c r="AC673">
        <v>9.08</v>
      </c>
      <c r="AD673">
        <v>10.75</v>
      </c>
      <c r="AE673">
        <v>3.93</v>
      </c>
      <c r="AF673">
        <v>0</v>
      </c>
      <c r="AG673">
        <v>4.59</v>
      </c>
      <c r="AH673">
        <v>56.88</v>
      </c>
      <c r="AI673">
        <v>16.52</v>
      </c>
      <c r="AJ673">
        <v>6.15</v>
      </c>
      <c r="AK673">
        <v>0</v>
      </c>
      <c r="AL673">
        <v>1.03</v>
      </c>
      <c r="AM673">
        <v>0.14000000000000001</v>
      </c>
      <c r="AN673">
        <f t="shared" si="31"/>
        <v>4</v>
      </c>
      <c r="AO673" t="str">
        <f t="shared" si="32"/>
        <v>Wednesday</v>
      </c>
    </row>
    <row r="674" spans="1:41" x14ac:dyDescent="0.2">
      <c r="B674" s="1">
        <v>45882</v>
      </c>
      <c r="C674" s="1">
        <f t="shared" si="30"/>
        <v>45900</v>
      </c>
      <c r="D674">
        <v>459</v>
      </c>
      <c r="E674">
        <v>0</v>
      </c>
      <c r="F674">
        <v>0</v>
      </c>
      <c r="G674">
        <v>0</v>
      </c>
      <c r="H674">
        <v>0</v>
      </c>
      <c r="I674">
        <v>0</v>
      </c>
      <c r="J674">
        <v>0</v>
      </c>
      <c r="K674">
        <v>0</v>
      </c>
      <c r="AN674">
        <f t="shared" si="31"/>
        <v>4</v>
      </c>
      <c r="AO674" t="str">
        <f t="shared" si="32"/>
        <v>Wednesday</v>
      </c>
    </row>
    <row r="675" spans="1:41" x14ac:dyDescent="0.2">
      <c r="A675" t="s">
        <v>37</v>
      </c>
      <c r="B675" s="1">
        <v>45881</v>
      </c>
      <c r="C675" s="1">
        <f t="shared" si="30"/>
        <v>45900</v>
      </c>
      <c r="D675">
        <v>24</v>
      </c>
      <c r="E675">
        <v>46</v>
      </c>
      <c r="F675">
        <v>2</v>
      </c>
      <c r="G675">
        <v>3</v>
      </c>
      <c r="H675">
        <v>10</v>
      </c>
      <c r="I675">
        <v>0</v>
      </c>
      <c r="J675">
        <v>0</v>
      </c>
      <c r="K675">
        <v>14</v>
      </c>
      <c r="L675" t="s">
        <v>37</v>
      </c>
      <c r="M675" t="s">
        <v>38</v>
      </c>
      <c r="N675" s="1">
        <v>45881</v>
      </c>
      <c r="O675" s="2">
        <v>0.54204861111111113</v>
      </c>
      <c r="P675" s="2">
        <v>0.91672453703703705</v>
      </c>
      <c r="Q675">
        <v>9</v>
      </c>
      <c r="R675">
        <v>8.0399999999999991</v>
      </c>
      <c r="S675">
        <v>1.32</v>
      </c>
      <c r="T675">
        <v>0.15</v>
      </c>
      <c r="U675">
        <v>0</v>
      </c>
      <c r="V675">
        <v>0.25</v>
      </c>
      <c r="W675">
        <v>5.76</v>
      </c>
      <c r="X675">
        <v>0.54</v>
      </c>
      <c r="Y675">
        <v>0</v>
      </c>
      <c r="Z675">
        <v>0</v>
      </c>
      <c r="AA675">
        <v>0</v>
      </c>
      <c r="AB675">
        <v>0.01</v>
      </c>
      <c r="AC675">
        <v>8.0399999999999991</v>
      </c>
      <c r="AD675">
        <v>16.46</v>
      </c>
      <c r="AE675">
        <v>1.9</v>
      </c>
      <c r="AF675">
        <v>0</v>
      </c>
      <c r="AG675">
        <v>3.09</v>
      </c>
      <c r="AH675">
        <v>71.69</v>
      </c>
      <c r="AI675">
        <v>6.72</v>
      </c>
      <c r="AJ675">
        <v>0</v>
      </c>
      <c r="AK675">
        <v>0</v>
      </c>
      <c r="AL675">
        <v>0</v>
      </c>
      <c r="AM675">
        <v>0.14000000000000001</v>
      </c>
      <c r="AN675">
        <f t="shared" si="31"/>
        <v>3</v>
      </c>
      <c r="AO675" t="str">
        <f t="shared" si="32"/>
        <v>Tuesday</v>
      </c>
    </row>
    <row r="676" spans="1:41" x14ac:dyDescent="0.2">
      <c r="A676" t="s">
        <v>39</v>
      </c>
      <c r="B676" s="1">
        <v>45881</v>
      </c>
      <c r="C676" s="1">
        <f t="shared" si="30"/>
        <v>45900</v>
      </c>
      <c r="D676">
        <v>26</v>
      </c>
      <c r="E676">
        <v>48</v>
      </c>
      <c r="F676">
        <v>1</v>
      </c>
      <c r="G676">
        <v>1</v>
      </c>
      <c r="H676">
        <v>5</v>
      </c>
      <c r="I676">
        <v>0</v>
      </c>
      <c r="J676">
        <v>0</v>
      </c>
      <c r="K676">
        <v>20</v>
      </c>
      <c r="L676" t="s">
        <v>39</v>
      </c>
      <c r="M676" t="s">
        <v>38</v>
      </c>
      <c r="N676" s="1">
        <v>45881</v>
      </c>
      <c r="O676" s="2">
        <v>0.54188657407407403</v>
      </c>
      <c r="P676" s="2">
        <v>0.91672453703703705</v>
      </c>
      <c r="Q676">
        <v>9</v>
      </c>
      <c r="R676">
        <v>9</v>
      </c>
      <c r="S676">
        <v>1.29</v>
      </c>
      <c r="T676">
        <v>0.02</v>
      </c>
      <c r="U676">
        <v>0</v>
      </c>
      <c r="V676">
        <v>0.02</v>
      </c>
      <c r="W676">
        <v>6.16</v>
      </c>
      <c r="X676">
        <v>1.49</v>
      </c>
      <c r="Y676">
        <v>0</v>
      </c>
      <c r="Z676">
        <v>0</v>
      </c>
      <c r="AA676">
        <v>0</v>
      </c>
      <c r="AB676">
        <v>0</v>
      </c>
      <c r="AC676">
        <v>9</v>
      </c>
      <c r="AD676">
        <v>14.34</v>
      </c>
      <c r="AE676">
        <v>0.27</v>
      </c>
      <c r="AF676">
        <v>0</v>
      </c>
      <c r="AG676">
        <v>0.26</v>
      </c>
      <c r="AH676">
        <v>68.5</v>
      </c>
      <c r="AI676">
        <v>16.59</v>
      </c>
      <c r="AJ676">
        <v>0</v>
      </c>
      <c r="AK676">
        <v>0</v>
      </c>
      <c r="AL676">
        <v>0</v>
      </c>
      <c r="AM676">
        <v>0.04</v>
      </c>
      <c r="AN676">
        <f t="shared" si="31"/>
        <v>3</v>
      </c>
      <c r="AO676" t="str">
        <f t="shared" si="32"/>
        <v>Tuesday</v>
      </c>
    </row>
    <row r="677" spans="1:41" x14ac:dyDescent="0.2">
      <c r="A677" t="s">
        <v>40</v>
      </c>
      <c r="B677" s="1">
        <v>45881</v>
      </c>
      <c r="C677" s="1">
        <f t="shared" si="30"/>
        <v>45900</v>
      </c>
      <c r="D677">
        <v>20</v>
      </c>
      <c r="E677">
        <v>44</v>
      </c>
      <c r="F677">
        <v>5</v>
      </c>
      <c r="G677">
        <v>0</v>
      </c>
      <c r="H677">
        <v>9</v>
      </c>
      <c r="I677">
        <v>0</v>
      </c>
      <c r="J677">
        <v>0</v>
      </c>
      <c r="K677">
        <v>22</v>
      </c>
      <c r="L677" t="s">
        <v>40</v>
      </c>
      <c r="M677" t="s">
        <v>38</v>
      </c>
      <c r="N677" s="1">
        <v>45881</v>
      </c>
      <c r="O677" s="2">
        <v>0.54469907407407403</v>
      </c>
      <c r="P677" s="2">
        <v>0.91909722222222223</v>
      </c>
      <c r="Q677">
        <v>8.98</v>
      </c>
      <c r="R677">
        <v>8.99</v>
      </c>
      <c r="S677">
        <v>1.1100000000000001</v>
      </c>
      <c r="T677">
        <v>0</v>
      </c>
      <c r="U677">
        <v>0</v>
      </c>
      <c r="V677">
        <v>0.4</v>
      </c>
      <c r="W677">
        <v>5.92</v>
      </c>
      <c r="X677">
        <v>1.55</v>
      </c>
      <c r="Y677">
        <v>0</v>
      </c>
      <c r="Z677">
        <v>0</v>
      </c>
      <c r="AA677">
        <v>0</v>
      </c>
      <c r="AB677">
        <v>0</v>
      </c>
      <c r="AC677">
        <v>8.99</v>
      </c>
      <c r="AD677">
        <v>12.33</v>
      </c>
      <c r="AE677">
        <v>0</v>
      </c>
      <c r="AF677">
        <v>0</v>
      </c>
      <c r="AG677">
        <v>4.5</v>
      </c>
      <c r="AH677">
        <v>65.900000000000006</v>
      </c>
      <c r="AI677">
        <v>17.23</v>
      </c>
      <c r="AJ677">
        <v>0</v>
      </c>
      <c r="AK677">
        <v>0</v>
      </c>
      <c r="AL677">
        <v>0</v>
      </c>
      <c r="AM677">
        <v>0.04</v>
      </c>
      <c r="AN677">
        <f t="shared" si="31"/>
        <v>3</v>
      </c>
      <c r="AO677" t="str">
        <f t="shared" si="32"/>
        <v>Tuesday</v>
      </c>
    </row>
    <row r="678" spans="1:41" x14ac:dyDescent="0.2">
      <c r="A678" t="s">
        <v>41</v>
      </c>
      <c r="B678" s="1">
        <v>45881</v>
      </c>
      <c r="C678" s="1">
        <f t="shared" si="30"/>
        <v>45900</v>
      </c>
      <c r="D678">
        <v>21</v>
      </c>
      <c r="E678">
        <v>51</v>
      </c>
      <c r="F678">
        <v>5</v>
      </c>
      <c r="G678">
        <v>3</v>
      </c>
      <c r="H678">
        <v>1</v>
      </c>
      <c r="I678">
        <v>1</v>
      </c>
      <c r="J678">
        <v>0</v>
      </c>
      <c r="K678">
        <v>32</v>
      </c>
      <c r="L678" t="s">
        <v>41</v>
      </c>
      <c r="M678" t="s">
        <v>38</v>
      </c>
      <c r="N678" s="1">
        <v>45881</v>
      </c>
      <c r="O678" s="2">
        <v>0.54195601851851849</v>
      </c>
      <c r="P678" s="2">
        <v>0.91600694444444442</v>
      </c>
      <c r="Q678">
        <v>8.98</v>
      </c>
      <c r="R678">
        <v>8.7899999999999991</v>
      </c>
      <c r="S678">
        <v>1.08</v>
      </c>
      <c r="T678">
        <v>0.14000000000000001</v>
      </c>
      <c r="U678">
        <v>0</v>
      </c>
      <c r="V678">
        <v>0.25</v>
      </c>
      <c r="W678">
        <v>6.09</v>
      </c>
      <c r="X678">
        <v>1.22</v>
      </c>
      <c r="Y678">
        <v>0</v>
      </c>
      <c r="Z678">
        <v>0</v>
      </c>
      <c r="AA678">
        <v>0</v>
      </c>
      <c r="AB678">
        <v>0.01</v>
      </c>
      <c r="AC678">
        <v>8.7899999999999991</v>
      </c>
      <c r="AD678">
        <v>12.3</v>
      </c>
      <c r="AE678">
        <v>1.58</v>
      </c>
      <c r="AF678">
        <v>0</v>
      </c>
      <c r="AG678">
        <v>2.82</v>
      </c>
      <c r="AH678">
        <v>69.290000000000006</v>
      </c>
      <c r="AI678">
        <v>13.92</v>
      </c>
      <c r="AJ678">
        <v>0</v>
      </c>
      <c r="AK678">
        <v>0</v>
      </c>
      <c r="AL678">
        <v>0</v>
      </c>
      <c r="AM678">
        <v>0.08</v>
      </c>
      <c r="AN678">
        <f t="shared" si="31"/>
        <v>3</v>
      </c>
      <c r="AO678" t="str">
        <f t="shared" si="32"/>
        <v>Tuesday</v>
      </c>
    </row>
    <row r="679" spans="1:41" x14ac:dyDescent="0.2">
      <c r="A679" t="s">
        <v>43</v>
      </c>
      <c r="B679" s="1">
        <v>45881</v>
      </c>
      <c r="C679" s="1">
        <f t="shared" si="30"/>
        <v>45900</v>
      </c>
      <c r="D679">
        <v>24</v>
      </c>
      <c r="E679">
        <v>54</v>
      </c>
      <c r="F679">
        <v>5</v>
      </c>
      <c r="G679">
        <v>3</v>
      </c>
      <c r="H679">
        <v>5</v>
      </c>
      <c r="I679">
        <v>2</v>
      </c>
      <c r="J679">
        <v>0</v>
      </c>
      <c r="K679">
        <v>10</v>
      </c>
      <c r="L679" t="s">
        <v>43</v>
      </c>
      <c r="M679" t="s">
        <v>38</v>
      </c>
      <c r="N679" s="1">
        <v>45881</v>
      </c>
      <c r="O679" s="2">
        <v>0.54166666666666663</v>
      </c>
      <c r="P679" s="2">
        <v>0.92101851851851857</v>
      </c>
      <c r="Q679">
        <v>9.1</v>
      </c>
      <c r="R679">
        <v>9.11</v>
      </c>
      <c r="S679">
        <v>2.66</v>
      </c>
      <c r="T679">
        <v>0.16</v>
      </c>
      <c r="U679">
        <v>0</v>
      </c>
      <c r="V679">
        <v>0.33</v>
      </c>
      <c r="W679">
        <v>4.01</v>
      </c>
      <c r="X679">
        <v>1.46</v>
      </c>
      <c r="Y679">
        <v>0.47</v>
      </c>
      <c r="Z679">
        <v>0</v>
      </c>
      <c r="AA679">
        <v>0</v>
      </c>
      <c r="AB679">
        <v>0.01</v>
      </c>
      <c r="AC679">
        <v>9.11</v>
      </c>
      <c r="AD679">
        <v>29.22</v>
      </c>
      <c r="AE679">
        <v>1.8</v>
      </c>
      <c r="AF679">
        <v>0</v>
      </c>
      <c r="AG679">
        <v>3.62</v>
      </c>
      <c r="AH679">
        <v>44</v>
      </c>
      <c r="AI679">
        <v>16</v>
      </c>
      <c r="AJ679">
        <v>5.21</v>
      </c>
      <c r="AK679">
        <v>0</v>
      </c>
      <c r="AL679">
        <v>0</v>
      </c>
      <c r="AM679">
        <v>0.15</v>
      </c>
      <c r="AN679">
        <f t="shared" si="31"/>
        <v>3</v>
      </c>
      <c r="AO679" t="str">
        <f t="shared" si="32"/>
        <v>Tuesday</v>
      </c>
    </row>
    <row r="680" spans="1:41" x14ac:dyDescent="0.2">
      <c r="B680" s="1">
        <v>45881</v>
      </c>
      <c r="C680" s="1">
        <f t="shared" si="30"/>
        <v>45900</v>
      </c>
      <c r="D680">
        <v>461</v>
      </c>
      <c r="E680">
        <v>0</v>
      </c>
      <c r="F680">
        <v>0</v>
      </c>
      <c r="G680">
        <v>0</v>
      </c>
      <c r="H680">
        <v>0</v>
      </c>
      <c r="I680">
        <v>0</v>
      </c>
      <c r="J680">
        <v>0</v>
      </c>
      <c r="K680">
        <v>0</v>
      </c>
      <c r="AN680">
        <f t="shared" si="31"/>
        <v>3</v>
      </c>
      <c r="AO680" t="str">
        <f t="shared" si="32"/>
        <v>Tuesday</v>
      </c>
    </row>
    <row r="681" spans="1:41" x14ac:dyDescent="0.2">
      <c r="A681" t="s">
        <v>37</v>
      </c>
      <c r="B681" s="1">
        <v>45880</v>
      </c>
      <c r="C681" s="1">
        <f t="shared" si="30"/>
        <v>45900</v>
      </c>
      <c r="D681">
        <v>26</v>
      </c>
      <c r="E681">
        <v>44</v>
      </c>
      <c r="F681">
        <v>6</v>
      </c>
      <c r="G681">
        <v>0</v>
      </c>
      <c r="H681">
        <v>2</v>
      </c>
      <c r="I681">
        <v>0</v>
      </c>
      <c r="J681">
        <v>0</v>
      </c>
      <c r="K681">
        <v>17</v>
      </c>
      <c r="L681" t="s">
        <v>37</v>
      </c>
      <c r="M681" t="s">
        <v>38</v>
      </c>
      <c r="N681" s="1">
        <v>45880</v>
      </c>
      <c r="O681" s="2">
        <v>0.54135416666666669</v>
      </c>
      <c r="P681" s="2">
        <v>0.91678240740740746</v>
      </c>
      <c r="Q681">
        <v>9.02</v>
      </c>
      <c r="R681">
        <v>9.01</v>
      </c>
      <c r="S681">
        <v>1.35</v>
      </c>
      <c r="T681">
        <v>0.88</v>
      </c>
      <c r="U681">
        <v>0</v>
      </c>
      <c r="V681">
        <v>0.21</v>
      </c>
      <c r="W681">
        <v>4.53</v>
      </c>
      <c r="X681">
        <v>1.46</v>
      </c>
      <c r="Y681">
        <v>0.56999999999999995</v>
      </c>
      <c r="Z681">
        <v>0</v>
      </c>
      <c r="AA681">
        <v>0</v>
      </c>
      <c r="AB681">
        <v>0.01</v>
      </c>
      <c r="AC681">
        <v>9.01</v>
      </c>
      <c r="AD681">
        <v>14.98</v>
      </c>
      <c r="AE681">
        <v>9.7799999999999994</v>
      </c>
      <c r="AF681">
        <v>0</v>
      </c>
      <c r="AG681">
        <v>2.36</v>
      </c>
      <c r="AH681">
        <v>50.29</v>
      </c>
      <c r="AI681">
        <v>16.16</v>
      </c>
      <c r="AJ681">
        <v>6.32</v>
      </c>
      <c r="AK681">
        <v>0</v>
      </c>
      <c r="AL681">
        <v>0</v>
      </c>
      <c r="AM681">
        <v>0.11</v>
      </c>
      <c r="AN681">
        <f t="shared" si="31"/>
        <v>2</v>
      </c>
      <c r="AO681" t="str">
        <f t="shared" si="32"/>
        <v>Monday</v>
      </c>
    </row>
    <row r="682" spans="1:41" x14ac:dyDescent="0.2">
      <c r="A682" t="s">
        <v>39</v>
      </c>
      <c r="B682" s="1">
        <v>45880</v>
      </c>
      <c r="C682" s="1">
        <f t="shared" si="30"/>
        <v>45900</v>
      </c>
      <c r="D682">
        <v>28</v>
      </c>
      <c r="E682">
        <v>56</v>
      </c>
      <c r="F682">
        <v>10</v>
      </c>
      <c r="G682">
        <v>8</v>
      </c>
      <c r="H682">
        <v>15</v>
      </c>
      <c r="I682">
        <v>0</v>
      </c>
      <c r="J682">
        <v>0</v>
      </c>
      <c r="K682">
        <v>16</v>
      </c>
      <c r="L682" t="s">
        <v>39</v>
      </c>
      <c r="M682" t="s">
        <v>38</v>
      </c>
      <c r="N682" s="1">
        <v>45880</v>
      </c>
      <c r="O682" s="2">
        <v>0.54182870370370373</v>
      </c>
      <c r="P682" s="2">
        <v>0.91718750000000004</v>
      </c>
      <c r="Q682">
        <v>9</v>
      </c>
      <c r="R682">
        <v>9.01</v>
      </c>
      <c r="S682">
        <v>1.86</v>
      </c>
      <c r="T682">
        <v>0.09</v>
      </c>
      <c r="U682">
        <v>0</v>
      </c>
      <c r="V682">
        <v>0.04</v>
      </c>
      <c r="W682">
        <v>4.8899999999999997</v>
      </c>
      <c r="X682">
        <v>1.44</v>
      </c>
      <c r="Y682">
        <v>0.69</v>
      </c>
      <c r="Z682">
        <v>0</v>
      </c>
      <c r="AA682">
        <v>0</v>
      </c>
      <c r="AB682">
        <v>0</v>
      </c>
      <c r="AC682">
        <v>9.01</v>
      </c>
      <c r="AD682">
        <v>20.7</v>
      </c>
      <c r="AE682">
        <v>0.96</v>
      </c>
      <c r="AF682">
        <v>0</v>
      </c>
      <c r="AG682">
        <v>0.4</v>
      </c>
      <c r="AH682">
        <v>54.3</v>
      </c>
      <c r="AI682">
        <v>15.95</v>
      </c>
      <c r="AJ682">
        <v>7.65</v>
      </c>
      <c r="AK682">
        <v>0</v>
      </c>
      <c r="AL682">
        <v>0</v>
      </c>
      <c r="AM682">
        <v>0.05</v>
      </c>
      <c r="AN682">
        <f t="shared" si="31"/>
        <v>2</v>
      </c>
      <c r="AO682" t="str">
        <f t="shared" si="32"/>
        <v>Monday</v>
      </c>
    </row>
    <row r="683" spans="1:41" x14ac:dyDescent="0.2">
      <c r="A683" t="s">
        <v>40</v>
      </c>
      <c r="B683" s="1">
        <v>45880</v>
      </c>
      <c r="C683" s="1">
        <f t="shared" si="30"/>
        <v>45900</v>
      </c>
      <c r="D683">
        <v>17</v>
      </c>
      <c r="E683">
        <v>47</v>
      </c>
      <c r="F683">
        <v>3</v>
      </c>
      <c r="G683">
        <v>2</v>
      </c>
      <c r="H683">
        <v>14</v>
      </c>
      <c r="I683">
        <v>0</v>
      </c>
      <c r="J683">
        <v>0</v>
      </c>
      <c r="K683">
        <v>25</v>
      </c>
      <c r="L683" t="s">
        <v>40</v>
      </c>
      <c r="M683" t="s">
        <v>38</v>
      </c>
      <c r="N683" s="1">
        <v>45880</v>
      </c>
      <c r="O683" s="2">
        <v>0.54240740740740745</v>
      </c>
      <c r="P683" s="2">
        <v>0.91813657407407412</v>
      </c>
      <c r="Q683">
        <v>9.02</v>
      </c>
      <c r="R683">
        <v>9.02</v>
      </c>
      <c r="S683">
        <v>0.85</v>
      </c>
      <c r="T683">
        <v>0</v>
      </c>
      <c r="U683">
        <v>0</v>
      </c>
      <c r="V683">
        <v>0.26</v>
      </c>
      <c r="W683">
        <v>5.74</v>
      </c>
      <c r="X683">
        <v>1.52</v>
      </c>
      <c r="Y683">
        <v>0.63</v>
      </c>
      <c r="Z683">
        <v>0</v>
      </c>
      <c r="AA683">
        <v>0</v>
      </c>
      <c r="AB683">
        <v>0</v>
      </c>
      <c r="AC683">
        <v>9.02</v>
      </c>
      <c r="AD683">
        <v>9.48</v>
      </c>
      <c r="AE683">
        <v>0</v>
      </c>
      <c r="AF683">
        <v>0</v>
      </c>
      <c r="AG683">
        <v>2.92</v>
      </c>
      <c r="AH683">
        <v>63.63</v>
      </c>
      <c r="AI683">
        <v>16.89</v>
      </c>
      <c r="AJ683">
        <v>7.03</v>
      </c>
      <c r="AK683">
        <v>0</v>
      </c>
      <c r="AL683">
        <v>0</v>
      </c>
      <c r="AM683">
        <v>0.05</v>
      </c>
      <c r="AN683">
        <f t="shared" si="31"/>
        <v>2</v>
      </c>
      <c r="AO683" t="str">
        <f t="shared" si="32"/>
        <v>Monday</v>
      </c>
    </row>
    <row r="684" spans="1:41" x14ac:dyDescent="0.2">
      <c r="A684" t="s">
        <v>41</v>
      </c>
      <c r="B684" s="1">
        <v>45880</v>
      </c>
      <c r="C684" s="1">
        <f t="shared" si="30"/>
        <v>45900</v>
      </c>
      <c r="D684">
        <v>29</v>
      </c>
      <c r="E684">
        <v>66</v>
      </c>
      <c r="F684">
        <v>8</v>
      </c>
      <c r="G684">
        <v>9</v>
      </c>
      <c r="H684">
        <v>14</v>
      </c>
      <c r="I684">
        <v>0</v>
      </c>
      <c r="J684">
        <v>0</v>
      </c>
      <c r="K684">
        <v>28</v>
      </c>
      <c r="L684" t="s">
        <v>41</v>
      </c>
      <c r="M684" t="s">
        <v>38</v>
      </c>
      <c r="N684" s="1">
        <v>45880</v>
      </c>
      <c r="O684" s="2">
        <v>0.54180555555555554</v>
      </c>
      <c r="P684" s="2">
        <v>0.91671296296296301</v>
      </c>
      <c r="Q684">
        <v>9</v>
      </c>
      <c r="R684">
        <v>9</v>
      </c>
      <c r="S684">
        <v>1.89</v>
      </c>
      <c r="T684">
        <v>0.21</v>
      </c>
      <c r="U684">
        <v>0</v>
      </c>
      <c r="V684">
        <v>0.34</v>
      </c>
      <c r="W684">
        <v>4.0999999999999996</v>
      </c>
      <c r="X684">
        <v>1.44</v>
      </c>
      <c r="Y684">
        <v>1.01</v>
      </c>
      <c r="Z684">
        <v>0</v>
      </c>
      <c r="AA684">
        <v>0</v>
      </c>
      <c r="AB684">
        <v>0</v>
      </c>
      <c r="AC684">
        <v>9</v>
      </c>
      <c r="AD684">
        <v>21.01</v>
      </c>
      <c r="AE684">
        <v>2.34</v>
      </c>
      <c r="AF684">
        <v>0</v>
      </c>
      <c r="AG684">
        <v>3.82</v>
      </c>
      <c r="AH684">
        <v>45.53</v>
      </c>
      <c r="AI684">
        <v>15.98</v>
      </c>
      <c r="AJ684">
        <v>11.27</v>
      </c>
      <c r="AK684">
        <v>0</v>
      </c>
      <c r="AL684">
        <v>0</v>
      </c>
      <c r="AM684">
        <v>0.04</v>
      </c>
      <c r="AN684">
        <f t="shared" si="31"/>
        <v>2</v>
      </c>
      <c r="AO684" t="str">
        <f t="shared" si="32"/>
        <v>Monday</v>
      </c>
    </row>
    <row r="685" spans="1:41" x14ac:dyDescent="0.2">
      <c r="A685" t="s">
        <v>42</v>
      </c>
      <c r="B685" s="1">
        <v>45880</v>
      </c>
      <c r="C685" s="1">
        <f t="shared" si="30"/>
        <v>45900</v>
      </c>
      <c r="D685">
        <v>1</v>
      </c>
      <c r="E685">
        <v>1</v>
      </c>
      <c r="F685">
        <v>0</v>
      </c>
      <c r="G685">
        <v>0</v>
      </c>
      <c r="H685">
        <v>0</v>
      </c>
      <c r="I685">
        <v>0</v>
      </c>
      <c r="J685">
        <v>0</v>
      </c>
      <c r="K685">
        <v>0</v>
      </c>
      <c r="L685" t="s">
        <v>42</v>
      </c>
      <c r="M685" t="s">
        <v>38</v>
      </c>
      <c r="N685" s="1">
        <v>45880</v>
      </c>
      <c r="O685" s="2">
        <v>0.55962962962962959</v>
      </c>
      <c r="P685" s="2">
        <v>0.92730324074074078</v>
      </c>
      <c r="Q685">
        <v>8.83</v>
      </c>
      <c r="R685">
        <v>0.99</v>
      </c>
      <c r="S685">
        <v>0.65</v>
      </c>
      <c r="T685">
        <v>0</v>
      </c>
      <c r="U685">
        <v>0</v>
      </c>
      <c r="V685">
        <v>0.01</v>
      </c>
      <c r="W685">
        <v>0</v>
      </c>
      <c r="X685">
        <v>0</v>
      </c>
      <c r="Y685">
        <v>0</v>
      </c>
      <c r="Z685">
        <v>0</v>
      </c>
      <c r="AA685">
        <v>0</v>
      </c>
      <c r="AB685">
        <v>0.33</v>
      </c>
      <c r="AC685">
        <v>0.99</v>
      </c>
      <c r="AD685">
        <v>65.64</v>
      </c>
      <c r="AE685">
        <v>0</v>
      </c>
      <c r="AF685">
        <v>0</v>
      </c>
      <c r="AG685">
        <v>0.98</v>
      </c>
      <c r="AH685">
        <v>0</v>
      </c>
      <c r="AI685">
        <v>0</v>
      </c>
      <c r="AJ685">
        <v>0</v>
      </c>
      <c r="AK685">
        <v>0</v>
      </c>
      <c r="AL685">
        <v>0</v>
      </c>
      <c r="AM685">
        <v>33.380000000000003</v>
      </c>
      <c r="AN685">
        <f t="shared" si="31"/>
        <v>2</v>
      </c>
      <c r="AO685" t="str">
        <f t="shared" si="32"/>
        <v>Monday</v>
      </c>
    </row>
    <row r="686" spans="1:41" x14ac:dyDescent="0.2">
      <c r="A686" t="s">
        <v>43</v>
      </c>
      <c r="B686" s="1">
        <v>45880</v>
      </c>
      <c r="C686" s="1">
        <f t="shared" si="30"/>
        <v>45900</v>
      </c>
      <c r="D686">
        <v>33</v>
      </c>
      <c r="E686">
        <v>85</v>
      </c>
      <c r="F686">
        <v>7</v>
      </c>
      <c r="G686">
        <v>17</v>
      </c>
      <c r="H686">
        <v>8</v>
      </c>
      <c r="I686">
        <v>0</v>
      </c>
      <c r="J686">
        <v>0</v>
      </c>
      <c r="K686">
        <v>38</v>
      </c>
      <c r="L686" t="s">
        <v>43</v>
      </c>
      <c r="M686" t="s">
        <v>38</v>
      </c>
      <c r="N686" s="1">
        <v>45880</v>
      </c>
      <c r="O686" s="2">
        <v>0.54245370370370372</v>
      </c>
      <c r="P686" s="2">
        <v>0.92170138888888886</v>
      </c>
      <c r="Q686">
        <v>9.1</v>
      </c>
      <c r="R686">
        <v>9.1</v>
      </c>
      <c r="S686">
        <v>2.04</v>
      </c>
      <c r="T686">
        <v>0.12</v>
      </c>
      <c r="U686">
        <v>0</v>
      </c>
      <c r="V686">
        <v>0.38</v>
      </c>
      <c r="W686">
        <v>4.6100000000000003</v>
      </c>
      <c r="X686">
        <v>1.4</v>
      </c>
      <c r="Y686">
        <v>0.54</v>
      </c>
      <c r="Z686">
        <v>0</v>
      </c>
      <c r="AA686">
        <v>0</v>
      </c>
      <c r="AB686">
        <v>0</v>
      </c>
      <c r="AC686">
        <v>9.1</v>
      </c>
      <c r="AD686">
        <v>22.47</v>
      </c>
      <c r="AE686">
        <v>1.35</v>
      </c>
      <c r="AF686">
        <v>0</v>
      </c>
      <c r="AG686">
        <v>4.1900000000000004</v>
      </c>
      <c r="AH686">
        <v>50.66</v>
      </c>
      <c r="AI686">
        <v>15.36</v>
      </c>
      <c r="AJ686">
        <v>5.94</v>
      </c>
      <c r="AK686">
        <v>0</v>
      </c>
      <c r="AL686">
        <v>0</v>
      </c>
      <c r="AM686">
        <v>0.04</v>
      </c>
      <c r="AN686">
        <f t="shared" si="31"/>
        <v>2</v>
      </c>
      <c r="AO686" t="str">
        <f t="shared" si="32"/>
        <v>Monday</v>
      </c>
    </row>
    <row r="687" spans="1:41" x14ac:dyDescent="0.2">
      <c r="B687" s="1">
        <v>45880</v>
      </c>
      <c r="C687" s="1">
        <f t="shared" si="30"/>
        <v>45900</v>
      </c>
      <c r="D687">
        <v>452</v>
      </c>
      <c r="E687">
        <v>0</v>
      </c>
      <c r="F687">
        <v>0</v>
      </c>
      <c r="G687">
        <v>0</v>
      </c>
      <c r="H687">
        <v>0</v>
      </c>
      <c r="I687">
        <v>0</v>
      </c>
      <c r="J687">
        <v>0</v>
      </c>
      <c r="K687">
        <v>0</v>
      </c>
      <c r="AN687">
        <f t="shared" si="31"/>
        <v>2</v>
      </c>
      <c r="AO687" t="str">
        <f t="shared" si="32"/>
        <v>Monday</v>
      </c>
    </row>
    <row r="688" spans="1:41" x14ac:dyDescent="0.2">
      <c r="A688" t="s">
        <v>40</v>
      </c>
      <c r="B688" s="1">
        <v>45877</v>
      </c>
      <c r="C688" s="1">
        <f t="shared" si="30"/>
        <v>45900</v>
      </c>
      <c r="D688">
        <v>24</v>
      </c>
      <c r="E688">
        <v>56</v>
      </c>
      <c r="F688">
        <v>10</v>
      </c>
      <c r="G688">
        <v>0</v>
      </c>
      <c r="H688">
        <v>11</v>
      </c>
      <c r="I688">
        <v>1</v>
      </c>
      <c r="J688">
        <v>0</v>
      </c>
      <c r="K688">
        <v>19</v>
      </c>
      <c r="L688" t="s">
        <v>40</v>
      </c>
      <c r="M688" t="s">
        <v>38</v>
      </c>
      <c r="N688" s="1">
        <v>45877</v>
      </c>
      <c r="O688" s="2">
        <v>0.54189814814814818</v>
      </c>
      <c r="P688" s="2">
        <v>0.91670138888888886</v>
      </c>
      <c r="Q688">
        <v>9</v>
      </c>
      <c r="R688">
        <v>9</v>
      </c>
      <c r="S688">
        <v>1.61</v>
      </c>
      <c r="T688">
        <v>0</v>
      </c>
      <c r="U688">
        <v>0</v>
      </c>
      <c r="V688">
        <v>0.28000000000000003</v>
      </c>
      <c r="W688">
        <v>4.76</v>
      </c>
      <c r="X688">
        <v>1.28</v>
      </c>
      <c r="Y688">
        <v>1.06</v>
      </c>
      <c r="Z688">
        <v>0</v>
      </c>
      <c r="AA688">
        <v>0</v>
      </c>
      <c r="AB688">
        <v>0</v>
      </c>
      <c r="AC688">
        <v>9</v>
      </c>
      <c r="AD688">
        <v>17.95</v>
      </c>
      <c r="AE688">
        <v>0</v>
      </c>
      <c r="AF688">
        <v>0</v>
      </c>
      <c r="AG688">
        <v>3.13</v>
      </c>
      <c r="AH688">
        <v>52.89</v>
      </c>
      <c r="AI688">
        <v>14.19</v>
      </c>
      <c r="AJ688">
        <v>11.8</v>
      </c>
      <c r="AK688">
        <v>0</v>
      </c>
      <c r="AL688">
        <v>0</v>
      </c>
      <c r="AM688">
        <v>0.04</v>
      </c>
      <c r="AN688">
        <f t="shared" si="31"/>
        <v>6</v>
      </c>
      <c r="AO688" t="str">
        <f t="shared" si="32"/>
        <v>Friday</v>
      </c>
    </row>
    <row r="689" spans="1:41" x14ac:dyDescent="0.2">
      <c r="A689" t="s">
        <v>41</v>
      </c>
      <c r="B689" s="1">
        <v>45877</v>
      </c>
      <c r="C689" s="1">
        <f t="shared" si="30"/>
        <v>45900</v>
      </c>
      <c r="D689">
        <v>23</v>
      </c>
      <c r="E689">
        <v>40</v>
      </c>
      <c r="F689">
        <v>9</v>
      </c>
      <c r="G689">
        <v>2</v>
      </c>
      <c r="H689">
        <v>5</v>
      </c>
      <c r="I689">
        <v>0</v>
      </c>
      <c r="J689">
        <v>1</v>
      </c>
      <c r="K689">
        <v>14</v>
      </c>
      <c r="L689" t="s">
        <v>41</v>
      </c>
      <c r="M689" t="s">
        <v>38</v>
      </c>
      <c r="N689" s="1">
        <v>45877</v>
      </c>
      <c r="O689" s="2">
        <v>0.54172453703703705</v>
      </c>
      <c r="P689" s="2">
        <v>0.91636574074074073</v>
      </c>
      <c r="Q689">
        <v>8.98</v>
      </c>
      <c r="R689">
        <v>8.99</v>
      </c>
      <c r="S689">
        <v>1.93</v>
      </c>
      <c r="T689">
        <v>0.18</v>
      </c>
      <c r="U689">
        <v>0</v>
      </c>
      <c r="V689">
        <v>0.26</v>
      </c>
      <c r="W689">
        <v>5.17</v>
      </c>
      <c r="X689">
        <v>1.46</v>
      </c>
      <c r="Y689">
        <v>0</v>
      </c>
      <c r="Z689">
        <v>0</v>
      </c>
      <c r="AA689">
        <v>0</v>
      </c>
      <c r="AB689">
        <v>0</v>
      </c>
      <c r="AC689">
        <v>8.99</v>
      </c>
      <c r="AD689">
        <v>21.45</v>
      </c>
      <c r="AE689">
        <v>2.0099999999999998</v>
      </c>
      <c r="AF689">
        <v>0</v>
      </c>
      <c r="AG689">
        <v>2.85</v>
      </c>
      <c r="AH689">
        <v>57.48</v>
      </c>
      <c r="AI689">
        <v>16.18</v>
      </c>
      <c r="AJ689">
        <v>0</v>
      </c>
      <c r="AK689">
        <v>0</v>
      </c>
      <c r="AL689">
        <v>0</v>
      </c>
      <c r="AM689">
        <v>0.04</v>
      </c>
      <c r="AN689">
        <f t="shared" si="31"/>
        <v>6</v>
      </c>
      <c r="AO689" t="str">
        <f t="shared" si="32"/>
        <v>Friday</v>
      </c>
    </row>
    <row r="690" spans="1:41" x14ac:dyDescent="0.2">
      <c r="A690" t="s">
        <v>42</v>
      </c>
      <c r="B690" s="1">
        <v>45877</v>
      </c>
      <c r="C690" s="1">
        <f t="shared" si="30"/>
        <v>45900</v>
      </c>
      <c r="D690">
        <v>2</v>
      </c>
      <c r="E690">
        <v>2</v>
      </c>
      <c r="F690">
        <v>0</v>
      </c>
      <c r="G690">
        <v>0</v>
      </c>
      <c r="H690">
        <v>0</v>
      </c>
      <c r="I690">
        <v>0</v>
      </c>
      <c r="J690">
        <v>0</v>
      </c>
      <c r="K690">
        <v>0</v>
      </c>
      <c r="L690" t="s">
        <v>42</v>
      </c>
      <c r="M690" t="s">
        <v>38</v>
      </c>
      <c r="N690" s="1">
        <v>45877</v>
      </c>
      <c r="O690" s="2">
        <v>0.57938657407407412</v>
      </c>
      <c r="P690" s="2">
        <v>0.92561342592592588</v>
      </c>
      <c r="Q690">
        <v>8.3000000000000007</v>
      </c>
      <c r="R690">
        <v>2.76</v>
      </c>
      <c r="S690">
        <v>2.63</v>
      </c>
      <c r="T690">
        <v>0</v>
      </c>
      <c r="U690">
        <v>0</v>
      </c>
      <c r="V690">
        <v>0.1</v>
      </c>
      <c r="W690">
        <v>0</v>
      </c>
      <c r="X690">
        <v>0</v>
      </c>
      <c r="Y690">
        <v>0</v>
      </c>
      <c r="Z690">
        <v>0</v>
      </c>
      <c r="AA690">
        <v>0</v>
      </c>
      <c r="AB690">
        <v>0.03</v>
      </c>
      <c r="AC690">
        <v>2.76</v>
      </c>
      <c r="AD690">
        <v>95.31</v>
      </c>
      <c r="AE690">
        <v>0</v>
      </c>
      <c r="AF690">
        <v>0</v>
      </c>
      <c r="AG690">
        <v>3.64</v>
      </c>
      <c r="AH690">
        <v>0</v>
      </c>
      <c r="AI690">
        <v>0</v>
      </c>
      <c r="AJ690">
        <v>0</v>
      </c>
      <c r="AK690">
        <v>0</v>
      </c>
      <c r="AL690">
        <v>0</v>
      </c>
      <c r="AM690">
        <v>1.05</v>
      </c>
      <c r="AN690">
        <f t="shared" si="31"/>
        <v>6</v>
      </c>
      <c r="AO690" t="str">
        <f t="shared" si="32"/>
        <v>Friday</v>
      </c>
    </row>
    <row r="691" spans="1:41" x14ac:dyDescent="0.2">
      <c r="A691" t="s">
        <v>43</v>
      </c>
      <c r="B691" s="1">
        <v>45877</v>
      </c>
      <c r="C691" s="1">
        <f t="shared" si="30"/>
        <v>45900</v>
      </c>
      <c r="D691">
        <v>25</v>
      </c>
      <c r="E691">
        <v>61</v>
      </c>
      <c r="F691">
        <v>8</v>
      </c>
      <c r="G691">
        <v>1</v>
      </c>
      <c r="H691">
        <v>9</v>
      </c>
      <c r="I691">
        <v>0</v>
      </c>
      <c r="J691">
        <v>0</v>
      </c>
      <c r="K691">
        <v>26</v>
      </c>
      <c r="L691" t="s">
        <v>43</v>
      </c>
      <c r="M691" t="s">
        <v>38</v>
      </c>
      <c r="N691" s="1">
        <v>45877</v>
      </c>
      <c r="O691" s="2">
        <v>0.54148148148148145</v>
      </c>
      <c r="P691" s="2">
        <v>0.91858796296296297</v>
      </c>
      <c r="Q691">
        <v>9.0500000000000007</v>
      </c>
      <c r="R691">
        <v>9.0500000000000007</v>
      </c>
      <c r="S691">
        <v>1.51</v>
      </c>
      <c r="T691">
        <v>0.1</v>
      </c>
      <c r="U691">
        <v>0</v>
      </c>
      <c r="V691">
        <v>0.44</v>
      </c>
      <c r="W691">
        <v>5.13</v>
      </c>
      <c r="X691">
        <v>1.86</v>
      </c>
      <c r="Y691">
        <v>0</v>
      </c>
      <c r="Z691">
        <v>0</v>
      </c>
      <c r="AA691">
        <v>0</v>
      </c>
      <c r="AB691">
        <v>0</v>
      </c>
      <c r="AC691">
        <v>9.0500000000000007</v>
      </c>
      <c r="AD691">
        <v>16.690000000000001</v>
      </c>
      <c r="AE691">
        <v>1.06</v>
      </c>
      <c r="AF691">
        <v>0</v>
      </c>
      <c r="AG691">
        <v>4.8899999999999997</v>
      </c>
      <c r="AH691">
        <v>56.72</v>
      </c>
      <c r="AI691">
        <v>20.6</v>
      </c>
      <c r="AJ691">
        <v>0</v>
      </c>
      <c r="AK691">
        <v>0</v>
      </c>
      <c r="AL691">
        <v>0</v>
      </c>
      <c r="AM691">
        <v>0.04</v>
      </c>
      <c r="AN691">
        <f t="shared" si="31"/>
        <v>6</v>
      </c>
      <c r="AO691" t="str">
        <f t="shared" si="32"/>
        <v>Friday</v>
      </c>
    </row>
    <row r="692" spans="1:41" x14ac:dyDescent="0.2">
      <c r="B692" s="1">
        <v>45877</v>
      </c>
      <c r="C692" s="1">
        <f t="shared" si="30"/>
        <v>45900</v>
      </c>
      <c r="D692">
        <v>446</v>
      </c>
      <c r="E692">
        <v>0</v>
      </c>
      <c r="F692">
        <v>0</v>
      </c>
      <c r="G692">
        <v>0</v>
      </c>
      <c r="H692">
        <v>0</v>
      </c>
      <c r="I692">
        <v>0</v>
      </c>
      <c r="J692">
        <v>0</v>
      </c>
      <c r="K692">
        <v>0</v>
      </c>
      <c r="AN692">
        <f t="shared" si="31"/>
        <v>6</v>
      </c>
      <c r="AO692" t="str">
        <f t="shared" si="32"/>
        <v>Friday</v>
      </c>
    </row>
    <row r="693" spans="1:41" x14ac:dyDescent="0.2">
      <c r="A693" t="s">
        <v>39</v>
      </c>
      <c r="B693" s="1">
        <v>45876</v>
      </c>
      <c r="C693" s="1">
        <f t="shared" si="30"/>
        <v>45900</v>
      </c>
      <c r="D693">
        <v>24</v>
      </c>
      <c r="E693">
        <v>38</v>
      </c>
      <c r="F693">
        <v>5</v>
      </c>
      <c r="G693">
        <v>2</v>
      </c>
      <c r="H693">
        <v>0</v>
      </c>
      <c r="I693">
        <v>0</v>
      </c>
      <c r="J693">
        <v>0</v>
      </c>
      <c r="K693">
        <v>17</v>
      </c>
      <c r="L693" t="s">
        <v>39</v>
      </c>
      <c r="M693" t="s">
        <v>38</v>
      </c>
      <c r="N693" s="1">
        <v>45876</v>
      </c>
      <c r="O693" s="2">
        <v>0.54178240740740746</v>
      </c>
      <c r="P693" s="2">
        <v>0.91672453703703705</v>
      </c>
      <c r="Q693">
        <v>9</v>
      </c>
      <c r="R693">
        <v>9</v>
      </c>
      <c r="S693">
        <v>1.22</v>
      </c>
      <c r="T693">
        <v>0.04</v>
      </c>
      <c r="U693">
        <v>0</v>
      </c>
      <c r="V693">
        <v>0.03</v>
      </c>
      <c r="W693">
        <v>6.22</v>
      </c>
      <c r="X693">
        <v>1.49</v>
      </c>
      <c r="Y693">
        <v>0</v>
      </c>
      <c r="Z693">
        <v>0</v>
      </c>
      <c r="AA693">
        <v>0</v>
      </c>
      <c r="AB693">
        <v>0</v>
      </c>
      <c r="AC693">
        <v>9</v>
      </c>
      <c r="AD693">
        <v>13.52</v>
      </c>
      <c r="AE693">
        <v>0.43</v>
      </c>
      <c r="AF693">
        <v>0.01</v>
      </c>
      <c r="AG693">
        <v>0.3</v>
      </c>
      <c r="AH693">
        <v>69.09</v>
      </c>
      <c r="AI693">
        <v>16.600000000000001</v>
      </c>
      <c r="AJ693">
        <v>0</v>
      </c>
      <c r="AK693">
        <v>0</v>
      </c>
      <c r="AL693">
        <v>0</v>
      </c>
      <c r="AM693">
        <v>0.04</v>
      </c>
      <c r="AN693">
        <f t="shared" si="31"/>
        <v>5</v>
      </c>
      <c r="AO693" t="str">
        <f t="shared" si="32"/>
        <v>Thursday</v>
      </c>
    </row>
    <row r="694" spans="1:41" x14ac:dyDescent="0.2">
      <c r="A694" t="s">
        <v>40</v>
      </c>
      <c r="B694" s="1">
        <v>45876</v>
      </c>
      <c r="C694" s="1">
        <f t="shared" si="30"/>
        <v>45900</v>
      </c>
      <c r="D694">
        <v>23</v>
      </c>
      <c r="E694">
        <v>55</v>
      </c>
      <c r="F694">
        <v>4</v>
      </c>
      <c r="G694">
        <v>1</v>
      </c>
      <c r="H694">
        <v>9</v>
      </c>
      <c r="I694">
        <v>4</v>
      </c>
      <c r="J694">
        <v>0</v>
      </c>
      <c r="K694">
        <v>17</v>
      </c>
      <c r="L694" t="s">
        <v>40</v>
      </c>
      <c r="M694" t="s">
        <v>38</v>
      </c>
      <c r="N694" s="1">
        <v>45876</v>
      </c>
      <c r="O694" s="2">
        <v>0.5427777777777778</v>
      </c>
      <c r="P694" s="2">
        <v>0.91671296296296301</v>
      </c>
      <c r="Q694">
        <v>8.98</v>
      </c>
      <c r="R694">
        <v>8.98</v>
      </c>
      <c r="S694">
        <v>1.28</v>
      </c>
      <c r="T694">
        <v>0</v>
      </c>
      <c r="U694">
        <v>0</v>
      </c>
      <c r="V694">
        <v>0.27</v>
      </c>
      <c r="W694">
        <v>6.18</v>
      </c>
      <c r="X694">
        <v>1.24</v>
      </c>
      <c r="Y694">
        <v>0</v>
      </c>
      <c r="Z694">
        <v>0</v>
      </c>
      <c r="AA694">
        <v>0</v>
      </c>
      <c r="AB694">
        <v>0</v>
      </c>
      <c r="AC694">
        <v>8.98</v>
      </c>
      <c r="AD694">
        <v>14.25</v>
      </c>
      <c r="AE694">
        <v>0</v>
      </c>
      <c r="AF694">
        <v>0</v>
      </c>
      <c r="AG694">
        <v>3</v>
      </c>
      <c r="AH694">
        <v>68.84</v>
      </c>
      <c r="AI694">
        <v>13.86</v>
      </c>
      <c r="AJ694">
        <v>0</v>
      </c>
      <c r="AK694">
        <v>0</v>
      </c>
      <c r="AL694">
        <v>0</v>
      </c>
      <c r="AM694">
        <v>0.05</v>
      </c>
      <c r="AN694">
        <f t="shared" si="31"/>
        <v>5</v>
      </c>
      <c r="AO694" t="str">
        <f t="shared" si="32"/>
        <v>Thursday</v>
      </c>
    </row>
    <row r="695" spans="1:41" x14ac:dyDescent="0.2">
      <c r="A695" t="s">
        <v>41</v>
      </c>
      <c r="B695" s="1">
        <v>45876</v>
      </c>
      <c r="C695" s="1">
        <f t="shared" si="30"/>
        <v>45900</v>
      </c>
      <c r="D695">
        <v>19</v>
      </c>
      <c r="E695">
        <v>43</v>
      </c>
      <c r="F695">
        <v>0</v>
      </c>
      <c r="G695">
        <v>5</v>
      </c>
      <c r="H695">
        <v>6</v>
      </c>
      <c r="I695">
        <v>1</v>
      </c>
      <c r="J695">
        <v>1</v>
      </c>
      <c r="K695">
        <v>21</v>
      </c>
      <c r="L695" t="s">
        <v>41</v>
      </c>
      <c r="M695" t="s">
        <v>38</v>
      </c>
      <c r="N695" s="1">
        <v>45876</v>
      </c>
      <c r="O695" s="2">
        <v>0.54174768518518523</v>
      </c>
      <c r="P695" s="2">
        <v>0.91697916666666668</v>
      </c>
      <c r="Q695">
        <v>9</v>
      </c>
      <c r="R695">
        <v>9</v>
      </c>
      <c r="S695">
        <v>0.87</v>
      </c>
      <c r="T695">
        <v>0.31</v>
      </c>
      <c r="U695">
        <v>0</v>
      </c>
      <c r="V695">
        <v>0.18</v>
      </c>
      <c r="W695">
        <v>6.18</v>
      </c>
      <c r="X695">
        <v>1.47</v>
      </c>
      <c r="Y695">
        <v>0</v>
      </c>
      <c r="Z695">
        <v>0</v>
      </c>
      <c r="AA695">
        <v>0</v>
      </c>
      <c r="AB695">
        <v>0</v>
      </c>
      <c r="AC695">
        <v>9</v>
      </c>
      <c r="AD695">
        <v>9.6199999999999992</v>
      </c>
      <c r="AE695">
        <v>3.48</v>
      </c>
      <c r="AF695">
        <v>0</v>
      </c>
      <c r="AG695">
        <v>1.98</v>
      </c>
      <c r="AH695">
        <v>68.61</v>
      </c>
      <c r="AI695">
        <v>16.27</v>
      </c>
      <c r="AJ695">
        <v>0</v>
      </c>
      <c r="AK695">
        <v>0</v>
      </c>
      <c r="AL695">
        <v>0</v>
      </c>
      <c r="AM695">
        <v>0.04</v>
      </c>
      <c r="AN695">
        <f t="shared" si="31"/>
        <v>5</v>
      </c>
      <c r="AO695" t="str">
        <f t="shared" si="32"/>
        <v>Thursday</v>
      </c>
    </row>
    <row r="696" spans="1:41" x14ac:dyDescent="0.2">
      <c r="A696" t="s">
        <v>43</v>
      </c>
      <c r="B696" s="1">
        <v>45876</v>
      </c>
      <c r="C696" s="1">
        <f t="shared" si="30"/>
        <v>45900</v>
      </c>
      <c r="D696">
        <v>14</v>
      </c>
      <c r="E696">
        <v>25</v>
      </c>
      <c r="F696">
        <v>2</v>
      </c>
      <c r="G696">
        <v>2</v>
      </c>
      <c r="H696">
        <v>3</v>
      </c>
      <c r="I696">
        <v>0</v>
      </c>
      <c r="J696">
        <v>1</v>
      </c>
      <c r="K696">
        <v>11</v>
      </c>
      <c r="L696" t="s">
        <v>43</v>
      </c>
      <c r="M696" t="s">
        <v>38</v>
      </c>
      <c r="N696" s="1">
        <v>45876</v>
      </c>
      <c r="O696" s="2">
        <v>0.54217592592592589</v>
      </c>
      <c r="P696" s="2">
        <v>0.91946759259259259</v>
      </c>
      <c r="Q696">
        <v>9.07</v>
      </c>
      <c r="R696">
        <v>9.0500000000000007</v>
      </c>
      <c r="S696">
        <v>0.66</v>
      </c>
      <c r="T696">
        <v>0.19</v>
      </c>
      <c r="U696">
        <v>0</v>
      </c>
      <c r="V696">
        <v>0.36</v>
      </c>
      <c r="W696">
        <v>6.38</v>
      </c>
      <c r="X696">
        <v>1.46</v>
      </c>
      <c r="Y696">
        <v>0</v>
      </c>
      <c r="Z696">
        <v>0</v>
      </c>
      <c r="AA696">
        <v>0</v>
      </c>
      <c r="AB696">
        <v>0</v>
      </c>
      <c r="AC696">
        <v>9.0500000000000007</v>
      </c>
      <c r="AD696">
        <v>7.26</v>
      </c>
      <c r="AE696">
        <v>2.0499999999999998</v>
      </c>
      <c r="AF696">
        <v>0</v>
      </c>
      <c r="AG696">
        <v>3.99</v>
      </c>
      <c r="AH696">
        <v>70.48</v>
      </c>
      <c r="AI696">
        <v>16.170000000000002</v>
      </c>
      <c r="AJ696">
        <v>0.02</v>
      </c>
      <c r="AK696">
        <v>0</v>
      </c>
      <c r="AL696">
        <v>0</v>
      </c>
      <c r="AM696">
        <v>0.04</v>
      </c>
      <c r="AN696">
        <f t="shared" si="31"/>
        <v>5</v>
      </c>
      <c r="AO696" t="str">
        <f t="shared" si="32"/>
        <v>Thursday</v>
      </c>
    </row>
    <row r="697" spans="1:41" x14ac:dyDescent="0.2">
      <c r="B697" s="1">
        <v>45876</v>
      </c>
      <c r="C697" s="1">
        <f t="shared" si="30"/>
        <v>45900</v>
      </c>
      <c r="D697">
        <v>450</v>
      </c>
      <c r="E697">
        <v>0</v>
      </c>
      <c r="F697">
        <v>0</v>
      </c>
      <c r="G697">
        <v>0</v>
      </c>
      <c r="H697">
        <v>0</v>
      </c>
      <c r="I697">
        <v>0</v>
      </c>
      <c r="J697">
        <v>0</v>
      </c>
      <c r="K697">
        <v>0</v>
      </c>
      <c r="AN697">
        <f t="shared" si="31"/>
        <v>5</v>
      </c>
      <c r="AO697" t="str">
        <f t="shared" si="32"/>
        <v>Thursday</v>
      </c>
    </row>
    <row r="698" spans="1:41" x14ac:dyDescent="0.2">
      <c r="A698" t="s">
        <v>37</v>
      </c>
      <c r="B698" s="1">
        <v>45875</v>
      </c>
      <c r="C698" s="1">
        <f t="shared" si="30"/>
        <v>45900</v>
      </c>
      <c r="D698">
        <v>27</v>
      </c>
      <c r="E698">
        <v>56</v>
      </c>
      <c r="F698">
        <v>9</v>
      </c>
      <c r="G698">
        <v>3</v>
      </c>
      <c r="H698">
        <v>4</v>
      </c>
      <c r="I698">
        <v>1</v>
      </c>
      <c r="J698">
        <v>0</v>
      </c>
      <c r="K698">
        <v>22</v>
      </c>
      <c r="L698" t="s">
        <v>37</v>
      </c>
      <c r="M698" t="s">
        <v>38</v>
      </c>
      <c r="N698" s="1">
        <v>45875</v>
      </c>
      <c r="O698" s="2">
        <v>0.54152777777777783</v>
      </c>
      <c r="P698" s="2">
        <v>0.91745370370370372</v>
      </c>
      <c r="Q698">
        <v>9.0299999999999994</v>
      </c>
      <c r="R698">
        <v>9.02</v>
      </c>
      <c r="S698">
        <v>2.16</v>
      </c>
      <c r="T698">
        <v>0.59</v>
      </c>
      <c r="U698">
        <v>0</v>
      </c>
      <c r="V698">
        <v>0.37</v>
      </c>
      <c r="W698">
        <v>4.3</v>
      </c>
      <c r="X698">
        <v>1.46</v>
      </c>
      <c r="Y698">
        <v>0.13</v>
      </c>
      <c r="Z698">
        <v>0</v>
      </c>
      <c r="AA698">
        <v>0</v>
      </c>
      <c r="AB698">
        <v>0.01</v>
      </c>
      <c r="AC698">
        <v>9.02</v>
      </c>
      <c r="AD698">
        <v>23.99</v>
      </c>
      <c r="AE698">
        <v>6.56</v>
      </c>
      <c r="AF698">
        <v>0</v>
      </c>
      <c r="AG698">
        <v>4.0999999999999996</v>
      </c>
      <c r="AH698">
        <v>47.66</v>
      </c>
      <c r="AI698">
        <v>16.18</v>
      </c>
      <c r="AJ698">
        <v>1.41</v>
      </c>
      <c r="AK698">
        <v>0</v>
      </c>
      <c r="AL698">
        <v>0</v>
      </c>
      <c r="AM698">
        <v>0.1</v>
      </c>
      <c r="AN698">
        <f t="shared" si="31"/>
        <v>4</v>
      </c>
      <c r="AO698" t="str">
        <f t="shared" si="32"/>
        <v>Wednesday</v>
      </c>
    </row>
    <row r="699" spans="1:41" x14ac:dyDescent="0.2">
      <c r="A699" t="s">
        <v>39</v>
      </c>
      <c r="B699" s="1">
        <v>45875</v>
      </c>
      <c r="C699" s="1">
        <f t="shared" si="30"/>
        <v>45900</v>
      </c>
      <c r="D699">
        <v>23</v>
      </c>
      <c r="E699">
        <v>53</v>
      </c>
      <c r="F699">
        <v>7</v>
      </c>
      <c r="G699">
        <v>5</v>
      </c>
      <c r="H699">
        <v>5</v>
      </c>
      <c r="I699">
        <v>0</v>
      </c>
      <c r="J699">
        <v>0</v>
      </c>
      <c r="K699">
        <v>18</v>
      </c>
      <c r="L699" t="s">
        <v>39</v>
      </c>
      <c r="M699" t="s">
        <v>38</v>
      </c>
      <c r="N699" s="1">
        <v>45875</v>
      </c>
      <c r="O699" s="2">
        <v>0.54184027777777777</v>
      </c>
      <c r="P699" s="2">
        <v>0.91668981481481482</v>
      </c>
      <c r="Q699">
        <v>9</v>
      </c>
      <c r="R699">
        <v>9</v>
      </c>
      <c r="S699">
        <v>1.7</v>
      </c>
      <c r="T699">
        <v>0.16</v>
      </c>
      <c r="U699">
        <v>0</v>
      </c>
      <c r="V699">
        <v>0.02</v>
      </c>
      <c r="W699">
        <v>5.61</v>
      </c>
      <c r="X699">
        <v>1.51</v>
      </c>
      <c r="Y699">
        <v>0</v>
      </c>
      <c r="Z699">
        <v>0</v>
      </c>
      <c r="AA699">
        <v>0</v>
      </c>
      <c r="AB699">
        <v>0</v>
      </c>
      <c r="AC699">
        <v>9</v>
      </c>
      <c r="AD699">
        <v>18.93</v>
      </c>
      <c r="AE699">
        <v>1.73</v>
      </c>
      <c r="AF699">
        <v>0</v>
      </c>
      <c r="AG699">
        <v>0.19</v>
      </c>
      <c r="AH699">
        <v>62.38</v>
      </c>
      <c r="AI699">
        <v>16.73</v>
      </c>
      <c r="AJ699">
        <v>0</v>
      </c>
      <c r="AK699">
        <v>0</v>
      </c>
      <c r="AL699">
        <v>0</v>
      </c>
      <c r="AM699">
        <v>0.05</v>
      </c>
      <c r="AN699">
        <f t="shared" si="31"/>
        <v>4</v>
      </c>
      <c r="AO699" t="str">
        <f t="shared" si="32"/>
        <v>Wednesday</v>
      </c>
    </row>
    <row r="700" spans="1:41" x14ac:dyDescent="0.2">
      <c r="A700" t="s">
        <v>40</v>
      </c>
      <c r="B700" s="1">
        <v>45875</v>
      </c>
      <c r="C700" s="1">
        <f t="shared" si="30"/>
        <v>45900</v>
      </c>
      <c r="D700">
        <v>22</v>
      </c>
      <c r="E700">
        <v>37</v>
      </c>
      <c r="F700">
        <v>5</v>
      </c>
      <c r="G700">
        <v>3</v>
      </c>
      <c r="H700">
        <v>7</v>
      </c>
      <c r="I700">
        <v>0</v>
      </c>
      <c r="J700">
        <v>0</v>
      </c>
      <c r="K700">
        <v>12</v>
      </c>
      <c r="L700" t="s">
        <v>40</v>
      </c>
      <c r="M700" t="s">
        <v>38</v>
      </c>
      <c r="N700" s="1">
        <v>45875</v>
      </c>
      <c r="O700" s="2">
        <v>0.54118055555555555</v>
      </c>
      <c r="P700" s="2">
        <v>0.92325231481481485</v>
      </c>
      <c r="Q700">
        <v>9.17</v>
      </c>
      <c r="R700">
        <v>9.17</v>
      </c>
      <c r="S700">
        <v>1.65</v>
      </c>
      <c r="T700">
        <v>0</v>
      </c>
      <c r="U700">
        <v>0</v>
      </c>
      <c r="V700">
        <v>0.56000000000000005</v>
      </c>
      <c r="W700">
        <v>5.05</v>
      </c>
      <c r="X700">
        <v>1.51</v>
      </c>
      <c r="Y700">
        <v>0.3</v>
      </c>
      <c r="Z700">
        <v>0</v>
      </c>
      <c r="AA700">
        <v>0.09</v>
      </c>
      <c r="AB700">
        <v>0.01</v>
      </c>
      <c r="AC700">
        <v>9.17</v>
      </c>
      <c r="AD700">
        <v>18.010000000000002</v>
      </c>
      <c r="AE700">
        <v>0</v>
      </c>
      <c r="AF700">
        <v>0</v>
      </c>
      <c r="AG700">
        <v>6.14</v>
      </c>
      <c r="AH700">
        <v>55.09</v>
      </c>
      <c r="AI700">
        <v>16.47</v>
      </c>
      <c r="AJ700">
        <v>3.24</v>
      </c>
      <c r="AK700">
        <v>0</v>
      </c>
      <c r="AL700">
        <v>0.94</v>
      </c>
      <c r="AM700">
        <v>0.13</v>
      </c>
      <c r="AN700">
        <f t="shared" si="31"/>
        <v>4</v>
      </c>
      <c r="AO700" t="str">
        <f t="shared" si="32"/>
        <v>Wednesday</v>
      </c>
    </row>
    <row r="701" spans="1:41" x14ac:dyDescent="0.2">
      <c r="A701" t="s">
        <v>41</v>
      </c>
      <c r="B701" s="1">
        <v>45875</v>
      </c>
      <c r="C701" s="1">
        <f t="shared" si="30"/>
        <v>45900</v>
      </c>
      <c r="D701">
        <v>26</v>
      </c>
      <c r="E701">
        <v>50</v>
      </c>
      <c r="F701">
        <v>2</v>
      </c>
      <c r="G701">
        <v>11</v>
      </c>
      <c r="H701">
        <v>3</v>
      </c>
      <c r="I701">
        <v>0</v>
      </c>
      <c r="J701">
        <v>3</v>
      </c>
      <c r="K701">
        <v>13</v>
      </c>
      <c r="L701" t="s">
        <v>41</v>
      </c>
      <c r="M701" t="s">
        <v>38</v>
      </c>
      <c r="N701" s="1">
        <v>45875</v>
      </c>
      <c r="O701" s="2">
        <v>0.54173611111111108</v>
      </c>
      <c r="P701" s="2">
        <v>0.91700231481481487</v>
      </c>
      <c r="Q701">
        <v>9</v>
      </c>
      <c r="R701">
        <v>9.01</v>
      </c>
      <c r="S701">
        <v>1.98</v>
      </c>
      <c r="T701">
        <v>0.42</v>
      </c>
      <c r="U701">
        <v>0</v>
      </c>
      <c r="V701">
        <v>0.33</v>
      </c>
      <c r="W701">
        <v>4.38</v>
      </c>
      <c r="X701">
        <v>1.47</v>
      </c>
      <c r="Y701">
        <v>0.42</v>
      </c>
      <c r="Z701">
        <v>0</v>
      </c>
      <c r="AA701">
        <v>0</v>
      </c>
      <c r="AB701">
        <v>0</v>
      </c>
      <c r="AC701">
        <v>9.01</v>
      </c>
      <c r="AD701">
        <v>22.03</v>
      </c>
      <c r="AE701">
        <v>4.6399999999999997</v>
      </c>
      <c r="AF701">
        <v>0</v>
      </c>
      <c r="AG701">
        <v>3.68</v>
      </c>
      <c r="AH701">
        <v>48.63</v>
      </c>
      <c r="AI701">
        <v>16.309999999999999</v>
      </c>
      <c r="AJ701">
        <v>4.66</v>
      </c>
      <c r="AK701">
        <v>0</v>
      </c>
      <c r="AL701">
        <v>0</v>
      </c>
      <c r="AM701">
        <v>0.05</v>
      </c>
      <c r="AN701">
        <f t="shared" si="31"/>
        <v>4</v>
      </c>
      <c r="AO701" t="str">
        <f t="shared" si="32"/>
        <v>Wednesday</v>
      </c>
    </row>
    <row r="702" spans="1:41" x14ac:dyDescent="0.2">
      <c r="A702" t="s">
        <v>43</v>
      </c>
      <c r="B702" s="1">
        <v>45875</v>
      </c>
      <c r="C702" s="1">
        <f t="shared" si="30"/>
        <v>45900</v>
      </c>
      <c r="D702">
        <v>26</v>
      </c>
      <c r="E702">
        <v>52</v>
      </c>
      <c r="F702">
        <v>2</v>
      </c>
      <c r="G702">
        <v>4</v>
      </c>
      <c r="H702">
        <v>4</v>
      </c>
      <c r="I702">
        <v>0</v>
      </c>
      <c r="J702">
        <v>0</v>
      </c>
      <c r="K702">
        <v>19</v>
      </c>
      <c r="L702" t="s">
        <v>43</v>
      </c>
      <c r="M702" t="s">
        <v>38</v>
      </c>
      <c r="N702" s="1">
        <v>45875</v>
      </c>
      <c r="O702" s="2">
        <v>0.54199074074074072</v>
      </c>
      <c r="P702" s="2">
        <v>0.92185185185185181</v>
      </c>
      <c r="Q702">
        <v>9.1199999999999992</v>
      </c>
      <c r="R702">
        <v>9.1199999999999992</v>
      </c>
      <c r="S702">
        <v>1.48</v>
      </c>
      <c r="T702">
        <v>0.11</v>
      </c>
      <c r="U702">
        <v>0</v>
      </c>
      <c r="V702">
        <v>0.37</v>
      </c>
      <c r="W702">
        <v>5.67</v>
      </c>
      <c r="X702">
        <v>1.49</v>
      </c>
      <c r="Y702">
        <v>0</v>
      </c>
      <c r="Z702">
        <v>0</v>
      </c>
      <c r="AA702">
        <v>0</v>
      </c>
      <c r="AB702">
        <v>0</v>
      </c>
      <c r="AC702">
        <v>9.1199999999999992</v>
      </c>
      <c r="AD702">
        <v>16.22</v>
      </c>
      <c r="AE702">
        <v>1.1599999999999999</v>
      </c>
      <c r="AF702">
        <v>0</v>
      </c>
      <c r="AG702">
        <v>4.0199999999999996</v>
      </c>
      <c r="AH702">
        <v>62.22</v>
      </c>
      <c r="AI702">
        <v>16.34</v>
      </c>
      <c r="AJ702">
        <v>0</v>
      </c>
      <c r="AK702">
        <v>0</v>
      </c>
      <c r="AL702">
        <v>0</v>
      </c>
      <c r="AM702">
        <v>0.04</v>
      </c>
      <c r="AN702">
        <f t="shared" si="31"/>
        <v>4</v>
      </c>
      <c r="AO702" t="str">
        <f t="shared" si="32"/>
        <v>Wednesday</v>
      </c>
    </row>
    <row r="703" spans="1:41" x14ac:dyDescent="0.2">
      <c r="B703" s="1">
        <v>45875</v>
      </c>
      <c r="C703" s="1">
        <f t="shared" si="30"/>
        <v>45900</v>
      </c>
      <c r="D703">
        <v>467</v>
      </c>
      <c r="E703">
        <v>0</v>
      </c>
      <c r="F703">
        <v>0</v>
      </c>
      <c r="G703">
        <v>0</v>
      </c>
      <c r="H703">
        <v>0</v>
      </c>
      <c r="I703">
        <v>0</v>
      </c>
      <c r="J703">
        <v>0</v>
      </c>
      <c r="K703">
        <v>0</v>
      </c>
      <c r="AN703">
        <f t="shared" si="31"/>
        <v>4</v>
      </c>
      <c r="AO703" t="str">
        <f t="shared" si="32"/>
        <v>Wednesday</v>
      </c>
    </row>
    <row r="704" spans="1:41" x14ac:dyDescent="0.2">
      <c r="A704" t="s">
        <v>37</v>
      </c>
      <c r="B704" s="1">
        <v>45874</v>
      </c>
      <c r="C704" s="1">
        <f t="shared" si="30"/>
        <v>45900</v>
      </c>
      <c r="D704">
        <v>18</v>
      </c>
      <c r="E704">
        <v>38</v>
      </c>
      <c r="F704">
        <v>1</v>
      </c>
      <c r="G704">
        <v>2</v>
      </c>
      <c r="H704">
        <v>5</v>
      </c>
      <c r="I704">
        <v>0</v>
      </c>
      <c r="J704">
        <v>0</v>
      </c>
      <c r="K704">
        <v>22</v>
      </c>
      <c r="L704" t="s">
        <v>37</v>
      </c>
      <c r="M704" t="s">
        <v>38</v>
      </c>
      <c r="N704" s="1">
        <v>45874</v>
      </c>
      <c r="O704" s="2">
        <v>0.54221064814814812</v>
      </c>
      <c r="P704" s="2">
        <v>0.91710648148148144</v>
      </c>
      <c r="Q704">
        <v>9</v>
      </c>
      <c r="R704">
        <v>8.1</v>
      </c>
      <c r="S704">
        <v>1.05</v>
      </c>
      <c r="T704">
        <v>0.42</v>
      </c>
      <c r="U704">
        <v>0</v>
      </c>
      <c r="V704">
        <v>0.19</v>
      </c>
      <c r="W704">
        <v>4.07</v>
      </c>
      <c r="X704">
        <v>0.44</v>
      </c>
      <c r="Y704">
        <v>1.87</v>
      </c>
      <c r="Z704">
        <v>0</v>
      </c>
      <c r="AA704">
        <v>0</v>
      </c>
      <c r="AB704">
        <v>7.0000000000000007E-2</v>
      </c>
      <c r="AC704">
        <v>8.1</v>
      </c>
      <c r="AD704">
        <v>12.91</v>
      </c>
      <c r="AE704">
        <v>5.13</v>
      </c>
      <c r="AF704">
        <v>0</v>
      </c>
      <c r="AG704">
        <v>2.35</v>
      </c>
      <c r="AH704">
        <v>50.26</v>
      </c>
      <c r="AI704">
        <v>5.41</v>
      </c>
      <c r="AJ704">
        <v>23.11</v>
      </c>
      <c r="AK704">
        <v>0</v>
      </c>
      <c r="AL704">
        <v>0</v>
      </c>
      <c r="AM704">
        <v>0.85</v>
      </c>
      <c r="AN704">
        <f t="shared" si="31"/>
        <v>3</v>
      </c>
      <c r="AO704" t="str">
        <f t="shared" si="32"/>
        <v>Tuesday</v>
      </c>
    </row>
    <row r="705" spans="1:41" x14ac:dyDescent="0.2">
      <c r="A705" t="s">
        <v>39</v>
      </c>
      <c r="B705" s="1">
        <v>45874</v>
      </c>
      <c r="C705" s="1">
        <f t="shared" si="30"/>
        <v>45900</v>
      </c>
      <c r="D705">
        <v>21</v>
      </c>
      <c r="E705">
        <v>37</v>
      </c>
      <c r="F705">
        <v>7</v>
      </c>
      <c r="G705">
        <v>7</v>
      </c>
      <c r="H705">
        <v>2</v>
      </c>
      <c r="I705">
        <v>0</v>
      </c>
      <c r="J705">
        <v>0</v>
      </c>
      <c r="K705">
        <v>12</v>
      </c>
      <c r="L705" t="s">
        <v>39</v>
      </c>
      <c r="M705" t="s">
        <v>38</v>
      </c>
      <c r="N705" s="1">
        <v>45874</v>
      </c>
      <c r="O705" s="2">
        <v>0.54208333333333336</v>
      </c>
      <c r="P705" s="2">
        <v>0.92087962962962966</v>
      </c>
      <c r="Q705">
        <v>9.1</v>
      </c>
      <c r="R705">
        <v>9.09</v>
      </c>
      <c r="S705">
        <v>1.69</v>
      </c>
      <c r="T705">
        <v>7.0000000000000007E-2</v>
      </c>
      <c r="U705">
        <v>0</v>
      </c>
      <c r="V705">
        <v>0.01</v>
      </c>
      <c r="W705">
        <v>5.87</v>
      </c>
      <c r="X705">
        <v>1.44</v>
      </c>
      <c r="Y705">
        <v>0</v>
      </c>
      <c r="Z705">
        <v>0</v>
      </c>
      <c r="AA705">
        <v>0</v>
      </c>
      <c r="AB705">
        <v>0</v>
      </c>
      <c r="AC705">
        <v>9.09</v>
      </c>
      <c r="AD705">
        <v>18.57</v>
      </c>
      <c r="AE705">
        <v>0.81</v>
      </c>
      <c r="AF705">
        <v>0</v>
      </c>
      <c r="AG705">
        <v>0.14000000000000001</v>
      </c>
      <c r="AH705">
        <v>64.55</v>
      </c>
      <c r="AI705">
        <v>15.89</v>
      </c>
      <c r="AJ705">
        <v>0</v>
      </c>
      <c r="AK705">
        <v>0</v>
      </c>
      <c r="AL705">
        <v>0</v>
      </c>
      <c r="AM705">
        <v>0.04</v>
      </c>
      <c r="AN705">
        <f t="shared" si="31"/>
        <v>3</v>
      </c>
      <c r="AO705" t="str">
        <f t="shared" si="32"/>
        <v>Tuesday</v>
      </c>
    </row>
    <row r="706" spans="1:41" x14ac:dyDescent="0.2">
      <c r="A706" t="s">
        <v>40</v>
      </c>
      <c r="B706" s="1">
        <v>45874</v>
      </c>
      <c r="C706" s="1">
        <f t="shared" si="30"/>
        <v>45900</v>
      </c>
      <c r="D706">
        <v>25</v>
      </c>
      <c r="E706">
        <v>46</v>
      </c>
      <c r="F706">
        <v>5</v>
      </c>
      <c r="G706">
        <v>0</v>
      </c>
      <c r="H706">
        <v>9</v>
      </c>
      <c r="I706">
        <v>1</v>
      </c>
      <c r="J706">
        <v>0</v>
      </c>
      <c r="K706">
        <v>14</v>
      </c>
      <c r="L706" t="s">
        <v>40</v>
      </c>
      <c r="M706" t="s">
        <v>38</v>
      </c>
      <c r="N706" s="1">
        <v>45874</v>
      </c>
      <c r="O706" s="2">
        <v>0.54228009259259258</v>
      </c>
      <c r="P706" s="2">
        <v>0.91718750000000004</v>
      </c>
      <c r="Q706">
        <v>9</v>
      </c>
      <c r="R706">
        <v>9</v>
      </c>
      <c r="S706">
        <v>2.1</v>
      </c>
      <c r="T706">
        <v>0</v>
      </c>
      <c r="U706">
        <v>0</v>
      </c>
      <c r="V706">
        <v>0.44</v>
      </c>
      <c r="W706">
        <v>4.87</v>
      </c>
      <c r="X706">
        <v>1.26</v>
      </c>
      <c r="Y706">
        <v>0.25</v>
      </c>
      <c r="Z706">
        <v>0</v>
      </c>
      <c r="AA706">
        <v>7.0000000000000007E-2</v>
      </c>
      <c r="AB706">
        <v>0</v>
      </c>
      <c r="AC706">
        <v>9</v>
      </c>
      <c r="AD706">
        <v>23.39</v>
      </c>
      <c r="AE706">
        <v>0</v>
      </c>
      <c r="AF706">
        <v>0</v>
      </c>
      <c r="AG706">
        <v>4.88</v>
      </c>
      <c r="AH706">
        <v>54.11</v>
      </c>
      <c r="AI706">
        <v>14</v>
      </c>
      <c r="AJ706">
        <v>2.76</v>
      </c>
      <c r="AK706">
        <v>0</v>
      </c>
      <c r="AL706">
        <v>0.82</v>
      </c>
      <c r="AM706">
        <v>0.05</v>
      </c>
      <c r="AN706">
        <f t="shared" si="31"/>
        <v>3</v>
      </c>
      <c r="AO706" t="str">
        <f t="shared" si="32"/>
        <v>Tuesday</v>
      </c>
    </row>
    <row r="707" spans="1:41" x14ac:dyDescent="0.2">
      <c r="A707" t="s">
        <v>41</v>
      </c>
      <c r="B707" s="1">
        <v>45874</v>
      </c>
      <c r="C707" s="1">
        <f t="shared" ref="C707:C770" si="33">EOMONTH(B707,0)</f>
        <v>45900</v>
      </c>
      <c r="D707">
        <v>17</v>
      </c>
      <c r="E707">
        <v>36</v>
      </c>
      <c r="F707">
        <v>0</v>
      </c>
      <c r="G707">
        <v>2</v>
      </c>
      <c r="H707">
        <v>1</v>
      </c>
      <c r="I707">
        <v>0</v>
      </c>
      <c r="J707">
        <v>0</v>
      </c>
      <c r="K707">
        <v>24</v>
      </c>
      <c r="L707" t="s">
        <v>41</v>
      </c>
      <c r="M707" t="s">
        <v>38</v>
      </c>
      <c r="N707" s="1">
        <v>45874</v>
      </c>
      <c r="O707" s="2">
        <v>0.54175925925925927</v>
      </c>
      <c r="P707" s="2">
        <v>0.91623842592592597</v>
      </c>
      <c r="Q707">
        <v>8.98</v>
      </c>
      <c r="R707">
        <v>8.99</v>
      </c>
      <c r="S707">
        <v>0.23</v>
      </c>
      <c r="T707">
        <v>0.21</v>
      </c>
      <c r="U707">
        <v>0</v>
      </c>
      <c r="V707">
        <v>0.23</v>
      </c>
      <c r="W707">
        <v>4.8099999999999996</v>
      </c>
      <c r="X707">
        <v>1.44</v>
      </c>
      <c r="Y707">
        <v>2.0499999999999998</v>
      </c>
      <c r="Z707">
        <v>0</v>
      </c>
      <c r="AA707">
        <v>0.02</v>
      </c>
      <c r="AB707">
        <v>0</v>
      </c>
      <c r="AC707">
        <v>8.99</v>
      </c>
      <c r="AD707">
        <v>2.5499999999999998</v>
      </c>
      <c r="AE707">
        <v>2.36</v>
      </c>
      <c r="AF707">
        <v>0</v>
      </c>
      <c r="AG707">
        <v>2.5099999999999998</v>
      </c>
      <c r="AH707">
        <v>53.5</v>
      </c>
      <c r="AI707">
        <v>15.99</v>
      </c>
      <c r="AJ707">
        <v>22.85</v>
      </c>
      <c r="AK707">
        <v>0</v>
      </c>
      <c r="AL707">
        <v>0.19</v>
      </c>
      <c r="AM707">
        <v>0.04</v>
      </c>
      <c r="AN707">
        <f t="shared" ref="AN707:AN770" si="34">WEEKDAY(B707,1)</f>
        <v>3</v>
      </c>
      <c r="AO707" t="str">
        <f t="shared" ref="AO707:AO770" si="35">VLOOKUP(AN707,$AY$2:$AZ$8,2,FALSE)</f>
        <v>Tuesday</v>
      </c>
    </row>
    <row r="708" spans="1:41" x14ac:dyDescent="0.2">
      <c r="A708" t="s">
        <v>43</v>
      </c>
      <c r="B708" s="1">
        <v>45874</v>
      </c>
      <c r="C708" s="1">
        <f t="shared" si="33"/>
        <v>45900</v>
      </c>
      <c r="D708">
        <v>19</v>
      </c>
      <c r="E708">
        <v>41</v>
      </c>
      <c r="F708">
        <v>7</v>
      </c>
      <c r="G708">
        <v>1</v>
      </c>
      <c r="H708">
        <v>2</v>
      </c>
      <c r="I708">
        <v>0</v>
      </c>
      <c r="J708">
        <v>0</v>
      </c>
      <c r="K708">
        <v>18</v>
      </c>
      <c r="L708" t="s">
        <v>43</v>
      </c>
      <c r="M708" t="s">
        <v>38</v>
      </c>
      <c r="N708" s="1">
        <v>45874</v>
      </c>
      <c r="O708" s="2">
        <v>0.54190972222222222</v>
      </c>
      <c r="P708" s="2">
        <v>0.92219907407407409</v>
      </c>
      <c r="Q708">
        <v>9.1199999999999992</v>
      </c>
      <c r="R708">
        <v>9.1300000000000008</v>
      </c>
      <c r="S708">
        <v>1.36</v>
      </c>
      <c r="T708">
        <v>0.27</v>
      </c>
      <c r="U708">
        <v>0</v>
      </c>
      <c r="V708">
        <v>0.38</v>
      </c>
      <c r="W708">
        <v>4.49</v>
      </c>
      <c r="X708">
        <v>1.36</v>
      </c>
      <c r="Y708">
        <v>1.27</v>
      </c>
      <c r="Z708">
        <v>0</v>
      </c>
      <c r="AA708">
        <v>0</v>
      </c>
      <c r="AB708">
        <v>0</v>
      </c>
      <c r="AC708">
        <v>9.1300000000000008</v>
      </c>
      <c r="AD708">
        <v>14.91</v>
      </c>
      <c r="AE708">
        <v>2.93</v>
      </c>
      <c r="AF708">
        <v>0</v>
      </c>
      <c r="AG708">
        <v>4.18</v>
      </c>
      <c r="AH708">
        <v>49.15</v>
      </c>
      <c r="AI708">
        <v>14.92</v>
      </c>
      <c r="AJ708">
        <v>13.86</v>
      </c>
      <c r="AK708">
        <v>0</v>
      </c>
      <c r="AL708">
        <v>0</v>
      </c>
      <c r="AM708">
        <v>0.05</v>
      </c>
      <c r="AN708">
        <f t="shared" si="34"/>
        <v>3</v>
      </c>
      <c r="AO708" t="str">
        <f t="shared" si="35"/>
        <v>Tuesday</v>
      </c>
    </row>
    <row r="709" spans="1:41" x14ac:dyDescent="0.2">
      <c r="B709" s="1">
        <v>45874</v>
      </c>
      <c r="C709" s="1">
        <f t="shared" si="33"/>
        <v>45900</v>
      </c>
      <c r="D709">
        <v>506</v>
      </c>
      <c r="E709">
        <v>0</v>
      </c>
      <c r="F709">
        <v>0</v>
      </c>
      <c r="G709">
        <v>0</v>
      </c>
      <c r="H709">
        <v>0</v>
      </c>
      <c r="I709">
        <v>0</v>
      </c>
      <c r="J709">
        <v>0</v>
      </c>
      <c r="K709">
        <v>0</v>
      </c>
      <c r="AN709">
        <f t="shared" si="34"/>
        <v>3</v>
      </c>
      <c r="AO709" t="str">
        <f t="shared" si="35"/>
        <v>Tuesday</v>
      </c>
    </row>
    <row r="710" spans="1:41" x14ac:dyDescent="0.2">
      <c r="A710" t="s">
        <v>37</v>
      </c>
      <c r="B710" s="1">
        <v>45873</v>
      </c>
      <c r="C710" s="1">
        <f t="shared" si="33"/>
        <v>45900</v>
      </c>
      <c r="D710">
        <v>18</v>
      </c>
      <c r="E710">
        <v>37</v>
      </c>
      <c r="F710">
        <v>1</v>
      </c>
      <c r="G710">
        <v>4</v>
      </c>
      <c r="H710">
        <v>3</v>
      </c>
      <c r="I710">
        <v>0</v>
      </c>
      <c r="J710">
        <v>1</v>
      </c>
      <c r="K710">
        <v>17</v>
      </c>
      <c r="L710" t="s">
        <v>37</v>
      </c>
      <c r="M710" t="s">
        <v>38</v>
      </c>
      <c r="N710" s="1">
        <v>45873</v>
      </c>
      <c r="O710" s="2">
        <v>0.54245370370370372</v>
      </c>
      <c r="P710" s="2">
        <v>0.91715277777777782</v>
      </c>
      <c r="Q710">
        <v>8.98</v>
      </c>
      <c r="R710">
        <v>8.07</v>
      </c>
      <c r="S710">
        <v>0.91</v>
      </c>
      <c r="T710">
        <v>0.01</v>
      </c>
      <c r="U710">
        <v>0</v>
      </c>
      <c r="V710">
        <v>0.16</v>
      </c>
      <c r="W710">
        <v>6.49</v>
      </c>
      <c r="X710">
        <v>0.48</v>
      </c>
      <c r="Y710">
        <v>0</v>
      </c>
      <c r="Z710">
        <v>0</v>
      </c>
      <c r="AA710">
        <v>0</v>
      </c>
      <c r="AB710">
        <v>0.01</v>
      </c>
      <c r="AC710">
        <v>8.07</v>
      </c>
      <c r="AD710">
        <v>11.26</v>
      </c>
      <c r="AE710">
        <v>0.15</v>
      </c>
      <c r="AF710">
        <v>0</v>
      </c>
      <c r="AG710">
        <v>1.94</v>
      </c>
      <c r="AH710">
        <v>80.47</v>
      </c>
      <c r="AI710">
        <v>5.99</v>
      </c>
      <c r="AJ710">
        <v>0</v>
      </c>
      <c r="AK710">
        <v>0</v>
      </c>
      <c r="AL710">
        <v>0</v>
      </c>
      <c r="AM710">
        <v>0.18</v>
      </c>
      <c r="AN710">
        <f t="shared" si="34"/>
        <v>2</v>
      </c>
      <c r="AO710" t="str">
        <f t="shared" si="35"/>
        <v>Monday</v>
      </c>
    </row>
    <row r="711" spans="1:41" x14ac:dyDescent="0.2">
      <c r="A711" t="s">
        <v>39</v>
      </c>
      <c r="B711" s="1">
        <v>45873</v>
      </c>
      <c r="C711" s="1">
        <f t="shared" si="33"/>
        <v>45900</v>
      </c>
      <c r="D711">
        <v>19</v>
      </c>
      <c r="E711">
        <v>31</v>
      </c>
      <c r="F711">
        <v>7</v>
      </c>
      <c r="G711">
        <v>3</v>
      </c>
      <c r="H711">
        <v>0</v>
      </c>
      <c r="I711">
        <v>1</v>
      </c>
      <c r="J711">
        <v>0</v>
      </c>
      <c r="K711">
        <v>12</v>
      </c>
      <c r="L711" t="s">
        <v>39</v>
      </c>
      <c r="M711" t="s">
        <v>38</v>
      </c>
      <c r="N711" s="1">
        <v>45873</v>
      </c>
      <c r="O711" s="2">
        <v>0.54175925925925927</v>
      </c>
      <c r="P711" s="2">
        <v>0.91672453703703705</v>
      </c>
      <c r="Q711">
        <v>9</v>
      </c>
      <c r="R711">
        <v>9</v>
      </c>
      <c r="S711">
        <v>1.07</v>
      </c>
      <c r="T711">
        <v>0.03</v>
      </c>
      <c r="U711">
        <v>0</v>
      </c>
      <c r="V711">
        <v>0.01</v>
      </c>
      <c r="W711">
        <v>6.39</v>
      </c>
      <c r="X711">
        <v>1.49</v>
      </c>
      <c r="Y711">
        <v>0</v>
      </c>
      <c r="Z711">
        <v>0</v>
      </c>
      <c r="AA711">
        <v>0</v>
      </c>
      <c r="AB711">
        <v>0</v>
      </c>
      <c r="AC711">
        <v>9</v>
      </c>
      <c r="AD711">
        <v>11.94</v>
      </c>
      <c r="AE711">
        <v>0.34</v>
      </c>
      <c r="AF711">
        <v>0</v>
      </c>
      <c r="AG711">
        <v>0.14000000000000001</v>
      </c>
      <c r="AH711">
        <v>70.989999999999995</v>
      </c>
      <c r="AI711">
        <v>16.55</v>
      </c>
      <c r="AJ711">
        <v>0</v>
      </c>
      <c r="AK711">
        <v>0</v>
      </c>
      <c r="AL711">
        <v>0</v>
      </c>
      <c r="AM711">
        <v>0.05</v>
      </c>
      <c r="AN711">
        <f t="shared" si="34"/>
        <v>2</v>
      </c>
      <c r="AO711" t="str">
        <f t="shared" si="35"/>
        <v>Monday</v>
      </c>
    </row>
    <row r="712" spans="1:41" x14ac:dyDescent="0.2">
      <c r="A712" t="s">
        <v>40</v>
      </c>
      <c r="B712" s="1">
        <v>45873</v>
      </c>
      <c r="C712" s="1">
        <f t="shared" si="33"/>
        <v>45900</v>
      </c>
      <c r="D712">
        <v>17</v>
      </c>
      <c r="E712">
        <v>38</v>
      </c>
      <c r="F712">
        <v>1</v>
      </c>
      <c r="G712">
        <v>4</v>
      </c>
      <c r="H712">
        <v>11</v>
      </c>
      <c r="I712">
        <v>0</v>
      </c>
      <c r="J712">
        <v>0</v>
      </c>
      <c r="K712">
        <v>21</v>
      </c>
      <c r="L712" t="s">
        <v>40</v>
      </c>
      <c r="M712" t="s">
        <v>38</v>
      </c>
      <c r="N712" s="1">
        <v>45873</v>
      </c>
      <c r="O712" s="2">
        <v>0.54115740740740736</v>
      </c>
      <c r="P712" s="2">
        <v>0.91668981481481482</v>
      </c>
      <c r="Q712">
        <v>9.02</v>
      </c>
      <c r="R712">
        <v>9.01</v>
      </c>
      <c r="S712">
        <v>1.18</v>
      </c>
      <c r="T712">
        <v>0</v>
      </c>
      <c r="U712">
        <v>0</v>
      </c>
      <c r="V712">
        <v>0.17</v>
      </c>
      <c r="W712">
        <v>5.36</v>
      </c>
      <c r="X712">
        <v>1.52</v>
      </c>
      <c r="Y712">
        <v>0.76</v>
      </c>
      <c r="Z712">
        <v>0</v>
      </c>
      <c r="AA712">
        <v>0</v>
      </c>
      <c r="AB712">
        <v>0.01</v>
      </c>
      <c r="AC712">
        <v>9.01</v>
      </c>
      <c r="AD712">
        <v>13.1</v>
      </c>
      <c r="AE712">
        <v>0</v>
      </c>
      <c r="AF712">
        <v>0</v>
      </c>
      <c r="AG712">
        <v>1.93</v>
      </c>
      <c r="AH712">
        <v>59.51</v>
      </c>
      <c r="AI712">
        <v>16.91</v>
      </c>
      <c r="AJ712">
        <v>8.4</v>
      </c>
      <c r="AK712">
        <v>0</v>
      </c>
      <c r="AL712">
        <v>0</v>
      </c>
      <c r="AM712">
        <v>0.14000000000000001</v>
      </c>
      <c r="AN712">
        <f t="shared" si="34"/>
        <v>2</v>
      </c>
      <c r="AO712" t="str">
        <f t="shared" si="35"/>
        <v>Monday</v>
      </c>
    </row>
    <row r="713" spans="1:41" x14ac:dyDescent="0.2">
      <c r="A713" t="s">
        <v>41</v>
      </c>
      <c r="B713" s="1">
        <v>45873</v>
      </c>
      <c r="C713" s="1">
        <f t="shared" si="33"/>
        <v>45900</v>
      </c>
      <c r="D713">
        <v>13</v>
      </c>
      <c r="E713">
        <v>31</v>
      </c>
      <c r="F713">
        <v>5</v>
      </c>
      <c r="G713">
        <v>3</v>
      </c>
      <c r="H713">
        <v>0</v>
      </c>
      <c r="I713">
        <v>0</v>
      </c>
      <c r="J713">
        <v>1</v>
      </c>
      <c r="K713">
        <v>20</v>
      </c>
      <c r="L713" t="s">
        <v>41</v>
      </c>
      <c r="M713" t="s">
        <v>38</v>
      </c>
      <c r="N713" s="1">
        <v>45873</v>
      </c>
      <c r="O713" s="2">
        <v>0.54228009259259258</v>
      </c>
      <c r="P713" s="2">
        <v>0.91646990740740741</v>
      </c>
      <c r="Q713">
        <v>8.98</v>
      </c>
      <c r="R713">
        <v>8.98</v>
      </c>
      <c r="S713">
        <v>1.08</v>
      </c>
      <c r="T713">
        <v>0.04</v>
      </c>
      <c r="U713">
        <v>0</v>
      </c>
      <c r="V713">
        <v>0.12</v>
      </c>
      <c r="W713">
        <v>6.26</v>
      </c>
      <c r="X713">
        <v>1.48</v>
      </c>
      <c r="Y713">
        <v>0</v>
      </c>
      <c r="Z713">
        <v>0</v>
      </c>
      <c r="AA713">
        <v>0</v>
      </c>
      <c r="AB713">
        <v>0</v>
      </c>
      <c r="AC713">
        <v>8.98</v>
      </c>
      <c r="AD713">
        <v>11.97</v>
      </c>
      <c r="AE713">
        <v>0.41</v>
      </c>
      <c r="AF713">
        <v>0</v>
      </c>
      <c r="AG713">
        <v>1.36</v>
      </c>
      <c r="AH713">
        <v>69.760000000000005</v>
      </c>
      <c r="AI713">
        <v>16.47</v>
      </c>
      <c r="AJ713">
        <v>0</v>
      </c>
      <c r="AK713">
        <v>0</v>
      </c>
      <c r="AL713">
        <v>0</v>
      </c>
      <c r="AM713">
        <v>0.04</v>
      </c>
      <c r="AN713">
        <f t="shared" si="34"/>
        <v>2</v>
      </c>
      <c r="AO713" t="str">
        <f t="shared" si="35"/>
        <v>Monday</v>
      </c>
    </row>
    <row r="714" spans="1:41" x14ac:dyDescent="0.2">
      <c r="A714" t="s">
        <v>43</v>
      </c>
      <c r="B714" s="1">
        <v>45873</v>
      </c>
      <c r="C714" s="1">
        <f t="shared" si="33"/>
        <v>45900</v>
      </c>
      <c r="D714">
        <v>16</v>
      </c>
      <c r="E714">
        <v>47</v>
      </c>
      <c r="F714">
        <v>3</v>
      </c>
      <c r="G714">
        <v>8</v>
      </c>
      <c r="H714">
        <v>14</v>
      </c>
      <c r="I714">
        <v>0</v>
      </c>
      <c r="J714">
        <v>2</v>
      </c>
      <c r="K714">
        <v>16</v>
      </c>
      <c r="L714" t="s">
        <v>43</v>
      </c>
      <c r="M714" t="s">
        <v>38</v>
      </c>
      <c r="N714" s="1">
        <v>45873</v>
      </c>
      <c r="O714" s="2">
        <v>0.54192129629629626</v>
      </c>
      <c r="P714" s="2">
        <v>0.91791666666666671</v>
      </c>
      <c r="Q714">
        <v>9.02</v>
      </c>
      <c r="R714">
        <v>9.02</v>
      </c>
      <c r="S714">
        <v>1.4</v>
      </c>
      <c r="T714">
        <v>0.16</v>
      </c>
      <c r="U714">
        <v>0</v>
      </c>
      <c r="V714">
        <v>0.37</v>
      </c>
      <c r="W714">
        <v>5.58</v>
      </c>
      <c r="X714">
        <v>1.52</v>
      </c>
      <c r="Y714">
        <v>0</v>
      </c>
      <c r="Z714">
        <v>0</v>
      </c>
      <c r="AA714">
        <v>0</v>
      </c>
      <c r="AB714">
        <v>0</v>
      </c>
      <c r="AC714">
        <v>9.02</v>
      </c>
      <c r="AD714">
        <v>15.47</v>
      </c>
      <c r="AE714">
        <v>1.72</v>
      </c>
      <c r="AF714">
        <v>0</v>
      </c>
      <c r="AG714">
        <v>4.12</v>
      </c>
      <c r="AH714">
        <v>61.79</v>
      </c>
      <c r="AI714">
        <v>16.850000000000001</v>
      </c>
      <c r="AJ714">
        <v>0</v>
      </c>
      <c r="AK714">
        <v>0</v>
      </c>
      <c r="AL714">
        <v>0</v>
      </c>
      <c r="AM714">
        <v>0.04</v>
      </c>
      <c r="AN714">
        <f t="shared" si="34"/>
        <v>2</v>
      </c>
      <c r="AO714" t="str">
        <f t="shared" si="35"/>
        <v>Monday</v>
      </c>
    </row>
    <row r="715" spans="1:41" x14ac:dyDescent="0.2">
      <c r="B715" s="1">
        <v>45873</v>
      </c>
      <c r="C715" s="1">
        <f t="shared" si="33"/>
        <v>45900</v>
      </c>
      <c r="D715">
        <v>463</v>
      </c>
      <c r="E715">
        <v>0</v>
      </c>
      <c r="F715">
        <v>0</v>
      </c>
      <c r="G715">
        <v>0</v>
      </c>
      <c r="H715">
        <v>0</v>
      </c>
      <c r="I715">
        <v>0</v>
      </c>
      <c r="J715">
        <v>0</v>
      </c>
      <c r="K715">
        <v>0</v>
      </c>
      <c r="AN715">
        <f t="shared" si="34"/>
        <v>2</v>
      </c>
      <c r="AO715" t="str">
        <f t="shared" si="35"/>
        <v>Monday</v>
      </c>
    </row>
    <row r="716" spans="1:41" x14ac:dyDescent="0.2">
      <c r="A716" t="s">
        <v>37</v>
      </c>
      <c r="B716" s="1">
        <v>45870</v>
      </c>
      <c r="C716" s="1">
        <f t="shared" si="33"/>
        <v>45900</v>
      </c>
      <c r="D716">
        <v>17</v>
      </c>
      <c r="E716">
        <v>37</v>
      </c>
      <c r="F716">
        <v>3</v>
      </c>
      <c r="G716">
        <v>3</v>
      </c>
      <c r="H716">
        <v>0</v>
      </c>
      <c r="I716">
        <v>0</v>
      </c>
      <c r="J716">
        <v>0</v>
      </c>
      <c r="K716">
        <v>25</v>
      </c>
      <c r="L716" t="s">
        <v>37</v>
      </c>
      <c r="M716" t="s">
        <v>38</v>
      </c>
      <c r="N716" s="1">
        <v>45870</v>
      </c>
      <c r="O716" s="2">
        <v>0.53960648148148149</v>
      </c>
      <c r="P716" s="2">
        <v>0.91675925925925927</v>
      </c>
      <c r="Q716">
        <v>9.0500000000000007</v>
      </c>
      <c r="R716">
        <v>8.15</v>
      </c>
      <c r="S716">
        <v>1.04</v>
      </c>
      <c r="T716">
        <v>0.56000000000000005</v>
      </c>
      <c r="U716">
        <v>0</v>
      </c>
      <c r="V716">
        <v>0.16</v>
      </c>
      <c r="W716">
        <v>5.18</v>
      </c>
      <c r="X716">
        <v>0.34</v>
      </c>
      <c r="Y716">
        <v>0.81</v>
      </c>
      <c r="Z716">
        <v>0</v>
      </c>
      <c r="AA716">
        <v>0</v>
      </c>
      <c r="AB716">
        <v>7.0000000000000007E-2</v>
      </c>
      <c r="AC716">
        <v>8.15</v>
      </c>
      <c r="AD716">
        <v>12.73</v>
      </c>
      <c r="AE716">
        <v>6.83</v>
      </c>
      <c r="AF716">
        <v>0</v>
      </c>
      <c r="AG716">
        <v>2.02</v>
      </c>
      <c r="AH716">
        <v>63.53</v>
      </c>
      <c r="AI716">
        <v>4.16</v>
      </c>
      <c r="AJ716">
        <v>9.89</v>
      </c>
      <c r="AK716">
        <v>0</v>
      </c>
      <c r="AL716">
        <v>0</v>
      </c>
      <c r="AM716">
        <v>0.83</v>
      </c>
      <c r="AN716">
        <f t="shared" si="34"/>
        <v>6</v>
      </c>
      <c r="AO716" t="str">
        <f t="shared" si="35"/>
        <v>Friday</v>
      </c>
    </row>
    <row r="717" spans="1:41" x14ac:dyDescent="0.2">
      <c r="A717" t="s">
        <v>39</v>
      </c>
      <c r="B717" s="1">
        <v>45870</v>
      </c>
      <c r="C717" s="1">
        <f t="shared" si="33"/>
        <v>45900</v>
      </c>
      <c r="D717">
        <v>28</v>
      </c>
      <c r="E717">
        <v>59</v>
      </c>
      <c r="F717">
        <v>6</v>
      </c>
      <c r="G717">
        <v>4</v>
      </c>
      <c r="H717">
        <v>11</v>
      </c>
      <c r="I717">
        <v>0</v>
      </c>
      <c r="J717">
        <v>1</v>
      </c>
      <c r="K717">
        <v>29</v>
      </c>
      <c r="L717" t="s">
        <v>39</v>
      </c>
      <c r="M717" t="s">
        <v>38</v>
      </c>
      <c r="N717" s="1">
        <v>45870</v>
      </c>
      <c r="O717" s="2">
        <v>0.54173611111111108</v>
      </c>
      <c r="P717" s="2">
        <v>0.91682870370370373</v>
      </c>
      <c r="Q717">
        <v>9</v>
      </c>
      <c r="R717">
        <v>9</v>
      </c>
      <c r="S717">
        <v>1.18</v>
      </c>
      <c r="T717">
        <v>0.09</v>
      </c>
      <c r="U717">
        <v>0</v>
      </c>
      <c r="V717">
        <v>0.02</v>
      </c>
      <c r="W717">
        <v>6.21</v>
      </c>
      <c r="X717">
        <v>1.5</v>
      </c>
      <c r="Y717">
        <v>0</v>
      </c>
      <c r="Z717">
        <v>0</v>
      </c>
      <c r="AA717">
        <v>0</v>
      </c>
      <c r="AB717">
        <v>0</v>
      </c>
      <c r="AC717">
        <v>9</v>
      </c>
      <c r="AD717">
        <v>13.13</v>
      </c>
      <c r="AE717">
        <v>0.96</v>
      </c>
      <c r="AF717">
        <v>0</v>
      </c>
      <c r="AG717">
        <v>0.25</v>
      </c>
      <c r="AH717">
        <v>68.989999999999995</v>
      </c>
      <c r="AI717">
        <v>16.61</v>
      </c>
      <c r="AJ717">
        <v>0</v>
      </c>
      <c r="AK717">
        <v>0</v>
      </c>
      <c r="AL717">
        <v>0</v>
      </c>
      <c r="AM717">
        <v>0.05</v>
      </c>
      <c r="AN717">
        <f t="shared" si="34"/>
        <v>6</v>
      </c>
      <c r="AO717" t="str">
        <f t="shared" si="35"/>
        <v>Friday</v>
      </c>
    </row>
    <row r="718" spans="1:41" x14ac:dyDescent="0.2">
      <c r="A718" t="s">
        <v>40</v>
      </c>
      <c r="B718" s="1">
        <v>45870</v>
      </c>
      <c r="C718" s="1">
        <f t="shared" si="33"/>
        <v>45900</v>
      </c>
      <c r="D718">
        <v>25</v>
      </c>
      <c r="E718">
        <v>48</v>
      </c>
      <c r="F718">
        <v>4</v>
      </c>
      <c r="G718">
        <v>6</v>
      </c>
      <c r="H718">
        <v>6</v>
      </c>
      <c r="I718">
        <v>0</v>
      </c>
      <c r="J718">
        <v>0</v>
      </c>
      <c r="K718">
        <v>26</v>
      </c>
      <c r="L718" t="s">
        <v>40</v>
      </c>
      <c r="M718" t="s">
        <v>38</v>
      </c>
      <c r="N718" s="1">
        <v>45870</v>
      </c>
      <c r="O718" s="2">
        <v>0.54077546296296297</v>
      </c>
      <c r="P718" s="2">
        <v>0.91668981481481482</v>
      </c>
      <c r="Q718">
        <v>9.0299999999999994</v>
      </c>
      <c r="R718">
        <v>9.02</v>
      </c>
      <c r="S718">
        <v>0.78</v>
      </c>
      <c r="T718">
        <v>0</v>
      </c>
      <c r="U718">
        <v>0</v>
      </c>
      <c r="V718">
        <v>0.22</v>
      </c>
      <c r="W718">
        <v>6.52</v>
      </c>
      <c r="X718">
        <v>1.49</v>
      </c>
      <c r="Y718">
        <v>0</v>
      </c>
      <c r="Z718">
        <v>0</v>
      </c>
      <c r="AA718">
        <v>0</v>
      </c>
      <c r="AB718">
        <v>0</v>
      </c>
      <c r="AC718">
        <v>9.02</v>
      </c>
      <c r="AD718">
        <v>8.67</v>
      </c>
      <c r="AE718">
        <v>0</v>
      </c>
      <c r="AF718">
        <v>0</v>
      </c>
      <c r="AG718">
        <v>2.4500000000000002</v>
      </c>
      <c r="AH718">
        <v>72.28</v>
      </c>
      <c r="AI718">
        <v>16.55</v>
      </c>
      <c r="AJ718">
        <v>0</v>
      </c>
      <c r="AK718">
        <v>0</v>
      </c>
      <c r="AL718">
        <v>0</v>
      </c>
      <c r="AM718">
        <v>0.05</v>
      </c>
      <c r="AN718">
        <f t="shared" si="34"/>
        <v>6</v>
      </c>
      <c r="AO718" t="str">
        <f t="shared" si="35"/>
        <v>Friday</v>
      </c>
    </row>
    <row r="719" spans="1:41" x14ac:dyDescent="0.2">
      <c r="A719" t="s">
        <v>41</v>
      </c>
      <c r="B719" s="1">
        <v>45870</v>
      </c>
      <c r="C719" s="1">
        <f t="shared" si="33"/>
        <v>45900</v>
      </c>
      <c r="D719">
        <v>3</v>
      </c>
      <c r="E719">
        <v>8</v>
      </c>
      <c r="F719">
        <v>0</v>
      </c>
      <c r="G719">
        <v>0</v>
      </c>
      <c r="H719">
        <v>0</v>
      </c>
      <c r="I719">
        <v>0</v>
      </c>
      <c r="J719">
        <v>0</v>
      </c>
      <c r="K719">
        <v>7</v>
      </c>
      <c r="L719" t="s">
        <v>41</v>
      </c>
      <c r="M719" t="s">
        <v>38</v>
      </c>
      <c r="N719" s="1">
        <v>45870</v>
      </c>
      <c r="O719" s="2">
        <v>0.54189814814814818</v>
      </c>
      <c r="P719" s="2">
        <v>0.60721064814814818</v>
      </c>
      <c r="Q719">
        <v>1.57</v>
      </c>
      <c r="R719">
        <v>1.57</v>
      </c>
      <c r="S719">
        <v>0.05</v>
      </c>
      <c r="T719">
        <v>0</v>
      </c>
      <c r="U719">
        <v>0</v>
      </c>
      <c r="V719">
        <v>0.01</v>
      </c>
      <c r="W719">
        <v>1.51</v>
      </c>
      <c r="X719">
        <v>0</v>
      </c>
      <c r="Y719">
        <v>0</v>
      </c>
      <c r="Z719">
        <v>0</v>
      </c>
      <c r="AA719">
        <v>0</v>
      </c>
      <c r="AB719">
        <v>0</v>
      </c>
      <c r="AC719">
        <v>1.57</v>
      </c>
      <c r="AD719">
        <v>2.92</v>
      </c>
      <c r="AE719">
        <v>0</v>
      </c>
      <c r="AF719">
        <v>0</v>
      </c>
      <c r="AG719">
        <v>0.37</v>
      </c>
      <c r="AH719">
        <v>96.49</v>
      </c>
      <c r="AI719">
        <v>0</v>
      </c>
      <c r="AJ719">
        <v>0</v>
      </c>
      <c r="AK719">
        <v>0</v>
      </c>
      <c r="AL719">
        <v>0</v>
      </c>
      <c r="AM719">
        <v>0.21</v>
      </c>
      <c r="AN719">
        <f t="shared" si="34"/>
        <v>6</v>
      </c>
      <c r="AO719" t="str">
        <f t="shared" si="35"/>
        <v>Friday</v>
      </c>
    </row>
    <row r="720" spans="1:41" x14ac:dyDescent="0.2">
      <c r="A720" t="s">
        <v>50</v>
      </c>
      <c r="B720" s="1">
        <v>45870</v>
      </c>
      <c r="C720" s="1">
        <f t="shared" si="33"/>
        <v>45900</v>
      </c>
      <c r="D720">
        <v>1</v>
      </c>
      <c r="E720">
        <v>2</v>
      </c>
      <c r="F720">
        <v>1</v>
      </c>
      <c r="G720">
        <v>0</v>
      </c>
      <c r="H720">
        <v>0</v>
      </c>
      <c r="I720">
        <v>0</v>
      </c>
      <c r="J720">
        <v>0</v>
      </c>
      <c r="K720">
        <v>0</v>
      </c>
      <c r="AN720">
        <f t="shared" si="34"/>
        <v>6</v>
      </c>
      <c r="AO720" t="str">
        <f t="shared" si="35"/>
        <v>Friday</v>
      </c>
    </row>
    <row r="721" spans="1:41" x14ac:dyDescent="0.2">
      <c r="A721" t="s">
        <v>43</v>
      </c>
      <c r="B721" s="1">
        <v>45870</v>
      </c>
      <c r="C721" s="1">
        <f t="shared" si="33"/>
        <v>45900</v>
      </c>
      <c r="D721">
        <v>13</v>
      </c>
      <c r="E721">
        <v>40</v>
      </c>
      <c r="F721">
        <v>5</v>
      </c>
      <c r="G721">
        <v>0</v>
      </c>
      <c r="H721">
        <v>6</v>
      </c>
      <c r="I721">
        <v>0</v>
      </c>
      <c r="J721">
        <v>0</v>
      </c>
      <c r="K721">
        <v>22</v>
      </c>
      <c r="L721" t="s">
        <v>43</v>
      </c>
      <c r="M721" t="s">
        <v>38</v>
      </c>
      <c r="N721" s="1">
        <v>45870</v>
      </c>
      <c r="O721" s="2">
        <v>0.54188657407407403</v>
      </c>
      <c r="P721" s="2">
        <v>0.91743055555555553</v>
      </c>
      <c r="Q721">
        <v>9.02</v>
      </c>
      <c r="R721">
        <v>8.9700000000000006</v>
      </c>
      <c r="S721">
        <v>0.7</v>
      </c>
      <c r="T721">
        <v>0.27</v>
      </c>
      <c r="U721">
        <v>0</v>
      </c>
      <c r="V721">
        <v>0.2</v>
      </c>
      <c r="W721">
        <v>4.8499999999999996</v>
      </c>
      <c r="X721">
        <v>1.93</v>
      </c>
      <c r="Y721">
        <v>1.01</v>
      </c>
      <c r="Z721">
        <v>0</v>
      </c>
      <c r="AA721">
        <v>0</v>
      </c>
      <c r="AB721">
        <v>0.01</v>
      </c>
      <c r="AC721">
        <v>8.9700000000000006</v>
      </c>
      <c r="AD721">
        <v>7.76</v>
      </c>
      <c r="AE721">
        <v>3.02</v>
      </c>
      <c r="AF721">
        <v>0</v>
      </c>
      <c r="AG721">
        <v>2.2200000000000002</v>
      </c>
      <c r="AH721">
        <v>54.13</v>
      </c>
      <c r="AI721">
        <v>21.55</v>
      </c>
      <c r="AJ721">
        <v>11.25</v>
      </c>
      <c r="AK721">
        <v>0</v>
      </c>
      <c r="AL721">
        <v>0</v>
      </c>
      <c r="AM721">
        <v>7.0000000000000007E-2</v>
      </c>
      <c r="AN721">
        <f t="shared" si="34"/>
        <v>6</v>
      </c>
      <c r="AO721" t="str">
        <f t="shared" si="35"/>
        <v>Friday</v>
      </c>
    </row>
    <row r="722" spans="1:41" x14ac:dyDescent="0.2">
      <c r="B722" s="1">
        <v>45870</v>
      </c>
      <c r="C722" s="1">
        <f t="shared" si="33"/>
        <v>45900</v>
      </c>
      <c r="D722">
        <v>475</v>
      </c>
      <c r="E722">
        <v>0</v>
      </c>
      <c r="F722">
        <v>0</v>
      </c>
      <c r="G722">
        <v>0</v>
      </c>
      <c r="H722">
        <v>0</v>
      </c>
      <c r="I722">
        <v>0</v>
      </c>
      <c r="J722">
        <v>0</v>
      </c>
      <c r="K722">
        <v>0</v>
      </c>
      <c r="AN722">
        <f t="shared" si="34"/>
        <v>6</v>
      </c>
      <c r="AO722" t="str">
        <f t="shared" si="35"/>
        <v>Friday</v>
      </c>
    </row>
    <row r="723" spans="1:41" x14ac:dyDescent="0.2">
      <c r="A723" t="s">
        <v>37</v>
      </c>
      <c r="B723" s="1">
        <v>45869</v>
      </c>
      <c r="C723" s="1">
        <f t="shared" si="33"/>
        <v>45869</v>
      </c>
      <c r="D723">
        <v>19</v>
      </c>
      <c r="E723">
        <v>46</v>
      </c>
      <c r="F723">
        <v>0</v>
      </c>
      <c r="G723">
        <v>0</v>
      </c>
      <c r="H723">
        <v>9</v>
      </c>
      <c r="I723">
        <v>3</v>
      </c>
      <c r="J723">
        <v>0</v>
      </c>
      <c r="K723">
        <v>28</v>
      </c>
      <c r="L723" t="s">
        <v>37</v>
      </c>
      <c r="M723" t="s">
        <v>38</v>
      </c>
      <c r="N723" s="1">
        <v>45869</v>
      </c>
      <c r="O723" s="2">
        <v>0.54193287037037041</v>
      </c>
      <c r="P723" s="2">
        <v>0.91688657407407403</v>
      </c>
      <c r="Q723">
        <v>9</v>
      </c>
      <c r="R723">
        <v>8.09</v>
      </c>
      <c r="S723">
        <v>1.0900000000000001</v>
      </c>
      <c r="T723">
        <v>0.28000000000000003</v>
      </c>
      <c r="U723">
        <v>0</v>
      </c>
      <c r="V723">
        <v>0.21</v>
      </c>
      <c r="W723">
        <v>5.14</v>
      </c>
      <c r="X723">
        <v>0.32</v>
      </c>
      <c r="Y723">
        <v>1.03</v>
      </c>
      <c r="Z723">
        <v>0</v>
      </c>
      <c r="AA723">
        <v>0</v>
      </c>
      <c r="AB723">
        <v>0.03</v>
      </c>
      <c r="AC723">
        <v>8.09</v>
      </c>
      <c r="AD723">
        <v>13.52</v>
      </c>
      <c r="AE723">
        <v>3.42</v>
      </c>
      <c r="AF723">
        <v>0</v>
      </c>
      <c r="AG723">
        <v>2.65</v>
      </c>
      <c r="AH723">
        <v>63.49</v>
      </c>
      <c r="AI723">
        <v>3.93</v>
      </c>
      <c r="AJ723">
        <v>12.67</v>
      </c>
      <c r="AK723">
        <v>0</v>
      </c>
      <c r="AL723">
        <v>0</v>
      </c>
      <c r="AM723">
        <v>0.32</v>
      </c>
      <c r="AN723">
        <f t="shared" si="34"/>
        <v>5</v>
      </c>
      <c r="AO723" t="str">
        <f t="shared" si="35"/>
        <v>Thursday</v>
      </c>
    </row>
    <row r="724" spans="1:41" x14ac:dyDescent="0.2">
      <c r="A724" t="s">
        <v>39</v>
      </c>
      <c r="B724" s="1">
        <v>45869</v>
      </c>
      <c r="C724" s="1">
        <f t="shared" si="33"/>
        <v>45869</v>
      </c>
      <c r="D724">
        <v>21</v>
      </c>
      <c r="E724">
        <v>64</v>
      </c>
      <c r="F724">
        <v>11</v>
      </c>
      <c r="G724">
        <v>10</v>
      </c>
      <c r="H724">
        <v>13</v>
      </c>
      <c r="I724">
        <v>0</v>
      </c>
      <c r="J724">
        <v>0</v>
      </c>
      <c r="K724">
        <v>26</v>
      </c>
      <c r="L724" t="s">
        <v>39</v>
      </c>
      <c r="M724" t="s">
        <v>38</v>
      </c>
      <c r="N724" s="1">
        <v>45869</v>
      </c>
      <c r="O724" s="2">
        <v>0.54215277777777782</v>
      </c>
      <c r="P724" s="2">
        <v>0.91686342592592596</v>
      </c>
      <c r="Q724">
        <v>9</v>
      </c>
      <c r="R724">
        <v>8.99</v>
      </c>
      <c r="S724">
        <v>1.41</v>
      </c>
      <c r="T724">
        <v>7.0000000000000007E-2</v>
      </c>
      <c r="U724">
        <v>0</v>
      </c>
      <c r="V724">
        <v>0.02</v>
      </c>
      <c r="W724">
        <v>5.01</v>
      </c>
      <c r="X724">
        <v>1.47</v>
      </c>
      <c r="Y724">
        <v>1.01</v>
      </c>
      <c r="Z724">
        <v>0</v>
      </c>
      <c r="AA724">
        <v>0</v>
      </c>
      <c r="AB724">
        <v>0</v>
      </c>
      <c r="AC724">
        <v>8.99</v>
      </c>
      <c r="AD724">
        <v>15.68</v>
      </c>
      <c r="AE724">
        <v>0.78</v>
      </c>
      <c r="AF724">
        <v>0</v>
      </c>
      <c r="AG724">
        <v>0.17</v>
      </c>
      <c r="AH724">
        <v>55.74</v>
      </c>
      <c r="AI724">
        <v>16.34</v>
      </c>
      <c r="AJ724">
        <v>11.25</v>
      </c>
      <c r="AK724">
        <v>0</v>
      </c>
      <c r="AL724">
        <v>0</v>
      </c>
      <c r="AM724">
        <v>0.03</v>
      </c>
      <c r="AN724">
        <f t="shared" si="34"/>
        <v>5</v>
      </c>
      <c r="AO724" t="str">
        <f t="shared" si="35"/>
        <v>Thursday</v>
      </c>
    </row>
    <row r="725" spans="1:41" x14ac:dyDescent="0.2">
      <c r="A725" t="s">
        <v>40</v>
      </c>
      <c r="B725" s="1">
        <v>45869</v>
      </c>
      <c r="C725" s="1">
        <f t="shared" si="33"/>
        <v>45869</v>
      </c>
      <c r="D725">
        <v>14</v>
      </c>
      <c r="E725">
        <v>26</v>
      </c>
      <c r="F725">
        <v>2</v>
      </c>
      <c r="G725">
        <v>4</v>
      </c>
      <c r="H725">
        <v>5</v>
      </c>
      <c r="I725">
        <v>0</v>
      </c>
      <c r="J725">
        <v>0</v>
      </c>
      <c r="K725">
        <v>10</v>
      </c>
      <c r="L725" t="s">
        <v>40</v>
      </c>
      <c r="M725" t="s">
        <v>38</v>
      </c>
      <c r="N725" s="1">
        <v>45869</v>
      </c>
      <c r="O725" s="2">
        <v>0.53997685185185185</v>
      </c>
      <c r="P725" s="2">
        <v>0.91667824074074078</v>
      </c>
      <c r="Q725">
        <v>9.0500000000000007</v>
      </c>
      <c r="R725">
        <v>9.0399999999999991</v>
      </c>
      <c r="S725">
        <v>1.32</v>
      </c>
      <c r="T725">
        <v>0</v>
      </c>
      <c r="U725">
        <v>0</v>
      </c>
      <c r="V725">
        <v>0.33</v>
      </c>
      <c r="W725">
        <v>4.83</v>
      </c>
      <c r="X725">
        <v>1.5</v>
      </c>
      <c r="Y725">
        <v>1.01</v>
      </c>
      <c r="Z725">
        <v>0</v>
      </c>
      <c r="AA725">
        <v>0</v>
      </c>
      <c r="AB725">
        <v>0.04</v>
      </c>
      <c r="AC725">
        <v>9.0399999999999991</v>
      </c>
      <c r="AD725">
        <v>14.59</v>
      </c>
      <c r="AE725">
        <v>0</v>
      </c>
      <c r="AF725">
        <v>0</v>
      </c>
      <c r="AG725">
        <v>3.71</v>
      </c>
      <c r="AH725">
        <v>53.47</v>
      </c>
      <c r="AI725">
        <v>16.63</v>
      </c>
      <c r="AJ725">
        <v>11.17</v>
      </c>
      <c r="AK725">
        <v>0</v>
      </c>
      <c r="AL725">
        <v>0.01</v>
      </c>
      <c r="AM725">
        <v>0.42</v>
      </c>
      <c r="AN725">
        <f t="shared" si="34"/>
        <v>5</v>
      </c>
      <c r="AO725" t="str">
        <f t="shared" si="35"/>
        <v>Thursday</v>
      </c>
    </row>
    <row r="726" spans="1:41" x14ac:dyDescent="0.2">
      <c r="A726" t="s">
        <v>41</v>
      </c>
      <c r="B726" s="1">
        <v>45869</v>
      </c>
      <c r="C726" s="1">
        <f t="shared" si="33"/>
        <v>45869</v>
      </c>
      <c r="D726">
        <v>7</v>
      </c>
      <c r="E726">
        <v>15</v>
      </c>
      <c r="F726">
        <v>5</v>
      </c>
      <c r="G726">
        <v>3</v>
      </c>
      <c r="H726">
        <v>2</v>
      </c>
      <c r="I726">
        <v>0</v>
      </c>
      <c r="J726">
        <v>0</v>
      </c>
      <c r="K726">
        <v>6</v>
      </c>
      <c r="L726" t="s">
        <v>41</v>
      </c>
      <c r="M726" t="s">
        <v>38</v>
      </c>
      <c r="N726" s="1">
        <v>45869</v>
      </c>
      <c r="O726" s="2">
        <v>0.54185185185185181</v>
      </c>
      <c r="P726" s="2">
        <v>0.74935185185185182</v>
      </c>
      <c r="Q726">
        <v>4.9800000000000004</v>
      </c>
      <c r="R726">
        <v>4.9800000000000004</v>
      </c>
      <c r="S726">
        <v>0.35</v>
      </c>
      <c r="T726">
        <v>0</v>
      </c>
      <c r="U726">
        <v>0</v>
      </c>
      <c r="V726">
        <v>7.0000000000000007E-2</v>
      </c>
      <c r="W726">
        <v>2.06</v>
      </c>
      <c r="X726">
        <v>1.19</v>
      </c>
      <c r="Y726">
        <v>1.3</v>
      </c>
      <c r="Z726">
        <v>0</v>
      </c>
      <c r="AA726">
        <v>0</v>
      </c>
      <c r="AB726">
        <v>0</v>
      </c>
      <c r="AC726">
        <v>4.9800000000000004</v>
      </c>
      <c r="AD726">
        <v>7.09</v>
      </c>
      <c r="AE726">
        <v>0</v>
      </c>
      <c r="AF726">
        <v>0</v>
      </c>
      <c r="AG726">
        <v>1.34</v>
      </c>
      <c r="AH726">
        <v>41.45</v>
      </c>
      <c r="AI726">
        <v>23.94</v>
      </c>
      <c r="AJ726">
        <v>26.11</v>
      </c>
      <c r="AK726">
        <v>0</v>
      </c>
      <c r="AL726">
        <v>0</v>
      </c>
      <c r="AM726">
        <v>7.0000000000000007E-2</v>
      </c>
      <c r="AN726">
        <f t="shared" si="34"/>
        <v>5</v>
      </c>
      <c r="AO726" t="str">
        <f t="shared" si="35"/>
        <v>Thursday</v>
      </c>
    </row>
    <row r="727" spans="1:41" x14ac:dyDescent="0.2">
      <c r="A727" t="s">
        <v>43</v>
      </c>
      <c r="B727" s="1">
        <v>45869</v>
      </c>
      <c r="C727" s="1">
        <f t="shared" si="33"/>
        <v>45869</v>
      </c>
      <c r="D727">
        <v>22</v>
      </c>
      <c r="E727">
        <v>48</v>
      </c>
      <c r="F727">
        <v>1</v>
      </c>
      <c r="G727">
        <v>5</v>
      </c>
      <c r="H727">
        <v>7</v>
      </c>
      <c r="I727">
        <v>0</v>
      </c>
      <c r="J727">
        <v>0</v>
      </c>
      <c r="K727">
        <v>25</v>
      </c>
      <c r="L727" t="s">
        <v>43</v>
      </c>
      <c r="M727" t="s">
        <v>38</v>
      </c>
      <c r="N727" s="1">
        <v>45869</v>
      </c>
      <c r="O727" s="2">
        <v>0.54120370370370374</v>
      </c>
      <c r="P727" s="2">
        <v>0.92189814814814819</v>
      </c>
      <c r="Q727">
        <v>9.1300000000000008</v>
      </c>
      <c r="R727">
        <v>9.14</v>
      </c>
      <c r="S727">
        <v>1.1399999999999999</v>
      </c>
      <c r="T727">
        <v>7.0000000000000007E-2</v>
      </c>
      <c r="U727">
        <v>0</v>
      </c>
      <c r="V727">
        <v>0.45</v>
      </c>
      <c r="W727">
        <v>4.13</v>
      </c>
      <c r="X727">
        <v>1.46</v>
      </c>
      <c r="Y727">
        <v>1.88</v>
      </c>
      <c r="Z727">
        <v>0</v>
      </c>
      <c r="AA727">
        <v>0</v>
      </c>
      <c r="AB727">
        <v>0.01</v>
      </c>
      <c r="AC727">
        <v>9.14</v>
      </c>
      <c r="AD727">
        <v>12.42</v>
      </c>
      <c r="AE727">
        <v>0.78</v>
      </c>
      <c r="AF727">
        <v>0</v>
      </c>
      <c r="AG727">
        <v>4.93</v>
      </c>
      <c r="AH727">
        <v>45.2</v>
      </c>
      <c r="AI727">
        <v>16.02</v>
      </c>
      <c r="AJ727">
        <v>20.59</v>
      </c>
      <c r="AK727">
        <v>0</v>
      </c>
      <c r="AL727">
        <v>0</v>
      </c>
      <c r="AM727">
        <v>0.05</v>
      </c>
      <c r="AN727">
        <f t="shared" si="34"/>
        <v>5</v>
      </c>
      <c r="AO727" t="str">
        <f t="shared" si="35"/>
        <v>Thursday</v>
      </c>
    </row>
    <row r="728" spans="1:41" x14ac:dyDescent="0.2">
      <c r="B728" s="1">
        <v>45869</v>
      </c>
      <c r="C728" s="1">
        <f t="shared" si="33"/>
        <v>45869</v>
      </c>
      <c r="D728">
        <v>495</v>
      </c>
      <c r="E728">
        <v>0</v>
      </c>
      <c r="F728">
        <v>0</v>
      </c>
      <c r="G728">
        <v>0</v>
      </c>
      <c r="H728">
        <v>0</v>
      </c>
      <c r="I728">
        <v>0</v>
      </c>
      <c r="J728">
        <v>0</v>
      </c>
      <c r="K728">
        <v>0</v>
      </c>
      <c r="AN728">
        <f t="shared" si="34"/>
        <v>5</v>
      </c>
      <c r="AO728" t="str">
        <f t="shared" si="35"/>
        <v>Thursday</v>
      </c>
    </row>
    <row r="729" spans="1:41" x14ac:dyDescent="0.2">
      <c r="A729" t="s">
        <v>37</v>
      </c>
      <c r="B729" s="1">
        <v>45868</v>
      </c>
      <c r="C729" s="1">
        <f t="shared" si="33"/>
        <v>45869</v>
      </c>
      <c r="D729">
        <v>20</v>
      </c>
      <c r="E729">
        <v>49</v>
      </c>
      <c r="F729">
        <v>4</v>
      </c>
      <c r="G729">
        <v>0</v>
      </c>
      <c r="H729">
        <v>8</v>
      </c>
      <c r="I729">
        <v>2</v>
      </c>
      <c r="J729">
        <v>0</v>
      </c>
      <c r="K729">
        <v>32</v>
      </c>
      <c r="L729" t="s">
        <v>37</v>
      </c>
      <c r="M729" t="s">
        <v>38</v>
      </c>
      <c r="N729" s="1">
        <v>45868</v>
      </c>
      <c r="O729" s="2">
        <v>0.5422569444444445</v>
      </c>
      <c r="P729" s="2">
        <v>0.9167939814814815</v>
      </c>
      <c r="Q729">
        <v>9</v>
      </c>
      <c r="R729">
        <v>8.07</v>
      </c>
      <c r="S729">
        <v>1.47</v>
      </c>
      <c r="T729">
        <v>0.31</v>
      </c>
      <c r="U729">
        <v>0</v>
      </c>
      <c r="V729">
        <v>0.25</v>
      </c>
      <c r="W729">
        <v>5.66</v>
      </c>
      <c r="X729">
        <v>0.37</v>
      </c>
      <c r="Y729">
        <v>0</v>
      </c>
      <c r="Z729">
        <v>0</v>
      </c>
      <c r="AA729">
        <v>0</v>
      </c>
      <c r="AB729">
        <v>0.01</v>
      </c>
      <c r="AC729">
        <v>8.07</v>
      </c>
      <c r="AD729">
        <v>18.23</v>
      </c>
      <c r="AE729">
        <v>3.87</v>
      </c>
      <c r="AF729">
        <v>0</v>
      </c>
      <c r="AG729">
        <v>3.13</v>
      </c>
      <c r="AH729">
        <v>70.12</v>
      </c>
      <c r="AI729">
        <v>4.5199999999999996</v>
      </c>
      <c r="AJ729">
        <v>0</v>
      </c>
      <c r="AK729">
        <v>0</v>
      </c>
      <c r="AL729">
        <v>0</v>
      </c>
      <c r="AM729">
        <v>0.13</v>
      </c>
      <c r="AN729">
        <f t="shared" si="34"/>
        <v>4</v>
      </c>
      <c r="AO729" t="str">
        <f t="shared" si="35"/>
        <v>Wednesday</v>
      </c>
    </row>
    <row r="730" spans="1:41" x14ac:dyDescent="0.2">
      <c r="A730" t="s">
        <v>39</v>
      </c>
      <c r="B730" s="1">
        <v>45868</v>
      </c>
      <c r="C730" s="1">
        <f t="shared" si="33"/>
        <v>45869</v>
      </c>
      <c r="D730">
        <v>18</v>
      </c>
      <c r="E730">
        <v>43</v>
      </c>
      <c r="F730">
        <v>2</v>
      </c>
      <c r="G730">
        <v>2</v>
      </c>
      <c r="H730">
        <v>5</v>
      </c>
      <c r="I730">
        <v>2</v>
      </c>
      <c r="J730">
        <v>0</v>
      </c>
      <c r="K730">
        <v>23</v>
      </c>
      <c r="L730" t="s">
        <v>39</v>
      </c>
      <c r="M730" t="s">
        <v>38</v>
      </c>
      <c r="N730" s="1">
        <v>45868</v>
      </c>
      <c r="O730" s="2">
        <v>0.54172453703703705</v>
      </c>
      <c r="P730" s="2">
        <v>0.91685185185185181</v>
      </c>
      <c r="Q730">
        <v>9</v>
      </c>
      <c r="R730">
        <v>9</v>
      </c>
      <c r="S730">
        <v>0.97</v>
      </c>
      <c r="T730">
        <v>0.16</v>
      </c>
      <c r="U730">
        <v>0</v>
      </c>
      <c r="V730">
        <v>0.01</v>
      </c>
      <c r="W730">
        <v>6.4</v>
      </c>
      <c r="X730">
        <v>1.45</v>
      </c>
      <c r="Y730">
        <v>0</v>
      </c>
      <c r="Z730">
        <v>0</v>
      </c>
      <c r="AA730">
        <v>0</v>
      </c>
      <c r="AB730">
        <v>0</v>
      </c>
      <c r="AC730">
        <v>9</v>
      </c>
      <c r="AD730">
        <v>10.76</v>
      </c>
      <c r="AE730">
        <v>1.8</v>
      </c>
      <c r="AF730">
        <v>0</v>
      </c>
      <c r="AG730">
        <v>0.13</v>
      </c>
      <c r="AH730">
        <v>71.11</v>
      </c>
      <c r="AI730">
        <v>16.16</v>
      </c>
      <c r="AJ730">
        <v>0</v>
      </c>
      <c r="AK730">
        <v>0</v>
      </c>
      <c r="AL730">
        <v>0</v>
      </c>
      <c r="AM730">
        <v>0.04</v>
      </c>
      <c r="AN730">
        <f t="shared" si="34"/>
        <v>4</v>
      </c>
      <c r="AO730" t="str">
        <f t="shared" si="35"/>
        <v>Wednesday</v>
      </c>
    </row>
    <row r="731" spans="1:41" x14ac:dyDescent="0.2">
      <c r="A731" t="s">
        <v>40</v>
      </c>
      <c r="B731" s="1">
        <v>45868</v>
      </c>
      <c r="C731" s="1">
        <f t="shared" si="33"/>
        <v>45869</v>
      </c>
      <c r="D731">
        <v>17</v>
      </c>
      <c r="E731">
        <v>38</v>
      </c>
      <c r="F731">
        <v>6</v>
      </c>
      <c r="G731">
        <v>0</v>
      </c>
      <c r="H731">
        <v>11</v>
      </c>
      <c r="I731">
        <v>0</v>
      </c>
      <c r="J731">
        <v>2</v>
      </c>
      <c r="K731">
        <v>17</v>
      </c>
      <c r="L731" t="s">
        <v>40</v>
      </c>
      <c r="M731" t="s">
        <v>38</v>
      </c>
      <c r="N731" s="1">
        <v>45868</v>
      </c>
      <c r="O731" s="2">
        <v>0.53804398148148147</v>
      </c>
      <c r="P731" s="2">
        <v>0.91675925925925927</v>
      </c>
      <c r="Q731">
        <v>9.1</v>
      </c>
      <c r="R731">
        <v>9.09</v>
      </c>
      <c r="S731">
        <v>0.88</v>
      </c>
      <c r="T731">
        <v>0</v>
      </c>
      <c r="U731">
        <v>0</v>
      </c>
      <c r="V731">
        <v>0.4</v>
      </c>
      <c r="W731">
        <v>4.8899999999999997</v>
      </c>
      <c r="X731">
        <v>1.5</v>
      </c>
      <c r="Y731">
        <v>1.35</v>
      </c>
      <c r="Z731">
        <v>0</v>
      </c>
      <c r="AA731">
        <v>0</v>
      </c>
      <c r="AB731">
        <v>0.08</v>
      </c>
      <c r="AC731">
        <v>9.09</v>
      </c>
      <c r="AD731">
        <v>9.67</v>
      </c>
      <c r="AE731">
        <v>0</v>
      </c>
      <c r="AF731">
        <v>0</v>
      </c>
      <c r="AG731">
        <v>4.3499999999999996</v>
      </c>
      <c r="AH731">
        <v>53.82</v>
      </c>
      <c r="AI731">
        <v>16.52</v>
      </c>
      <c r="AJ731">
        <v>14.81</v>
      </c>
      <c r="AK731">
        <v>0</v>
      </c>
      <c r="AL731">
        <v>0</v>
      </c>
      <c r="AM731">
        <v>0.83</v>
      </c>
      <c r="AN731">
        <f t="shared" si="34"/>
        <v>4</v>
      </c>
      <c r="AO731" t="str">
        <f t="shared" si="35"/>
        <v>Wednesday</v>
      </c>
    </row>
    <row r="732" spans="1:41" x14ac:dyDescent="0.2">
      <c r="A732" t="s">
        <v>41</v>
      </c>
      <c r="B732" s="1">
        <v>45868</v>
      </c>
      <c r="C732" s="1">
        <f t="shared" si="33"/>
        <v>45869</v>
      </c>
      <c r="D732">
        <v>9</v>
      </c>
      <c r="E732">
        <v>20</v>
      </c>
      <c r="F732">
        <v>0</v>
      </c>
      <c r="G732">
        <v>3</v>
      </c>
      <c r="H732">
        <v>1</v>
      </c>
      <c r="I732">
        <v>0</v>
      </c>
      <c r="J732">
        <v>1</v>
      </c>
      <c r="K732">
        <v>13</v>
      </c>
      <c r="L732" t="s">
        <v>41</v>
      </c>
      <c r="M732" t="s">
        <v>38</v>
      </c>
      <c r="N732" s="1">
        <v>45868</v>
      </c>
      <c r="O732" s="2">
        <v>0.54181712962962958</v>
      </c>
      <c r="P732" s="2">
        <v>0.7911111111111111</v>
      </c>
      <c r="Q732">
        <v>5.98</v>
      </c>
      <c r="R732">
        <v>5.98</v>
      </c>
      <c r="S732">
        <v>0.27</v>
      </c>
      <c r="T732">
        <v>0.27</v>
      </c>
      <c r="U732">
        <v>0</v>
      </c>
      <c r="V732">
        <v>0.06</v>
      </c>
      <c r="W732">
        <v>3.51</v>
      </c>
      <c r="X732">
        <v>1.22</v>
      </c>
      <c r="Y732">
        <v>0.65</v>
      </c>
      <c r="Z732">
        <v>0</v>
      </c>
      <c r="AA732">
        <v>0</v>
      </c>
      <c r="AB732">
        <v>0</v>
      </c>
      <c r="AC732">
        <v>5.98</v>
      </c>
      <c r="AD732">
        <v>4.59</v>
      </c>
      <c r="AE732">
        <v>4.45</v>
      </c>
      <c r="AF732">
        <v>0</v>
      </c>
      <c r="AG732">
        <v>1.05</v>
      </c>
      <c r="AH732">
        <v>58.68</v>
      </c>
      <c r="AI732">
        <v>20.39</v>
      </c>
      <c r="AJ732">
        <v>10.79</v>
      </c>
      <c r="AK732">
        <v>0</v>
      </c>
      <c r="AL732">
        <v>0</v>
      </c>
      <c r="AM732">
        <v>0.06</v>
      </c>
      <c r="AN732">
        <f t="shared" si="34"/>
        <v>4</v>
      </c>
      <c r="AO732" t="str">
        <f t="shared" si="35"/>
        <v>Wednesday</v>
      </c>
    </row>
    <row r="733" spans="1:41" x14ac:dyDescent="0.2">
      <c r="A733" t="s">
        <v>42</v>
      </c>
      <c r="B733" s="1">
        <v>45868</v>
      </c>
      <c r="C733" s="1">
        <f t="shared" si="33"/>
        <v>45869</v>
      </c>
      <c r="D733">
        <v>1</v>
      </c>
      <c r="E733">
        <v>1</v>
      </c>
      <c r="F733">
        <v>0</v>
      </c>
      <c r="G733">
        <v>0</v>
      </c>
      <c r="H733">
        <v>1</v>
      </c>
      <c r="I733">
        <v>0</v>
      </c>
      <c r="J733">
        <v>0</v>
      </c>
      <c r="K733">
        <v>0</v>
      </c>
      <c r="L733" t="s">
        <v>42</v>
      </c>
      <c r="M733" t="s">
        <v>38</v>
      </c>
      <c r="N733" s="1">
        <v>45868</v>
      </c>
      <c r="O733" s="2">
        <v>0.55997685185185186</v>
      </c>
      <c r="P733" s="2">
        <v>0.57218749999999996</v>
      </c>
      <c r="Q733">
        <v>0.28000000000000003</v>
      </c>
      <c r="R733">
        <v>0.28999999999999998</v>
      </c>
      <c r="S733">
        <v>0.28000000000000003</v>
      </c>
      <c r="T733">
        <v>0</v>
      </c>
      <c r="U733">
        <v>0</v>
      </c>
      <c r="V733">
        <v>0.01</v>
      </c>
      <c r="W733">
        <v>0</v>
      </c>
      <c r="X733">
        <v>0</v>
      </c>
      <c r="Y733">
        <v>0</v>
      </c>
      <c r="Z733">
        <v>0</v>
      </c>
      <c r="AA733">
        <v>0</v>
      </c>
      <c r="AB733">
        <v>0</v>
      </c>
      <c r="AC733">
        <v>0.28999999999999998</v>
      </c>
      <c r="AD733">
        <v>94.88</v>
      </c>
      <c r="AE733">
        <v>0</v>
      </c>
      <c r="AF733">
        <v>0</v>
      </c>
      <c r="AG733">
        <v>3.98</v>
      </c>
      <c r="AH733">
        <v>0</v>
      </c>
      <c r="AI733">
        <v>0</v>
      </c>
      <c r="AJ733">
        <v>0</v>
      </c>
      <c r="AK733">
        <v>0</v>
      </c>
      <c r="AL733">
        <v>0</v>
      </c>
      <c r="AM733">
        <v>1.1399999999999999</v>
      </c>
      <c r="AN733">
        <f t="shared" si="34"/>
        <v>4</v>
      </c>
      <c r="AO733" t="str">
        <f t="shared" si="35"/>
        <v>Wednesday</v>
      </c>
    </row>
    <row r="734" spans="1:41" x14ac:dyDescent="0.2">
      <c r="A734" t="s">
        <v>43</v>
      </c>
      <c r="B734" s="1">
        <v>45868</v>
      </c>
      <c r="C734" s="1">
        <f t="shared" si="33"/>
        <v>45869</v>
      </c>
      <c r="D734">
        <v>15</v>
      </c>
      <c r="E734">
        <v>31</v>
      </c>
      <c r="F734">
        <v>1</v>
      </c>
      <c r="G734">
        <v>3</v>
      </c>
      <c r="H734">
        <v>3</v>
      </c>
      <c r="I734">
        <v>3</v>
      </c>
      <c r="J734">
        <v>0</v>
      </c>
      <c r="K734">
        <v>13</v>
      </c>
      <c r="L734" t="s">
        <v>43</v>
      </c>
      <c r="M734" t="s">
        <v>38</v>
      </c>
      <c r="N734" s="1">
        <v>45868</v>
      </c>
      <c r="O734" s="2">
        <v>0.54143518518518519</v>
      </c>
      <c r="P734" s="2">
        <v>0.92277777777777781</v>
      </c>
      <c r="Q734">
        <v>9.15</v>
      </c>
      <c r="R734">
        <v>9.15</v>
      </c>
      <c r="S734">
        <v>1.82</v>
      </c>
      <c r="T734">
        <v>0.23</v>
      </c>
      <c r="U734">
        <v>0</v>
      </c>
      <c r="V734">
        <v>0.48</v>
      </c>
      <c r="W734">
        <v>4.32</v>
      </c>
      <c r="X734">
        <v>1.45</v>
      </c>
      <c r="Y734">
        <v>0.81</v>
      </c>
      <c r="Z734">
        <v>0</v>
      </c>
      <c r="AA734">
        <v>0.04</v>
      </c>
      <c r="AB734">
        <v>0</v>
      </c>
      <c r="AC734">
        <v>9.15</v>
      </c>
      <c r="AD734">
        <v>19.850000000000001</v>
      </c>
      <c r="AE734">
        <v>2.5299999999999998</v>
      </c>
      <c r="AF734">
        <v>0</v>
      </c>
      <c r="AG734">
        <v>5.22</v>
      </c>
      <c r="AH734">
        <v>47.16</v>
      </c>
      <c r="AI734">
        <v>15.89</v>
      </c>
      <c r="AJ734">
        <v>8.83</v>
      </c>
      <c r="AK734">
        <v>0</v>
      </c>
      <c r="AL734">
        <v>0.48</v>
      </c>
      <c r="AM734">
        <v>0.04</v>
      </c>
      <c r="AN734">
        <f t="shared" si="34"/>
        <v>4</v>
      </c>
      <c r="AO734" t="str">
        <f t="shared" si="35"/>
        <v>Wednesday</v>
      </c>
    </row>
    <row r="735" spans="1:41" x14ac:dyDescent="0.2">
      <c r="B735" s="1">
        <v>45868</v>
      </c>
      <c r="C735" s="1">
        <f t="shared" si="33"/>
        <v>45869</v>
      </c>
      <c r="D735">
        <v>511</v>
      </c>
      <c r="E735">
        <v>0</v>
      </c>
      <c r="F735">
        <v>0</v>
      </c>
      <c r="G735">
        <v>0</v>
      </c>
      <c r="H735">
        <v>0</v>
      </c>
      <c r="I735">
        <v>0</v>
      </c>
      <c r="J735">
        <v>0</v>
      </c>
      <c r="K735">
        <v>0</v>
      </c>
      <c r="AN735">
        <f t="shared" si="34"/>
        <v>4</v>
      </c>
      <c r="AO735" t="str">
        <f t="shared" si="35"/>
        <v>Wednesday</v>
      </c>
    </row>
    <row r="736" spans="1:41" x14ac:dyDescent="0.2">
      <c r="A736" t="s">
        <v>37</v>
      </c>
      <c r="B736" s="1">
        <v>45867</v>
      </c>
      <c r="C736" s="1">
        <f t="shared" si="33"/>
        <v>45869</v>
      </c>
      <c r="D736">
        <v>19</v>
      </c>
      <c r="E736">
        <v>55</v>
      </c>
      <c r="F736">
        <v>1</v>
      </c>
      <c r="G736">
        <v>2</v>
      </c>
      <c r="H736">
        <v>9</v>
      </c>
      <c r="I736">
        <v>1</v>
      </c>
      <c r="J736">
        <v>0</v>
      </c>
      <c r="K736">
        <v>37</v>
      </c>
      <c r="L736" t="s">
        <v>37</v>
      </c>
      <c r="M736" t="s">
        <v>38</v>
      </c>
      <c r="N736" s="1">
        <v>45867</v>
      </c>
      <c r="O736" s="2">
        <v>0.54067129629629629</v>
      </c>
      <c r="P736" s="2">
        <v>0.91681712962962958</v>
      </c>
      <c r="Q736">
        <v>9.0299999999999994</v>
      </c>
      <c r="R736">
        <v>8.09</v>
      </c>
      <c r="S736">
        <v>1.44</v>
      </c>
      <c r="T736">
        <v>0.61</v>
      </c>
      <c r="U736">
        <v>0</v>
      </c>
      <c r="V736">
        <v>0.27</v>
      </c>
      <c r="W736">
        <v>5.41</v>
      </c>
      <c r="X736">
        <v>0.32</v>
      </c>
      <c r="Y736">
        <v>0</v>
      </c>
      <c r="Z736">
        <v>0</v>
      </c>
      <c r="AA736">
        <v>0</v>
      </c>
      <c r="AB736">
        <v>0.04</v>
      </c>
      <c r="AC736">
        <v>8.09</v>
      </c>
      <c r="AD736">
        <v>17.79</v>
      </c>
      <c r="AE736">
        <v>7.5</v>
      </c>
      <c r="AF736">
        <v>0</v>
      </c>
      <c r="AG736">
        <v>3.35</v>
      </c>
      <c r="AH736">
        <v>66.930000000000007</v>
      </c>
      <c r="AI736">
        <v>3.95</v>
      </c>
      <c r="AJ736">
        <v>0</v>
      </c>
      <c r="AK736">
        <v>0</v>
      </c>
      <c r="AL736">
        <v>0</v>
      </c>
      <c r="AM736">
        <v>0.48</v>
      </c>
      <c r="AN736">
        <f t="shared" si="34"/>
        <v>3</v>
      </c>
      <c r="AO736" t="str">
        <f t="shared" si="35"/>
        <v>Tuesday</v>
      </c>
    </row>
    <row r="737" spans="1:41" x14ac:dyDescent="0.2">
      <c r="A737" t="s">
        <v>39</v>
      </c>
      <c r="B737" s="1">
        <v>45867</v>
      </c>
      <c r="C737" s="1">
        <f t="shared" si="33"/>
        <v>45869</v>
      </c>
      <c r="D737">
        <v>41</v>
      </c>
      <c r="E737">
        <v>85</v>
      </c>
      <c r="F737">
        <v>7</v>
      </c>
      <c r="G737">
        <v>6</v>
      </c>
      <c r="H737">
        <v>9</v>
      </c>
      <c r="I737">
        <v>0</v>
      </c>
      <c r="J737">
        <v>2</v>
      </c>
      <c r="K737">
        <v>32</v>
      </c>
      <c r="L737" t="s">
        <v>39</v>
      </c>
      <c r="M737" t="s">
        <v>38</v>
      </c>
      <c r="N737" s="1">
        <v>45867</v>
      </c>
      <c r="O737" s="2">
        <v>0.541875</v>
      </c>
      <c r="P737" s="2">
        <v>0.91672453703703705</v>
      </c>
      <c r="Q737">
        <v>9</v>
      </c>
      <c r="R737">
        <v>9</v>
      </c>
      <c r="S737">
        <v>1.85</v>
      </c>
      <c r="T737">
        <v>0.16</v>
      </c>
      <c r="U737">
        <v>0</v>
      </c>
      <c r="V737">
        <v>0.03</v>
      </c>
      <c r="W737">
        <v>5.47</v>
      </c>
      <c r="X737">
        <v>1.48</v>
      </c>
      <c r="Y737">
        <v>0</v>
      </c>
      <c r="Z737">
        <v>0</v>
      </c>
      <c r="AA737">
        <v>0</v>
      </c>
      <c r="AB737">
        <v>0</v>
      </c>
      <c r="AC737">
        <v>9</v>
      </c>
      <c r="AD737">
        <v>20.54</v>
      </c>
      <c r="AE737">
        <v>1.78</v>
      </c>
      <c r="AF737">
        <v>0</v>
      </c>
      <c r="AG737">
        <v>0.36</v>
      </c>
      <c r="AH737">
        <v>60.82</v>
      </c>
      <c r="AI737">
        <v>16.46</v>
      </c>
      <c r="AJ737">
        <v>0</v>
      </c>
      <c r="AK737">
        <v>0</v>
      </c>
      <c r="AL737">
        <v>0</v>
      </c>
      <c r="AM737">
        <v>0.04</v>
      </c>
      <c r="AN737">
        <f t="shared" si="34"/>
        <v>3</v>
      </c>
      <c r="AO737" t="str">
        <f t="shared" si="35"/>
        <v>Tuesday</v>
      </c>
    </row>
    <row r="738" spans="1:41" x14ac:dyDescent="0.2">
      <c r="A738" t="s">
        <v>40</v>
      </c>
      <c r="B738" s="1">
        <v>45867</v>
      </c>
      <c r="C738" s="1">
        <f t="shared" si="33"/>
        <v>45869</v>
      </c>
      <c r="D738">
        <v>29</v>
      </c>
      <c r="E738">
        <v>72</v>
      </c>
      <c r="F738">
        <v>4</v>
      </c>
      <c r="G738">
        <v>1</v>
      </c>
      <c r="H738">
        <v>16</v>
      </c>
      <c r="I738">
        <v>0</v>
      </c>
      <c r="J738">
        <v>4</v>
      </c>
      <c r="K738">
        <v>25</v>
      </c>
      <c r="L738" t="s">
        <v>40</v>
      </c>
      <c r="M738" t="s">
        <v>38</v>
      </c>
      <c r="N738" s="1">
        <v>45867</v>
      </c>
      <c r="O738" s="2">
        <v>0.5414930555555556</v>
      </c>
      <c r="P738" s="2">
        <v>0.91793981481481479</v>
      </c>
      <c r="Q738">
        <v>9.0299999999999994</v>
      </c>
      <c r="R738">
        <v>9.0299999999999994</v>
      </c>
      <c r="S738">
        <v>2.12</v>
      </c>
      <c r="T738">
        <v>0</v>
      </c>
      <c r="U738">
        <v>0</v>
      </c>
      <c r="V738">
        <v>0.6</v>
      </c>
      <c r="W738">
        <v>4.79</v>
      </c>
      <c r="X738">
        <v>1.53</v>
      </c>
      <c r="Y738">
        <v>0</v>
      </c>
      <c r="Z738">
        <v>0</v>
      </c>
      <c r="AA738">
        <v>0</v>
      </c>
      <c r="AB738">
        <v>0</v>
      </c>
      <c r="AC738">
        <v>9.0299999999999994</v>
      </c>
      <c r="AD738">
        <v>23.45</v>
      </c>
      <c r="AE738">
        <v>0</v>
      </c>
      <c r="AF738">
        <v>0</v>
      </c>
      <c r="AG738">
        <v>6.59</v>
      </c>
      <c r="AH738">
        <v>52.99</v>
      </c>
      <c r="AI738">
        <v>16.93</v>
      </c>
      <c r="AJ738">
        <v>0</v>
      </c>
      <c r="AK738">
        <v>0</v>
      </c>
      <c r="AL738">
        <v>0</v>
      </c>
      <c r="AM738">
        <v>0.05</v>
      </c>
      <c r="AN738">
        <f t="shared" si="34"/>
        <v>3</v>
      </c>
      <c r="AO738" t="str">
        <f t="shared" si="35"/>
        <v>Tuesday</v>
      </c>
    </row>
    <row r="739" spans="1:41" x14ac:dyDescent="0.2">
      <c r="A739" t="s">
        <v>41</v>
      </c>
      <c r="B739" s="1">
        <v>45867</v>
      </c>
      <c r="C739" s="1">
        <f t="shared" si="33"/>
        <v>45869</v>
      </c>
      <c r="D739">
        <v>23</v>
      </c>
      <c r="E739">
        <v>45</v>
      </c>
      <c r="F739">
        <v>8</v>
      </c>
      <c r="G739">
        <v>4</v>
      </c>
      <c r="H739">
        <v>6</v>
      </c>
      <c r="I739">
        <v>0</v>
      </c>
      <c r="J739">
        <v>2</v>
      </c>
      <c r="K739">
        <v>14</v>
      </c>
      <c r="L739" t="s">
        <v>41</v>
      </c>
      <c r="M739" t="s">
        <v>38</v>
      </c>
      <c r="N739" s="1">
        <v>45867</v>
      </c>
      <c r="O739" s="2">
        <v>0.5417939814814815</v>
      </c>
      <c r="P739" s="2">
        <v>0.91658564814814814</v>
      </c>
      <c r="Q739">
        <v>8.98</v>
      </c>
      <c r="R739">
        <v>8.99</v>
      </c>
      <c r="S739">
        <v>1.1200000000000001</v>
      </c>
      <c r="T739">
        <v>0.12</v>
      </c>
      <c r="U739">
        <v>0</v>
      </c>
      <c r="V739">
        <v>0.24</v>
      </c>
      <c r="W739">
        <v>6.06</v>
      </c>
      <c r="X739">
        <v>1.45</v>
      </c>
      <c r="Y739">
        <v>0</v>
      </c>
      <c r="Z739">
        <v>0</v>
      </c>
      <c r="AA739">
        <v>0</v>
      </c>
      <c r="AB739">
        <v>0</v>
      </c>
      <c r="AC739">
        <v>8.99</v>
      </c>
      <c r="AD739">
        <v>12.47</v>
      </c>
      <c r="AE739">
        <v>1.31</v>
      </c>
      <c r="AF739">
        <v>0</v>
      </c>
      <c r="AG739">
        <v>2.67</v>
      </c>
      <c r="AH739">
        <v>67.34</v>
      </c>
      <c r="AI739">
        <v>16.16</v>
      </c>
      <c r="AJ739">
        <v>0</v>
      </c>
      <c r="AK739">
        <v>0</v>
      </c>
      <c r="AL739">
        <v>0</v>
      </c>
      <c r="AM739">
        <v>0.04</v>
      </c>
      <c r="AN739">
        <f t="shared" si="34"/>
        <v>3</v>
      </c>
      <c r="AO739" t="str">
        <f t="shared" si="35"/>
        <v>Tuesday</v>
      </c>
    </row>
    <row r="740" spans="1:41" x14ac:dyDescent="0.2">
      <c r="A740" t="s">
        <v>42</v>
      </c>
      <c r="B740" s="1">
        <v>45867</v>
      </c>
      <c r="C740" s="1">
        <f t="shared" si="33"/>
        <v>45869</v>
      </c>
      <c r="D740">
        <v>1</v>
      </c>
      <c r="E740">
        <v>1</v>
      </c>
      <c r="F740">
        <v>0</v>
      </c>
      <c r="G740">
        <v>0</v>
      </c>
      <c r="H740">
        <v>0</v>
      </c>
      <c r="I740">
        <v>0</v>
      </c>
      <c r="J740">
        <v>0</v>
      </c>
      <c r="K740">
        <v>0</v>
      </c>
      <c r="L740" t="s">
        <v>42</v>
      </c>
      <c r="M740" t="s">
        <v>38</v>
      </c>
      <c r="N740" s="1">
        <v>45867</v>
      </c>
      <c r="O740" s="2">
        <v>0.68158564814814815</v>
      </c>
      <c r="P740" s="2">
        <v>0.94912037037037034</v>
      </c>
      <c r="Q740">
        <v>6.42</v>
      </c>
      <c r="R740">
        <v>6.42</v>
      </c>
      <c r="S740">
        <v>6.41</v>
      </c>
      <c r="T740">
        <v>0</v>
      </c>
      <c r="U740">
        <v>0</v>
      </c>
      <c r="V740">
        <v>0.01</v>
      </c>
      <c r="W740">
        <v>0</v>
      </c>
      <c r="X740">
        <v>0</v>
      </c>
      <c r="Y740">
        <v>0</v>
      </c>
      <c r="Z740">
        <v>0</v>
      </c>
      <c r="AA740">
        <v>0</v>
      </c>
      <c r="AB740">
        <v>0.01</v>
      </c>
      <c r="AC740">
        <v>6.42</v>
      </c>
      <c r="AD740">
        <v>99.84</v>
      </c>
      <c r="AE740">
        <v>0</v>
      </c>
      <c r="AF740">
        <v>0</v>
      </c>
      <c r="AG740">
        <v>0.08</v>
      </c>
      <c r="AH740">
        <v>0</v>
      </c>
      <c r="AI740">
        <v>0</v>
      </c>
      <c r="AJ740">
        <v>0</v>
      </c>
      <c r="AK740">
        <v>0</v>
      </c>
      <c r="AL740">
        <v>0</v>
      </c>
      <c r="AM740">
        <v>0.08</v>
      </c>
      <c r="AN740">
        <f t="shared" si="34"/>
        <v>3</v>
      </c>
      <c r="AO740" t="str">
        <f t="shared" si="35"/>
        <v>Tuesday</v>
      </c>
    </row>
    <row r="741" spans="1:41" x14ac:dyDescent="0.2">
      <c r="A741" t="s">
        <v>43</v>
      </c>
      <c r="B741" s="1">
        <v>45867</v>
      </c>
      <c r="C741" s="1">
        <f t="shared" si="33"/>
        <v>45869</v>
      </c>
      <c r="D741">
        <v>23</v>
      </c>
      <c r="E741">
        <v>63</v>
      </c>
      <c r="F741">
        <v>3</v>
      </c>
      <c r="G741">
        <v>2</v>
      </c>
      <c r="H741">
        <v>6</v>
      </c>
      <c r="I741">
        <v>1</v>
      </c>
      <c r="J741">
        <v>0</v>
      </c>
      <c r="K741">
        <v>33</v>
      </c>
      <c r="L741" t="s">
        <v>43</v>
      </c>
      <c r="M741" t="s">
        <v>38</v>
      </c>
      <c r="N741" s="1">
        <v>45867</v>
      </c>
      <c r="O741" s="2">
        <v>0.54126157407407405</v>
      </c>
      <c r="P741" s="2">
        <v>0.91806712962962966</v>
      </c>
      <c r="Q741">
        <v>9.0500000000000007</v>
      </c>
      <c r="R741">
        <v>9.0399999999999991</v>
      </c>
      <c r="S741">
        <v>1.32</v>
      </c>
      <c r="T741">
        <v>0.1</v>
      </c>
      <c r="U741">
        <v>0</v>
      </c>
      <c r="V741">
        <v>0.3</v>
      </c>
      <c r="W741">
        <v>5.8</v>
      </c>
      <c r="X741">
        <v>1.51</v>
      </c>
      <c r="Y741">
        <v>0</v>
      </c>
      <c r="Z741">
        <v>0</v>
      </c>
      <c r="AA741">
        <v>0.02</v>
      </c>
      <c r="AB741">
        <v>0</v>
      </c>
      <c r="AC741">
        <v>9.0399999999999991</v>
      </c>
      <c r="AD741">
        <v>14.58</v>
      </c>
      <c r="AE741">
        <v>1.1599999999999999</v>
      </c>
      <c r="AF741">
        <v>0</v>
      </c>
      <c r="AG741">
        <v>3.27</v>
      </c>
      <c r="AH741">
        <v>64.14</v>
      </c>
      <c r="AI741">
        <v>16.64</v>
      </c>
      <c r="AJ741">
        <v>0</v>
      </c>
      <c r="AK741">
        <v>0</v>
      </c>
      <c r="AL741">
        <v>0.17</v>
      </c>
      <c r="AM741">
        <v>0.04</v>
      </c>
      <c r="AN741">
        <f t="shared" si="34"/>
        <v>3</v>
      </c>
      <c r="AO741" t="str">
        <f t="shared" si="35"/>
        <v>Tuesday</v>
      </c>
    </row>
    <row r="742" spans="1:41" x14ac:dyDescent="0.2">
      <c r="B742" s="1">
        <v>45867</v>
      </c>
      <c r="C742" s="1">
        <f t="shared" si="33"/>
        <v>45869</v>
      </c>
      <c r="D742">
        <v>505</v>
      </c>
      <c r="E742">
        <v>0</v>
      </c>
      <c r="F742">
        <v>0</v>
      </c>
      <c r="G742">
        <v>0</v>
      </c>
      <c r="H742">
        <v>0</v>
      </c>
      <c r="I742">
        <v>0</v>
      </c>
      <c r="J742">
        <v>0</v>
      </c>
      <c r="K742">
        <v>0</v>
      </c>
      <c r="AN742">
        <f t="shared" si="34"/>
        <v>3</v>
      </c>
      <c r="AO742" t="str">
        <f t="shared" si="35"/>
        <v>Tuesday</v>
      </c>
    </row>
    <row r="743" spans="1:41" x14ac:dyDescent="0.2">
      <c r="A743" t="s">
        <v>37</v>
      </c>
      <c r="B743" s="1">
        <v>45866</v>
      </c>
      <c r="C743" s="1">
        <f t="shared" si="33"/>
        <v>45869</v>
      </c>
      <c r="D743">
        <v>18</v>
      </c>
      <c r="E743">
        <v>56</v>
      </c>
      <c r="F743">
        <v>3</v>
      </c>
      <c r="G743">
        <v>3</v>
      </c>
      <c r="H743">
        <v>4</v>
      </c>
      <c r="I743">
        <v>1</v>
      </c>
      <c r="J743">
        <v>0</v>
      </c>
      <c r="K743">
        <v>33</v>
      </c>
      <c r="L743" t="s">
        <v>37</v>
      </c>
      <c r="M743" t="s">
        <v>38</v>
      </c>
      <c r="N743" s="1">
        <v>45866</v>
      </c>
      <c r="O743" s="2">
        <v>0.54206018518518517</v>
      </c>
      <c r="P743" s="2">
        <v>0.91695601851851849</v>
      </c>
      <c r="Q743">
        <v>9</v>
      </c>
      <c r="R743">
        <v>8.08</v>
      </c>
      <c r="S743">
        <v>0.9</v>
      </c>
      <c r="T743">
        <v>0.48</v>
      </c>
      <c r="U743">
        <v>0</v>
      </c>
      <c r="V743">
        <v>0.19</v>
      </c>
      <c r="W743">
        <v>5.92</v>
      </c>
      <c r="X743">
        <v>0.56999999999999995</v>
      </c>
      <c r="Y743">
        <v>0</v>
      </c>
      <c r="Z743">
        <v>0</v>
      </c>
      <c r="AA743">
        <v>0</v>
      </c>
      <c r="AB743">
        <v>0.01</v>
      </c>
      <c r="AC743">
        <v>8.08</v>
      </c>
      <c r="AD743">
        <v>11.13</v>
      </c>
      <c r="AE743">
        <v>5.97</v>
      </c>
      <c r="AF743">
        <v>0</v>
      </c>
      <c r="AG743">
        <v>2.31</v>
      </c>
      <c r="AH743">
        <v>73.349999999999994</v>
      </c>
      <c r="AI743">
        <v>7.11</v>
      </c>
      <c r="AJ743">
        <v>0</v>
      </c>
      <c r="AK743">
        <v>0</v>
      </c>
      <c r="AL743">
        <v>0</v>
      </c>
      <c r="AM743">
        <v>0.13</v>
      </c>
      <c r="AN743">
        <f t="shared" si="34"/>
        <v>2</v>
      </c>
      <c r="AO743" t="str">
        <f t="shared" si="35"/>
        <v>Monday</v>
      </c>
    </row>
    <row r="744" spans="1:41" x14ac:dyDescent="0.2">
      <c r="A744" t="s">
        <v>39</v>
      </c>
      <c r="B744" s="1">
        <v>45866</v>
      </c>
      <c r="C744" s="1">
        <f t="shared" si="33"/>
        <v>45869</v>
      </c>
      <c r="D744">
        <v>16</v>
      </c>
      <c r="E744">
        <v>30</v>
      </c>
      <c r="F744">
        <v>2</v>
      </c>
      <c r="G744">
        <v>1</v>
      </c>
      <c r="H744">
        <v>3</v>
      </c>
      <c r="I744">
        <v>0</v>
      </c>
      <c r="J744">
        <v>1</v>
      </c>
      <c r="K744">
        <v>14</v>
      </c>
      <c r="L744" t="s">
        <v>39</v>
      </c>
      <c r="M744" t="s">
        <v>38</v>
      </c>
      <c r="N744" s="1">
        <v>45866</v>
      </c>
      <c r="O744" s="2">
        <v>0.54175925925925927</v>
      </c>
      <c r="P744" s="2">
        <v>0.91675925925925927</v>
      </c>
      <c r="Q744">
        <v>9</v>
      </c>
      <c r="R744">
        <v>9</v>
      </c>
      <c r="S744">
        <v>0.79</v>
      </c>
      <c r="T744">
        <v>0.16</v>
      </c>
      <c r="U744">
        <v>0</v>
      </c>
      <c r="V744">
        <v>0.01</v>
      </c>
      <c r="W744">
        <v>6.57</v>
      </c>
      <c r="X744">
        <v>1.46</v>
      </c>
      <c r="Y744">
        <v>0</v>
      </c>
      <c r="Z744">
        <v>0</v>
      </c>
      <c r="AA744">
        <v>0</v>
      </c>
      <c r="AB744">
        <v>0</v>
      </c>
      <c r="AC744">
        <v>9</v>
      </c>
      <c r="AD744">
        <v>8.81</v>
      </c>
      <c r="AE744">
        <v>1.74</v>
      </c>
      <c r="AF744">
        <v>0</v>
      </c>
      <c r="AG744">
        <v>0.15</v>
      </c>
      <c r="AH744">
        <v>73.010000000000005</v>
      </c>
      <c r="AI744">
        <v>16.239999999999998</v>
      </c>
      <c r="AJ744">
        <v>0</v>
      </c>
      <c r="AK744">
        <v>0</v>
      </c>
      <c r="AL744">
        <v>0</v>
      </c>
      <c r="AM744">
        <v>0.04</v>
      </c>
      <c r="AN744">
        <f t="shared" si="34"/>
        <v>2</v>
      </c>
      <c r="AO744" t="str">
        <f t="shared" si="35"/>
        <v>Monday</v>
      </c>
    </row>
    <row r="745" spans="1:41" x14ac:dyDescent="0.2">
      <c r="A745" t="s">
        <v>40</v>
      </c>
      <c r="B745" s="1">
        <v>45866</v>
      </c>
      <c r="C745" s="1">
        <f t="shared" si="33"/>
        <v>45869</v>
      </c>
      <c r="D745">
        <v>14</v>
      </c>
      <c r="E745">
        <v>28</v>
      </c>
      <c r="F745">
        <v>1</v>
      </c>
      <c r="G745">
        <v>2</v>
      </c>
      <c r="H745">
        <v>7</v>
      </c>
      <c r="I745">
        <v>0</v>
      </c>
      <c r="J745">
        <v>0</v>
      </c>
      <c r="K745">
        <v>14</v>
      </c>
      <c r="L745" t="s">
        <v>40</v>
      </c>
      <c r="M745" t="s">
        <v>38</v>
      </c>
      <c r="N745" s="1">
        <v>45866</v>
      </c>
      <c r="O745" s="2">
        <v>0.54123842592592597</v>
      </c>
      <c r="P745" s="2">
        <v>0.91690972222222222</v>
      </c>
      <c r="Q745">
        <v>9.02</v>
      </c>
      <c r="R745">
        <v>9.02</v>
      </c>
      <c r="S745">
        <v>0.75</v>
      </c>
      <c r="T745">
        <v>0</v>
      </c>
      <c r="U745">
        <v>0</v>
      </c>
      <c r="V745">
        <v>0.28000000000000003</v>
      </c>
      <c r="W745">
        <v>5.93</v>
      </c>
      <c r="X745">
        <v>1.5</v>
      </c>
      <c r="Y745">
        <v>0.54</v>
      </c>
      <c r="Z745">
        <v>0</v>
      </c>
      <c r="AA745">
        <v>0</v>
      </c>
      <c r="AB745">
        <v>0.01</v>
      </c>
      <c r="AC745">
        <v>9.02</v>
      </c>
      <c r="AD745">
        <v>8.34</v>
      </c>
      <c r="AE745">
        <v>0</v>
      </c>
      <c r="AF745">
        <v>0</v>
      </c>
      <c r="AG745">
        <v>3.13</v>
      </c>
      <c r="AH745">
        <v>65.73</v>
      </c>
      <c r="AI745">
        <v>16.68</v>
      </c>
      <c r="AJ745">
        <v>6.01</v>
      </c>
      <c r="AK745">
        <v>0</v>
      </c>
      <c r="AL745">
        <v>0</v>
      </c>
      <c r="AM745">
        <v>0.1</v>
      </c>
      <c r="AN745">
        <f t="shared" si="34"/>
        <v>2</v>
      </c>
      <c r="AO745" t="str">
        <f t="shared" si="35"/>
        <v>Monday</v>
      </c>
    </row>
    <row r="746" spans="1:41" x14ac:dyDescent="0.2">
      <c r="A746" t="s">
        <v>41</v>
      </c>
      <c r="B746" s="1">
        <v>45866</v>
      </c>
      <c r="C746" s="1">
        <f t="shared" si="33"/>
        <v>45869</v>
      </c>
      <c r="D746">
        <v>14</v>
      </c>
      <c r="E746">
        <v>20</v>
      </c>
      <c r="F746">
        <v>1</v>
      </c>
      <c r="G746">
        <v>6</v>
      </c>
      <c r="H746">
        <v>4</v>
      </c>
      <c r="I746">
        <v>0</v>
      </c>
      <c r="J746">
        <v>0</v>
      </c>
      <c r="K746">
        <v>6</v>
      </c>
      <c r="L746" t="s">
        <v>41</v>
      </c>
      <c r="M746" t="s">
        <v>38</v>
      </c>
      <c r="N746" s="1">
        <v>45866</v>
      </c>
      <c r="O746" s="2">
        <v>0.54193287037037041</v>
      </c>
      <c r="P746" s="2">
        <v>0.91585648148148147</v>
      </c>
      <c r="Q746">
        <v>8.9700000000000006</v>
      </c>
      <c r="R746">
        <v>8.9700000000000006</v>
      </c>
      <c r="S746">
        <v>0.95</v>
      </c>
      <c r="T746">
        <v>0.26</v>
      </c>
      <c r="U746">
        <v>0</v>
      </c>
      <c r="V746">
        <v>0.06</v>
      </c>
      <c r="W746">
        <v>6.26</v>
      </c>
      <c r="X746">
        <v>1.44</v>
      </c>
      <c r="Y746">
        <v>0</v>
      </c>
      <c r="Z746">
        <v>0</v>
      </c>
      <c r="AA746">
        <v>0</v>
      </c>
      <c r="AB746">
        <v>0</v>
      </c>
      <c r="AC746">
        <v>8.9700000000000006</v>
      </c>
      <c r="AD746">
        <v>10.61</v>
      </c>
      <c r="AE746">
        <v>2.93</v>
      </c>
      <c r="AF746">
        <v>0</v>
      </c>
      <c r="AG746">
        <v>0.62</v>
      </c>
      <c r="AH746">
        <v>69.790000000000006</v>
      </c>
      <c r="AI746">
        <v>16</v>
      </c>
      <c r="AJ746">
        <v>0</v>
      </c>
      <c r="AK746">
        <v>0</v>
      </c>
      <c r="AL746">
        <v>0</v>
      </c>
      <c r="AM746">
        <v>0.04</v>
      </c>
      <c r="AN746">
        <f t="shared" si="34"/>
        <v>2</v>
      </c>
      <c r="AO746" t="str">
        <f t="shared" si="35"/>
        <v>Monday</v>
      </c>
    </row>
    <row r="747" spans="1:41" x14ac:dyDescent="0.2">
      <c r="A747" t="s">
        <v>43</v>
      </c>
      <c r="B747" s="1">
        <v>45866</v>
      </c>
      <c r="C747" s="1">
        <f t="shared" si="33"/>
        <v>45869</v>
      </c>
      <c r="D747">
        <v>17</v>
      </c>
      <c r="E747">
        <v>46</v>
      </c>
      <c r="F747">
        <v>1</v>
      </c>
      <c r="G747">
        <v>5</v>
      </c>
      <c r="H747">
        <v>4</v>
      </c>
      <c r="I747">
        <v>7</v>
      </c>
      <c r="J747">
        <v>0</v>
      </c>
      <c r="K747">
        <v>20</v>
      </c>
      <c r="L747" t="s">
        <v>43</v>
      </c>
      <c r="M747" t="s">
        <v>38</v>
      </c>
      <c r="N747" s="1">
        <v>45866</v>
      </c>
      <c r="O747" s="2">
        <v>0.54173611111111108</v>
      </c>
      <c r="P747" s="2">
        <v>0.91749999999999998</v>
      </c>
      <c r="Q747">
        <v>9.02</v>
      </c>
      <c r="R747">
        <v>9.02</v>
      </c>
      <c r="S747">
        <v>1.07</v>
      </c>
      <c r="T747">
        <v>0.18</v>
      </c>
      <c r="U747">
        <v>0</v>
      </c>
      <c r="V747">
        <v>0.34</v>
      </c>
      <c r="W747">
        <v>5.95</v>
      </c>
      <c r="X747">
        <v>1.47</v>
      </c>
      <c r="Y747">
        <v>0</v>
      </c>
      <c r="Z747">
        <v>0</v>
      </c>
      <c r="AA747">
        <v>0</v>
      </c>
      <c r="AB747">
        <v>0</v>
      </c>
      <c r="AC747">
        <v>9.02</v>
      </c>
      <c r="AD747">
        <v>11.9</v>
      </c>
      <c r="AE747">
        <v>2.04</v>
      </c>
      <c r="AF747">
        <v>0</v>
      </c>
      <c r="AG747">
        <v>3.74</v>
      </c>
      <c r="AH747">
        <v>65.97</v>
      </c>
      <c r="AI747">
        <v>16.309999999999999</v>
      </c>
      <c r="AJ747">
        <v>0</v>
      </c>
      <c r="AK747">
        <v>0</v>
      </c>
      <c r="AL747">
        <v>0</v>
      </c>
      <c r="AM747">
        <v>0.04</v>
      </c>
      <c r="AN747">
        <f t="shared" si="34"/>
        <v>2</v>
      </c>
      <c r="AO747" t="str">
        <f t="shared" si="35"/>
        <v>Monday</v>
      </c>
    </row>
    <row r="748" spans="1:41" x14ac:dyDescent="0.2">
      <c r="B748" s="1">
        <v>45866</v>
      </c>
      <c r="C748" s="1">
        <f t="shared" si="33"/>
        <v>45869</v>
      </c>
      <c r="D748">
        <v>449</v>
      </c>
      <c r="E748">
        <v>0</v>
      </c>
      <c r="F748">
        <v>0</v>
      </c>
      <c r="G748">
        <v>0</v>
      </c>
      <c r="H748">
        <v>0</v>
      </c>
      <c r="I748">
        <v>0</v>
      </c>
      <c r="J748">
        <v>0</v>
      </c>
      <c r="K748">
        <v>0</v>
      </c>
      <c r="AN748">
        <f t="shared" si="34"/>
        <v>2</v>
      </c>
      <c r="AO748" t="str">
        <f t="shared" si="35"/>
        <v>Monday</v>
      </c>
    </row>
    <row r="749" spans="1:41" x14ac:dyDescent="0.2">
      <c r="A749" t="s">
        <v>37</v>
      </c>
      <c r="B749" s="1">
        <v>45863</v>
      </c>
      <c r="C749" s="1">
        <f t="shared" si="33"/>
        <v>45869</v>
      </c>
      <c r="D749">
        <v>17</v>
      </c>
      <c r="E749">
        <v>32</v>
      </c>
      <c r="F749">
        <v>3</v>
      </c>
      <c r="G749">
        <v>2</v>
      </c>
      <c r="H749">
        <v>1</v>
      </c>
      <c r="I749">
        <v>0</v>
      </c>
      <c r="J749">
        <v>0</v>
      </c>
      <c r="K749">
        <v>14</v>
      </c>
      <c r="L749" t="s">
        <v>37</v>
      </c>
      <c r="M749" t="s">
        <v>38</v>
      </c>
      <c r="N749" s="1">
        <v>45863</v>
      </c>
      <c r="O749" s="2">
        <v>0.54281250000000003</v>
      </c>
      <c r="P749" s="2">
        <v>0.91712962962962963</v>
      </c>
      <c r="Q749">
        <v>8.98</v>
      </c>
      <c r="R749">
        <v>7.96</v>
      </c>
      <c r="S749">
        <v>1.0900000000000001</v>
      </c>
      <c r="T749">
        <v>0.22</v>
      </c>
      <c r="U749">
        <v>0</v>
      </c>
      <c r="V749">
        <v>0.18</v>
      </c>
      <c r="W749">
        <v>5.91</v>
      </c>
      <c r="X749">
        <v>0.15</v>
      </c>
      <c r="Y749">
        <v>0.33</v>
      </c>
      <c r="Z749">
        <v>0</v>
      </c>
      <c r="AA749">
        <v>0</v>
      </c>
      <c r="AB749">
        <v>0.09</v>
      </c>
      <c r="AC749">
        <v>7.96</v>
      </c>
      <c r="AD749">
        <v>13.68</v>
      </c>
      <c r="AE749">
        <v>2.76</v>
      </c>
      <c r="AF749">
        <v>0</v>
      </c>
      <c r="AG749">
        <v>2.23</v>
      </c>
      <c r="AH749">
        <v>74.22</v>
      </c>
      <c r="AI749">
        <v>1.83</v>
      </c>
      <c r="AJ749">
        <v>4.0999999999999996</v>
      </c>
      <c r="AK749">
        <v>0</v>
      </c>
      <c r="AL749">
        <v>0</v>
      </c>
      <c r="AM749">
        <v>1.19</v>
      </c>
      <c r="AN749">
        <f t="shared" si="34"/>
        <v>6</v>
      </c>
      <c r="AO749" t="str">
        <f t="shared" si="35"/>
        <v>Friday</v>
      </c>
    </row>
    <row r="750" spans="1:41" x14ac:dyDescent="0.2">
      <c r="A750" t="s">
        <v>52</v>
      </c>
      <c r="B750" s="1">
        <v>45863</v>
      </c>
      <c r="C750" s="1">
        <f t="shared" si="33"/>
        <v>45869</v>
      </c>
      <c r="D750">
        <v>15</v>
      </c>
      <c r="E750">
        <v>28</v>
      </c>
      <c r="F750">
        <v>1</v>
      </c>
      <c r="G750">
        <v>0</v>
      </c>
      <c r="H750">
        <v>4</v>
      </c>
      <c r="I750">
        <v>0</v>
      </c>
      <c r="J750">
        <v>0</v>
      </c>
      <c r="K750">
        <v>15</v>
      </c>
      <c r="L750" t="s">
        <v>52</v>
      </c>
      <c r="M750" t="s">
        <v>38</v>
      </c>
      <c r="N750" s="1">
        <v>45863</v>
      </c>
      <c r="O750" s="2">
        <v>0.5416319444444444</v>
      </c>
      <c r="P750" s="2">
        <v>0.87418981481481484</v>
      </c>
      <c r="Q750">
        <v>7.98</v>
      </c>
      <c r="R750">
        <v>7.31</v>
      </c>
      <c r="S750">
        <v>0.45</v>
      </c>
      <c r="T750">
        <v>1.06</v>
      </c>
      <c r="U750">
        <v>0</v>
      </c>
      <c r="V750">
        <v>0.33</v>
      </c>
      <c r="W750">
        <v>4.4400000000000004</v>
      </c>
      <c r="X750">
        <v>0.92</v>
      </c>
      <c r="Y750">
        <v>0</v>
      </c>
      <c r="Z750">
        <v>0</v>
      </c>
      <c r="AA750">
        <v>0</v>
      </c>
      <c r="AB750">
        <v>0.11</v>
      </c>
      <c r="AC750">
        <v>7.31</v>
      </c>
      <c r="AD750">
        <v>6.18</v>
      </c>
      <c r="AE750">
        <v>14.52</v>
      </c>
      <c r="AF750">
        <v>0</v>
      </c>
      <c r="AG750">
        <v>4.55</v>
      </c>
      <c r="AH750">
        <v>60.74</v>
      </c>
      <c r="AI750">
        <v>12.55</v>
      </c>
      <c r="AJ750">
        <v>0</v>
      </c>
      <c r="AK750">
        <v>0</v>
      </c>
      <c r="AL750">
        <v>0</v>
      </c>
      <c r="AM750">
        <v>1.47</v>
      </c>
      <c r="AN750">
        <f t="shared" si="34"/>
        <v>6</v>
      </c>
      <c r="AO750" t="str">
        <f t="shared" si="35"/>
        <v>Friday</v>
      </c>
    </row>
    <row r="751" spans="1:41" x14ac:dyDescent="0.2">
      <c r="A751" t="s">
        <v>40</v>
      </c>
      <c r="B751" s="1">
        <v>45863</v>
      </c>
      <c r="C751" s="1">
        <f t="shared" si="33"/>
        <v>45869</v>
      </c>
      <c r="D751">
        <v>19</v>
      </c>
      <c r="E751">
        <v>36</v>
      </c>
      <c r="F751">
        <v>5</v>
      </c>
      <c r="G751">
        <v>1</v>
      </c>
      <c r="H751">
        <v>8</v>
      </c>
      <c r="I751">
        <v>1</v>
      </c>
      <c r="J751">
        <v>0</v>
      </c>
      <c r="K751">
        <v>14</v>
      </c>
      <c r="L751" t="s">
        <v>40</v>
      </c>
      <c r="M751" t="s">
        <v>38</v>
      </c>
      <c r="N751" s="1">
        <v>45863</v>
      </c>
      <c r="O751" s="2">
        <v>0.54135416666666669</v>
      </c>
      <c r="P751" s="2">
        <v>0.91692129629629626</v>
      </c>
      <c r="Q751">
        <v>9.02</v>
      </c>
      <c r="R751">
        <v>9.01</v>
      </c>
      <c r="S751">
        <v>1.01</v>
      </c>
      <c r="T751">
        <v>0</v>
      </c>
      <c r="U751">
        <v>0</v>
      </c>
      <c r="V751">
        <v>0.31</v>
      </c>
      <c r="W751">
        <v>6.2</v>
      </c>
      <c r="X751">
        <v>1.49</v>
      </c>
      <c r="Y751">
        <v>0</v>
      </c>
      <c r="Z751">
        <v>0</v>
      </c>
      <c r="AA751">
        <v>0</v>
      </c>
      <c r="AB751">
        <v>0</v>
      </c>
      <c r="AC751">
        <v>9.01</v>
      </c>
      <c r="AD751">
        <v>11.23</v>
      </c>
      <c r="AE751">
        <v>0</v>
      </c>
      <c r="AF751">
        <v>0</v>
      </c>
      <c r="AG751">
        <v>3.4</v>
      </c>
      <c r="AH751">
        <v>68.75</v>
      </c>
      <c r="AI751">
        <v>16.579999999999998</v>
      </c>
      <c r="AJ751">
        <v>0</v>
      </c>
      <c r="AK751">
        <v>0</v>
      </c>
      <c r="AL751">
        <v>0</v>
      </c>
      <c r="AM751">
        <v>0.04</v>
      </c>
      <c r="AN751">
        <f t="shared" si="34"/>
        <v>6</v>
      </c>
      <c r="AO751" t="str">
        <f t="shared" si="35"/>
        <v>Friday</v>
      </c>
    </row>
    <row r="752" spans="1:41" x14ac:dyDescent="0.2">
      <c r="A752" t="s">
        <v>41</v>
      </c>
      <c r="B752" s="1">
        <v>45863</v>
      </c>
      <c r="C752" s="1">
        <f t="shared" si="33"/>
        <v>45869</v>
      </c>
      <c r="D752">
        <v>19</v>
      </c>
      <c r="E752">
        <v>34</v>
      </c>
      <c r="F752">
        <v>6</v>
      </c>
      <c r="G752">
        <v>6</v>
      </c>
      <c r="H752">
        <v>4</v>
      </c>
      <c r="I752">
        <v>0</v>
      </c>
      <c r="J752">
        <v>0</v>
      </c>
      <c r="K752">
        <v>8</v>
      </c>
      <c r="L752" t="s">
        <v>41</v>
      </c>
      <c r="M752" t="s">
        <v>38</v>
      </c>
      <c r="N752" s="1">
        <v>45863</v>
      </c>
      <c r="O752" s="2">
        <v>0.54182870370370373</v>
      </c>
      <c r="P752" s="2">
        <v>0.91613425925925929</v>
      </c>
      <c r="Q752">
        <v>8.98</v>
      </c>
      <c r="R752">
        <v>8.7100000000000009</v>
      </c>
      <c r="S752">
        <v>1.02</v>
      </c>
      <c r="T752">
        <v>0.24</v>
      </c>
      <c r="U752">
        <v>0</v>
      </c>
      <c r="V752">
        <v>0.08</v>
      </c>
      <c r="W752">
        <v>5.91</v>
      </c>
      <c r="X752">
        <v>1.46</v>
      </c>
      <c r="Y752">
        <v>0</v>
      </c>
      <c r="Z752">
        <v>0</v>
      </c>
      <c r="AA752">
        <v>0</v>
      </c>
      <c r="AB752">
        <v>0.01</v>
      </c>
      <c r="AC752">
        <v>8.7100000000000009</v>
      </c>
      <c r="AD752">
        <v>11.68</v>
      </c>
      <c r="AE752">
        <v>2.72</v>
      </c>
      <c r="AF752">
        <v>0</v>
      </c>
      <c r="AG752">
        <v>0.89</v>
      </c>
      <c r="AH752">
        <v>67.91</v>
      </c>
      <c r="AI752">
        <v>16.72</v>
      </c>
      <c r="AJ752">
        <v>0</v>
      </c>
      <c r="AK752">
        <v>0</v>
      </c>
      <c r="AL752">
        <v>0</v>
      </c>
      <c r="AM752">
        <v>7.0000000000000007E-2</v>
      </c>
      <c r="AN752">
        <f t="shared" si="34"/>
        <v>6</v>
      </c>
      <c r="AO752" t="str">
        <f t="shared" si="35"/>
        <v>Friday</v>
      </c>
    </row>
    <row r="753" spans="1:41" x14ac:dyDescent="0.2">
      <c r="A753" t="s">
        <v>42</v>
      </c>
      <c r="B753" s="1">
        <v>45863</v>
      </c>
      <c r="C753" s="1">
        <f t="shared" si="33"/>
        <v>45869</v>
      </c>
      <c r="D753">
        <v>1</v>
      </c>
      <c r="E753">
        <v>2</v>
      </c>
      <c r="F753">
        <v>0</v>
      </c>
      <c r="G753">
        <v>0</v>
      </c>
      <c r="H753">
        <v>2</v>
      </c>
      <c r="I753">
        <v>0</v>
      </c>
      <c r="J753">
        <v>0</v>
      </c>
      <c r="K753">
        <v>0</v>
      </c>
      <c r="L753" t="s">
        <v>42</v>
      </c>
      <c r="M753" t="s">
        <v>38</v>
      </c>
      <c r="N753" s="1">
        <v>45863</v>
      </c>
      <c r="O753" s="2">
        <v>0.56814814814814818</v>
      </c>
      <c r="P753" s="2">
        <v>0.65039351851851857</v>
      </c>
      <c r="Q753">
        <v>1.97</v>
      </c>
      <c r="R753">
        <v>1.48</v>
      </c>
      <c r="S753">
        <v>1.44</v>
      </c>
      <c r="T753">
        <v>0</v>
      </c>
      <c r="U753">
        <v>0</v>
      </c>
      <c r="V753">
        <v>0.02</v>
      </c>
      <c r="W753">
        <v>0</v>
      </c>
      <c r="X753">
        <v>0</v>
      </c>
      <c r="Y753">
        <v>0</v>
      </c>
      <c r="Z753">
        <v>0</v>
      </c>
      <c r="AA753">
        <v>0</v>
      </c>
      <c r="AB753">
        <v>0.02</v>
      </c>
      <c r="AC753">
        <v>1.48</v>
      </c>
      <c r="AD753">
        <v>97.3</v>
      </c>
      <c r="AE753">
        <v>0</v>
      </c>
      <c r="AF753">
        <v>0</v>
      </c>
      <c r="AG753">
        <v>1.58</v>
      </c>
      <c r="AH753">
        <v>0</v>
      </c>
      <c r="AI753">
        <v>0</v>
      </c>
      <c r="AJ753">
        <v>0</v>
      </c>
      <c r="AK753">
        <v>0</v>
      </c>
      <c r="AL753">
        <v>0</v>
      </c>
      <c r="AM753">
        <v>1.1299999999999999</v>
      </c>
      <c r="AN753">
        <f t="shared" si="34"/>
        <v>6</v>
      </c>
      <c r="AO753" t="str">
        <f t="shared" si="35"/>
        <v>Friday</v>
      </c>
    </row>
    <row r="754" spans="1:41" x14ac:dyDescent="0.2">
      <c r="A754" t="s">
        <v>43</v>
      </c>
      <c r="B754" s="1">
        <v>45863</v>
      </c>
      <c r="C754" s="1">
        <f t="shared" si="33"/>
        <v>45869</v>
      </c>
      <c r="D754">
        <v>15</v>
      </c>
      <c r="E754">
        <v>42</v>
      </c>
      <c r="F754">
        <v>4</v>
      </c>
      <c r="G754">
        <v>1</v>
      </c>
      <c r="H754">
        <v>6</v>
      </c>
      <c r="I754">
        <v>1</v>
      </c>
      <c r="J754">
        <v>0</v>
      </c>
      <c r="K754">
        <v>19</v>
      </c>
      <c r="L754" t="s">
        <v>43</v>
      </c>
      <c r="M754" t="s">
        <v>38</v>
      </c>
      <c r="N754" s="1">
        <v>45863</v>
      </c>
      <c r="O754" s="2">
        <v>0.5417939814814815</v>
      </c>
      <c r="P754" s="2">
        <v>0.91733796296296299</v>
      </c>
      <c r="Q754">
        <v>9</v>
      </c>
      <c r="R754">
        <v>9.01</v>
      </c>
      <c r="S754">
        <v>1.49</v>
      </c>
      <c r="T754">
        <v>0.25</v>
      </c>
      <c r="U754">
        <v>0</v>
      </c>
      <c r="V754">
        <v>0.41</v>
      </c>
      <c r="W754">
        <v>4.87</v>
      </c>
      <c r="X754">
        <v>1.99</v>
      </c>
      <c r="Y754">
        <v>0</v>
      </c>
      <c r="Z754">
        <v>0</v>
      </c>
      <c r="AA754">
        <v>0</v>
      </c>
      <c r="AB754">
        <v>0</v>
      </c>
      <c r="AC754">
        <v>9.01</v>
      </c>
      <c r="AD754">
        <v>16.55</v>
      </c>
      <c r="AE754">
        <v>2.83</v>
      </c>
      <c r="AF754">
        <v>0</v>
      </c>
      <c r="AG754">
        <v>4.5599999999999996</v>
      </c>
      <c r="AH754">
        <v>54</v>
      </c>
      <c r="AI754">
        <v>22.03</v>
      </c>
      <c r="AJ754">
        <v>0</v>
      </c>
      <c r="AK754">
        <v>0</v>
      </c>
      <c r="AL754">
        <v>0</v>
      </c>
      <c r="AM754">
        <v>0.04</v>
      </c>
      <c r="AN754">
        <f t="shared" si="34"/>
        <v>6</v>
      </c>
      <c r="AO754" t="str">
        <f t="shared" si="35"/>
        <v>Friday</v>
      </c>
    </row>
    <row r="755" spans="1:41" x14ac:dyDescent="0.2">
      <c r="B755" s="1">
        <v>45863</v>
      </c>
      <c r="C755" s="1">
        <f t="shared" si="33"/>
        <v>45869</v>
      </c>
      <c r="D755">
        <v>473</v>
      </c>
      <c r="E755">
        <v>0</v>
      </c>
      <c r="F755">
        <v>0</v>
      </c>
      <c r="G755">
        <v>0</v>
      </c>
      <c r="H755">
        <v>0</v>
      </c>
      <c r="I755">
        <v>0</v>
      </c>
      <c r="J755">
        <v>0</v>
      </c>
      <c r="K755">
        <v>0</v>
      </c>
      <c r="AN755">
        <f t="shared" si="34"/>
        <v>6</v>
      </c>
      <c r="AO755" t="str">
        <f t="shared" si="35"/>
        <v>Friday</v>
      </c>
    </row>
    <row r="756" spans="1:41" x14ac:dyDescent="0.2">
      <c r="A756" t="s">
        <v>37</v>
      </c>
      <c r="B756" s="1">
        <v>45862</v>
      </c>
      <c r="C756" s="1">
        <f t="shared" si="33"/>
        <v>45869</v>
      </c>
      <c r="D756">
        <v>15</v>
      </c>
      <c r="E756">
        <v>30</v>
      </c>
      <c r="F756">
        <v>1</v>
      </c>
      <c r="G756">
        <v>3</v>
      </c>
      <c r="H756">
        <v>3</v>
      </c>
      <c r="I756">
        <v>0</v>
      </c>
      <c r="J756">
        <v>0</v>
      </c>
      <c r="K756">
        <v>19</v>
      </c>
      <c r="L756" t="s">
        <v>37</v>
      </c>
      <c r="M756" t="s">
        <v>38</v>
      </c>
      <c r="N756" s="1">
        <v>45862</v>
      </c>
      <c r="O756" s="2">
        <v>0.54223379629629631</v>
      </c>
      <c r="P756" s="2">
        <v>0.91681712962962958</v>
      </c>
      <c r="Q756">
        <v>9</v>
      </c>
      <c r="R756">
        <v>8.07</v>
      </c>
      <c r="S756">
        <v>0.75</v>
      </c>
      <c r="T756">
        <v>0.18</v>
      </c>
      <c r="U756">
        <v>0</v>
      </c>
      <c r="V756">
        <v>0.14000000000000001</v>
      </c>
      <c r="W756">
        <v>6.06</v>
      </c>
      <c r="X756">
        <v>0.5</v>
      </c>
      <c r="Y756">
        <v>0.42</v>
      </c>
      <c r="Z756">
        <v>0</v>
      </c>
      <c r="AA756">
        <v>0</v>
      </c>
      <c r="AB756">
        <v>0.02</v>
      </c>
      <c r="AC756">
        <v>8.07</v>
      </c>
      <c r="AD756">
        <v>9.2799999999999994</v>
      </c>
      <c r="AE756">
        <v>2.19</v>
      </c>
      <c r="AF756">
        <v>0</v>
      </c>
      <c r="AG756">
        <v>1.77</v>
      </c>
      <c r="AH756">
        <v>75.09</v>
      </c>
      <c r="AI756">
        <v>6.24</v>
      </c>
      <c r="AJ756">
        <v>5.2</v>
      </c>
      <c r="AK756">
        <v>0</v>
      </c>
      <c r="AL756">
        <v>0</v>
      </c>
      <c r="AM756">
        <v>0.23</v>
      </c>
      <c r="AN756">
        <f t="shared" si="34"/>
        <v>5</v>
      </c>
      <c r="AO756" t="str">
        <f t="shared" si="35"/>
        <v>Thursday</v>
      </c>
    </row>
    <row r="757" spans="1:41" x14ac:dyDescent="0.2">
      <c r="A757" t="s">
        <v>52</v>
      </c>
      <c r="B757" s="1">
        <v>45862</v>
      </c>
      <c r="C757" s="1">
        <f t="shared" si="33"/>
        <v>45869</v>
      </c>
      <c r="D757">
        <v>6</v>
      </c>
      <c r="E757">
        <v>12</v>
      </c>
      <c r="F757">
        <v>0</v>
      </c>
      <c r="G757">
        <v>0</v>
      </c>
      <c r="H757">
        <v>1</v>
      </c>
      <c r="I757">
        <v>2</v>
      </c>
      <c r="J757">
        <v>0</v>
      </c>
      <c r="K757">
        <v>6</v>
      </c>
      <c r="L757" t="s">
        <v>52</v>
      </c>
      <c r="M757" t="s">
        <v>38</v>
      </c>
      <c r="N757" s="1">
        <v>45862</v>
      </c>
      <c r="O757" s="2">
        <v>0.54151620370370368</v>
      </c>
      <c r="P757" s="2">
        <v>0.91631944444444446</v>
      </c>
      <c r="Q757">
        <v>9</v>
      </c>
      <c r="R757">
        <v>7.31</v>
      </c>
      <c r="S757">
        <v>0.37</v>
      </c>
      <c r="T757">
        <v>0</v>
      </c>
      <c r="U757">
        <v>0</v>
      </c>
      <c r="V757">
        <v>0.23</v>
      </c>
      <c r="W757">
        <v>4.1500000000000004</v>
      </c>
      <c r="X757">
        <v>0</v>
      </c>
      <c r="Y757">
        <v>2.5099999999999998</v>
      </c>
      <c r="Z757">
        <v>0</v>
      </c>
      <c r="AA757">
        <v>0</v>
      </c>
      <c r="AB757">
        <v>0.05</v>
      </c>
      <c r="AC757">
        <v>7.31</v>
      </c>
      <c r="AD757">
        <v>5.04</v>
      </c>
      <c r="AE757">
        <v>0</v>
      </c>
      <c r="AF757">
        <v>0</v>
      </c>
      <c r="AG757">
        <v>3.14</v>
      </c>
      <c r="AH757">
        <v>56.81</v>
      </c>
      <c r="AI757">
        <v>0</v>
      </c>
      <c r="AJ757">
        <v>34.4</v>
      </c>
      <c r="AK757">
        <v>0</v>
      </c>
      <c r="AL757">
        <v>0</v>
      </c>
      <c r="AM757">
        <v>0.62</v>
      </c>
      <c r="AN757">
        <f t="shared" si="34"/>
        <v>5</v>
      </c>
      <c r="AO757" t="str">
        <f t="shared" si="35"/>
        <v>Thursday</v>
      </c>
    </row>
    <row r="758" spans="1:41" x14ac:dyDescent="0.2">
      <c r="A758" t="s">
        <v>39</v>
      </c>
      <c r="B758" s="1">
        <v>45862</v>
      </c>
      <c r="C758" s="1">
        <f t="shared" si="33"/>
        <v>45869</v>
      </c>
      <c r="D758">
        <v>19</v>
      </c>
      <c r="E758">
        <v>35</v>
      </c>
      <c r="F758">
        <v>3</v>
      </c>
      <c r="G758">
        <v>0</v>
      </c>
      <c r="H758">
        <v>4</v>
      </c>
      <c r="I758">
        <v>0</v>
      </c>
      <c r="J758">
        <v>0</v>
      </c>
      <c r="K758">
        <v>16</v>
      </c>
      <c r="L758" t="s">
        <v>39</v>
      </c>
      <c r="M758" t="s">
        <v>38</v>
      </c>
      <c r="N758" s="1">
        <v>45862</v>
      </c>
      <c r="O758" s="2">
        <v>0.54184027777777777</v>
      </c>
      <c r="P758" s="2">
        <v>0.91672453703703705</v>
      </c>
      <c r="Q758">
        <v>9</v>
      </c>
      <c r="R758">
        <v>9</v>
      </c>
      <c r="S758">
        <v>0.91</v>
      </c>
      <c r="T758">
        <v>0.12</v>
      </c>
      <c r="U758">
        <v>0</v>
      </c>
      <c r="V758">
        <v>0.03</v>
      </c>
      <c r="W758">
        <v>6.05</v>
      </c>
      <c r="X758">
        <v>1.47</v>
      </c>
      <c r="Y758">
        <v>0.41</v>
      </c>
      <c r="Z758">
        <v>0</v>
      </c>
      <c r="AA758">
        <v>0</v>
      </c>
      <c r="AB758">
        <v>0</v>
      </c>
      <c r="AC758">
        <v>9</v>
      </c>
      <c r="AD758">
        <v>10.17</v>
      </c>
      <c r="AE758">
        <v>1.31</v>
      </c>
      <c r="AF758">
        <v>0</v>
      </c>
      <c r="AG758">
        <v>0.28999999999999998</v>
      </c>
      <c r="AH758">
        <v>67.22</v>
      </c>
      <c r="AI758">
        <v>16.36</v>
      </c>
      <c r="AJ758">
        <v>4.6100000000000003</v>
      </c>
      <c r="AK758">
        <v>0</v>
      </c>
      <c r="AL758">
        <v>0</v>
      </c>
      <c r="AM758">
        <v>0.04</v>
      </c>
      <c r="AN758">
        <f t="shared" si="34"/>
        <v>5</v>
      </c>
      <c r="AO758" t="str">
        <f t="shared" si="35"/>
        <v>Thursday</v>
      </c>
    </row>
    <row r="759" spans="1:41" x14ac:dyDescent="0.2">
      <c r="A759" t="s">
        <v>40</v>
      </c>
      <c r="B759" s="1">
        <v>45862</v>
      </c>
      <c r="C759" s="1">
        <f t="shared" si="33"/>
        <v>45869</v>
      </c>
      <c r="D759">
        <v>15</v>
      </c>
      <c r="E759">
        <v>42</v>
      </c>
      <c r="F759">
        <v>5</v>
      </c>
      <c r="G759">
        <v>3</v>
      </c>
      <c r="H759">
        <v>5</v>
      </c>
      <c r="I759">
        <v>0</v>
      </c>
      <c r="J759">
        <v>1</v>
      </c>
      <c r="K759">
        <v>12</v>
      </c>
      <c r="L759" t="s">
        <v>40</v>
      </c>
      <c r="M759" t="s">
        <v>38</v>
      </c>
      <c r="N759" s="1">
        <v>45862</v>
      </c>
      <c r="O759" s="2">
        <v>0.54146990740740741</v>
      </c>
      <c r="P759" s="2">
        <v>0.91814814814814816</v>
      </c>
      <c r="Q759">
        <v>9.0500000000000007</v>
      </c>
      <c r="R759">
        <v>9.0399999999999991</v>
      </c>
      <c r="S759">
        <v>1.17</v>
      </c>
      <c r="T759">
        <v>0</v>
      </c>
      <c r="U759">
        <v>0</v>
      </c>
      <c r="V759">
        <v>0.25</v>
      </c>
      <c r="W759">
        <v>4.68</v>
      </c>
      <c r="X759">
        <v>1.49</v>
      </c>
      <c r="Y759">
        <v>1.44</v>
      </c>
      <c r="Z759">
        <v>0</v>
      </c>
      <c r="AA759">
        <v>0</v>
      </c>
      <c r="AB759">
        <v>0</v>
      </c>
      <c r="AC759">
        <v>9.0399999999999991</v>
      </c>
      <c r="AD759">
        <v>12.96</v>
      </c>
      <c r="AE759">
        <v>0</v>
      </c>
      <c r="AF759">
        <v>0</v>
      </c>
      <c r="AG759">
        <v>2.8</v>
      </c>
      <c r="AH759">
        <v>51.76</v>
      </c>
      <c r="AI759">
        <v>16.52</v>
      </c>
      <c r="AJ759">
        <v>15.92</v>
      </c>
      <c r="AK759">
        <v>0</v>
      </c>
      <c r="AL759">
        <v>0</v>
      </c>
      <c r="AM759">
        <v>0.04</v>
      </c>
      <c r="AN759">
        <f t="shared" si="34"/>
        <v>5</v>
      </c>
      <c r="AO759" t="str">
        <f t="shared" si="35"/>
        <v>Thursday</v>
      </c>
    </row>
    <row r="760" spans="1:41" x14ac:dyDescent="0.2">
      <c r="A760" t="s">
        <v>41</v>
      </c>
      <c r="B760" s="1">
        <v>45862</v>
      </c>
      <c r="C760" s="1">
        <f t="shared" si="33"/>
        <v>45869</v>
      </c>
      <c r="D760">
        <v>19</v>
      </c>
      <c r="E760">
        <v>39</v>
      </c>
      <c r="F760">
        <v>8</v>
      </c>
      <c r="G760">
        <v>4</v>
      </c>
      <c r="H760">
        <v>1</v>
      </c>
      <c r="I760">
        <v>0</v>
      </c>
      <c r="J760">
        <v>0</v>
      </c>
      <c r="K760">
        <v>15</v>
      </c>
      <c r="L760" t="s">
        <v>41</v>
      </c>
      <c r="M760" t="s">
        <v>38</v>
      </c>
      <c r="N760" s="1">
        <v>45862</v>
      </c>
      <c r="O760" s="2">
        <v>0.54201388888888891</v>
      </c>
      <c r="P760" s="2">
        <v>0.91741898148148149</v>
      </c>
      <c r="Q760">
        <v>9.02</v>
      </c>
      <c r="R760">
        <v>9.01</v>
      </c>
      <c r="S760">
        <v>1.24</v>
      </c>
      <c r="T760">
        <v>0.22</v>
      </c>
      <c r="U760">
        <v>0</v>
      </c>
      <c r="V760">
        <v>0.1</v>
      </c>
      <c r="W760">
        <v>5.58</v>
      </c>
      <c r="X760">
        <v>1.46</v>
      </c>
      <c r="Y760">
        <v>0.4</v>
      </c>
      <c r="Z760">
        <v>0</v>
      </c>
      <c r="AA760">
        <v>0</v>
      </c>
      <c r="AB760">
        <v>0</v>
      </c>
      <c r="AC760">
        <v>9.01</v>
      </c>
      <c r="AD760">
        <v>13.81</v>
      </c>
      <c r="AE760">
        <v>2.4</v>
      </c>
      <c r="AF760">
        <v>0</v>
      </c>
      <c r="AG760">
        <v>1.1399999999999999</v>
      </c>
      <c r="AH760">
        <v>61.97</v>
      </c>
      <c r="AI760">
        <v>16.170000000000002</v>
      </c>
      <c r="AJ760">
        <v>4.46</v>
      </c>
      <c r="AK760">
        <v>0</v>
      </c>
      <c r="AL760">
        <v>0</v>
      </c>
      <c r="AM760">
        <v>0.04</v>
      </c>
      <c r="AN760">
        <f t="shared" si="34"/>
        <v>5</v>
      </c>
      <c r="AO760" t="str">
        <f t="shared" si="35"/>
        <v>Thursday</v>
      </c>
    </row>
    <row r="761" spans="1:41" x14ac:dyDescent="0.2">
      <c r="A761" t="s">
        <v>43</v>
      </c>
      <c r="B761" s="1">
        <v>45862</v>
      </c>
      <c r="C761" s="1">
        <f t="shared" si="33"/>
        <v>45869</v>
      </c>
      <c r="D761">
        <v>20</v>
      </c>
      <c r="E761">
        <v>41</v>
      </c>
      <c r="F761">
        <v>10</v>
      </c>
      <c r="G761">
        <v>3</v>
      </c>
      <c r="H761">
        <v>2</v>
      </c>
      <c r="I761">
        <v>1</v>
      </c>
      <c r="J761">
        <v>0</v>
      </c>
      <c r="K761">
        <v>17</v>
      </c>
      <c r="L761" t="s">
        <v>43</v>
      </c>
      <c r="M761" t="s">
        <v>38</v>
      </c>
      <c r="N761" s="1">
        <v>45862</v>
      </c>
      <c r="O761" s="2">
        <v>0.54130787037037043</v>
      </c>
      <c r="P761" s="2">
        <v>0.92069444444444448</v>
      </c>
      <c r="Q761">
        <v>9.1</v>
      </c>
      <c r="R761">
        <v>9.1</v>
      </c>
      <c r="S761">
        <v>1.26</v>
      </c>
      <c r="T761">
        <v>0.13</v>
      </c>
      <c r="U761">
        <v>0</v>
      </c>
      <c r="V761">
        <v>0.4</v>
      </c>
      <c r="W761">
        <v>5.37</v>
      </c>
      <c r="X761">
        <v>1.51</v>
      </c>
      <c r="Y761">
        <v>0.43</v>
      </c>
      <c r="Z761">
        <v>0</v>
      </c>
      <c r="AA761">
        <v>0</v>
      </c>
      <c r="AB761">
        <v>0</v>
      </c>
      <c r="AC761">
        <v>9.1</v>
      </c>
      <c r="AD761">
        <v>13.81</v>
      </c>
      <c r="AE761">
        <v>1.46</v>
      </c>
      <c r="AF761">
        <v>0</v>
      </c>
      <c r="AG761">
        <v>4.38</v>
      </c>
      <c r="AH761">
        <v>59.03</v>
      </c>
      <c r="AI761">
        <v>16.600000000000001</v>
      </c>
      <c r="AJ761">
        <v>4.68</v>
      </c>
      <c r="AK761">
        <v>0</v>
      </c>
      <c r="AL761">
        <v>0</v>
      </c>
      <c r="AM761">
        <v>0.04</v>
      </c>
      <c r="AN761">
        <f t="shared" si="34"/>
        <v>5</v>
      </c>
      <c r="AO761" t="str">
        <f t="shared" si="35"/>
        <v>Thursday</v>
      </c>
    </row>
    <row r="762" spans="1:41" x14ac:dyDescent="0.2">
      <c r="B762" s="1">
        <v>45862</v>
      </c>
      <c r="C762" s="1">
        <f t="shared" si="33"/>
        <v>45869</v>
      </c>
      <c r="D762">
        <v>492</v>
      </c>
      <c r="E762">
        <v>0</v>
      </c>
      <c r="F762">
        <v>0</v>
      </c>
      <c r="G762">
        <v>0</v>
      </c>
      <c r="H762">
        <v>0</v>
      </c>
      <c r="I762">
        <v>0</v>
      </c>
      <c r="J762">
        <v>0</v>
      </c>
      <c r="K762">
        <v>0</v>
      </c>
      <c r="AN762">
        <f t="shared" si="34"/>
        <v>5</v>
      </c>
      <c r="AO762" t="str">
        <f t="shared" si="35"/>
        <v>Thursday</v>
      </c>
    </row>
    <row r="763" spans="1:41" x14ac:dyDescent="0.2">
      <c r="A763" t="s">
        <v>37</v>
      </c>
      <c r="B763" s="1">
        <v>45861</v>
      </c>
      <c r="C763" s="1">
        <f t="shared" si="33"/>
        <v>45869</v>
      </c>
      <c r="D763">
        <v>19</v>
      </c>
      <c r="E763">
        <v>55</v>
      </c>
      <c r="F763">
        <v>1</v>
      </c>
      <c r="G763">
        <v>1</v>
      </c>
      <c r="H763">
        <v>2</v>
      </c>
      <c r="I763">
        <v>0</v>
      </c>
      <c r="J763">
        <v>4</v>
      </c>
      <c r="K763">
        <v>32</v>
      </c>
      <c r="L763" t="s">
        <v>37</v>
      </c>
      <c r="M763" t="s">
        <v>38</v>
      </c>
      <c r="N763" s="1">
        <v>45861</v>
      </c>
      <c r="O763" s="2">
        <v>0.54233796296296299</v>
      </c>
      <c r="P763" s="2">
        <v>0.91693287037037041</v>
      </c>
      <c r="Q763">
        <v>9</v>
      </c>
      <c r="R763">
        <v>8.07</v>
      </c>
      <c r="S763">
        <v>1.08</v>
      </c>
      <c r="T763">
        <v>0.54</v>
      </c>
      <c r="U763">
        <v>0</v>
      </c>
      <c r="V763">
        <v>0.14000000000000001</v>
      </c>
      <c r="W763">
        <v>5.34</v>
      </c>
      <c r="X763">
        <v>0.49</v>
      </c>
      <c r="Y763">
        <v>0.48</v>
      </c>
      <c r="Z763">
        <v>0</v>
      </c>
      <c r="AA763">
        <v>0</v>
      </c>
      <c r="AB763">
        <v>0.01</v>
      </c>
      <c r="AC763">
        <v>8.07</v>
      </c>
      <c r="AD763">
        <v>13.38</v>
      </c>
      <c r="AE763">
        <v>6.65</v>
      </c>
      <c r="AF763">
        <v>0</v>
      </c>
      <c r="AG763">
        <v>1.68</v>
      </c>
      <c r="AH763">
        <v>66.180000000000007</v>
      </c>
      <c r="AI763">
        <v>6.09</v>
      </c>
      <c r="AJ763">
        <v>5.89</v>
      </c>
      <c r="AK763">
        <v>0</v>
      </c>
      <c r="AL763">
        <v>0</v>
      </c>
      <c r="AM763">
        <v>0.14000000000000001</v>
      </c>
      <c r="AN763">
        <f t="shared" si="34"/>
        <v>4</v>
      </c>
      <c r="AO763" t="str">
        <f t="shared" si="35"/>
        <v>Wednesday</v>
      </c>
    </row>
    <row r="764" spans="1:41" x14ac:dyDescent="0.2">
      <c r="A764" t="s">
        <v>52</v>
      </c>
      <c r="B764" s="1">
        <v>45861</v>
      </c>
      <c r="C764" s="1">
        <f t="shared" si="33"/>
        <v>45869</v>
      </c>
      <c r="D764">
        <v>12</v>
      </c>
      <c r="E764">
        <v>26</v>
      </c>
      <c r="F764">
        <v>1</v>
      </c>
      <c r="G764">
        <v>0</v>
      </c>
      <c r="H764">
        <v>2</v>
      </c>
      <c r="I764">
        <v>0</v>
      </c>
      <c r="J764">
        <v>0</v>
      </c>
      <c r="K764">
        <v>17</v>
      </c>
      <c r="L764" t="s">
        <v>52</v>
      </c>
      <c r="M764" t="s">
        <v>38</v>
      </c>
      <c r="N764" s="1">
        <v>45861</v>
      </c>
      <c r="O764" s="2">
        <v>0.54096064814814815</v>
      </c>
      <c r="P764" s="2">
        <v>0.91465277777777776</v>
      </c>
      <c r="Q764">
        <v>8.98</v>
      </c>
      <c r="R764">
        <v>8.15</v>
      </c>
      <c r="S764">
        <v>0.35</v>
      </c>
      <c r="T764">
        <v>1</v>
      </c>
      <c r="U764">
        <v>0</v>
      </c>
      <c r="V764">
        <v>0.32</v>
      </c>
      <c r="W764">
        <v>5.73</v>
      </c>
      <c r="X764">
        <v>0.72</v>
      </c>
      <c r="Y764">
        <v>0</v>
      </c>
      <c r="Z764">
        <v>0</v>
      </c>
      <c r="AA764">
        <v>0</v>
      </c>
      <c r="AB764">
        <v>0.02</v>
      </c>
      <c r="AC764">
        <v>8.15</v>
      </c>
      <c r="AD764">
        <v>4.26</v>
      </c>
      <c r="AE764">
        <v>12.32</v>
      </c>
      <c r="AF764">
        <v>0</v>
      </c>
      <c r="AG764">
        <v>3.96</v>
      </c>
      <c r="AH764">
        <v>70.38</v>
      </c>
      <c r="AI764">
        <v>8.83</v>
      </c>
      <c r="AJ764">
        <v>0</v>
      </c>
      <c r="AK764">
        <v>0</v>
      </c>
      <c r="AL764">
        <v>0.02</v>
      </c>
      <c r="AM764">
        <v>0.23</v>
      </c>
      <c r="AN764">
        <f t="shared" si="34"/>
        <v>4</v>
      </c>
      <c r="AO764" t="str">
        <f t="shared" si="35"/>
        <v>Wednesday</v>
      </c>
    </row>
    <row r="765" spans="1:41" x14ac:dyDescent="0.2">
      <c r="A765" t="s">
        <v>39</v>
      </c>
      <c r="B765" s="1">
        <v>45861</v>
      </c>
      <c r="C765" s="1">
        <f t="shared" si="33"/>
        <v>45869</v>
      </c>
      <c r="D765">
        <v>19</v>
      </c>
      <c r="E765">
        <v>43</v>
      </c>
      <c r="F765">
        <v>3</v>
      </c>
      <c r="G765">
        <v>6</v>
      </c>
      <c r="H765">
        <v>1</v>
      </c>
      <c r="I765">
        <v>1</v>
      </c>
      <c r="J765">
        <v>0</v>
      </c>
      <c r="K765">
        <v>19</v>
      </c>
      <c r="L765" t="s">
        <v>39</v>
      </c>
      <c r="M765" t="s">
        <v>38</v>
      </c>
      <c r="N765" s="1">
        <v>45861</v>
      </c>
      <c r="O765" s="2">
        <v>0.54172453703703705</v>
      </c>
      <c r="P765" s="2">
        <v>0.91675925925925927</v>
      </c>
      <c r="Q765">
        <v>9</v>
      </c>
      <c r="R765">
        <v>9</v>
      </c>
      <c r="S765">
        <v>1.37</v>
      </c>
      <c r="T765">
        <v>0.11</v>
      </c>
      <c r="U765">
        <v>0</v>
      </c>
      <c r="V765">
        <v>0.03</v>
      </c>
      <c r="W765">
        <v>6.02</v>
      </c>
      <c r="X765">
        <v>1.46</v>
      </c>
      <c r="Y765">
        <v>0</v>
      </c>
      <c r="Z765">
        <v>0</v>
      </c>
      <c r="AA765">
        <v>0</v>
      </c>
      <c r="AB765">
        <v>0</v>
      </c>
      <c r="AC765">
        <v>9</v>
      </c>
      <c r="AD765">
        <v>15.25</v>
      </c>
      <c r="AE765">
        <v>1.23</v>
      </c>
      <c r="AF765">
        <v>0</v>
      </c>
      <c r="AG765">
        <v>0.32</v>
      </c>
      <c r="AH765">
        <v>66.92</v>
      </c>
      <c r="AI765">
        <v>16.23</v>
      </c>
      <c r="AJ765">
        <v>0</v>
      </c>
      <c r="AK765">
        <v>0</v>
      </c>
      <c r="AL765">
        <v>0</v>
      </c>
      <c r="AM765">
        <v>0.05</v>
      </c>
      <c r="AN765">
        <f t="shared" si="34"/>
        <v>4</v>
      </c>
      <c r="AO765" t="str">
        <f t="shared" si="35"/>
        <v>Wednesday</v>
      </c>
    </row>
    <row r="766" spans="1:41" x14ac:dyDescent="0.2">
      <c r="A766" t="s">
        <v>40</v>
      </c>
      <c r="B766" s="1">
        <v>45861</v>
      </c>
      <c r="C766" s="1">
        <f t="shared" si="33"/>
        <v>45869</v>
      </c>
      <c r="D766">
        <v>17</v>
      </c>
      <c r="E766">
        <v>33</v>
      </c>
      <c r="F766">
        <v>2</v>
      </c>
      <c r="G766">
        <v>0</v>
      </c>
      <c r="H766">
        <v>7</v>
      </c>
      <c r="I766">
        <v>1</v>
      </c>
      <c r="J766">
        <v>2</v>
      </c>
      <c r="K766">
        <v>11</v>
      </c>
      <c r="L766" t="s">
        <v>40</v>
      </c>
      <c r="M766" t="s">
        <v>38</v>
      </c>
      <c r="N766" s="1">
        <v>45861</v>
      </c>
      <c r="O766" s="2">
        <v>0.54145833333333337</v>
      </c>
      <c r="P766" s="2">
        <v>0.91680555555555554</v>
      </c>
      <c r="Q766">
        <v>9.02</v>
      </c>
      <c r="R766">
        <v>9.01</v>
      </c>
      <c r="S766">
        <v>1.22</v>
      </c>
      <c r="T766">
        <v>0</v>
      </c>
      <c r="U766">
        <v>0</v>
      </c>
      <c r="V766">
        <v>0.46</v>
      </c>
      <c r="W766">
        <v>5.81</v>
      </c>
      <c r="X766">
        <v>1.51</v>
      </c>
      <c r="Y766">
        <v>0</v>
      </c>
      <c r="Z766">
        <v>0</v>
      </c>
      <c r="AA766">
        <v>0</v>
      </c>
      <c r="AB766">
        <v>0</v>
      </c>
      <c r="AC766">
        <v>9.01</v>
      </c>
      <c r="AD766">
        <v>13.55</v>
      </c>
      <c r="AE766">
        <v>0</v>
      </c>
      <c r="AF766">
        <v>0</v>
      </c>
      <c r="AG766">
        <v>5.12</v>
      </c>
      <c r="AH766">
        <v>64.52</v>
      </c>
      <c r="AI766">
        <v>16.75</v>
      </c>
      <c r="AJ766">
        <v>0</v>
      </c>
      <c r="AK766">
        <v>0</v>
      </c>
      <c r="AL766">
        <v>0</v>
      </c>
      <c r="AM766">
        <v>0.05</v>
      </c>
      <c r="AN766">
        <f t="shared" si="34"/>
        <v>4</v>
      </c>
      <c r="AO766" t="str">
        <f t="shared" si="35"/>
        <v>Wednesday</v>
      </c>
    </row>
    <row r="767" spans="1:41" x14ac:dyDescent="0.2">
      <c r="A767" t="s">
        <v>41</v>
      </c>
      <c r="B767" s="1">
        <v>45861</v>
      </c>
      <c r="C767" s="1">
        <f t="shared" si="33"/>
        <v>45869</v>
      </c>
      <c r="D767">
        <v>28</v>
      </c>
      <c r="E767">
        <v>63</v>
      </c>
      <c r="F767">
        <v>1</v>
      </c>
      <c r="G767">
        <v>2</v>
      </c>
      <c r="H767">
        <v>3</v>
      </c>
      <c r="I767">
        <v>0</v>
      </c>
      <c r="J767">
        <v>1</v>
      </c>
      <c r="K767">
        <v>30</v>
      </c>
      <c r="L767" t="s">
        <v>41</v>
      </c>
      <c r="M767" t="s">
        <v>38</v>
      </c>
      <c r="N767" s="1">
        <v>45861</v>
      </c>
      <c r="O767" s="2">
        <v>0.54175925925925927</v>
      </c>
      <c r="P767" s="2">
        <v>0.91651620370370368</v>
      </c>
      <c r="Q767">
        <v>8.98</v>
      </c>
      <c r="R767">
        <v>8.99</v>
      </c>
      <c r="S767">
        <v>0.66</v>
      </c>
      <c r="T767">
        <v>0.19</v>
      </c>
      <c r="U767">
        <v>0</v>
      </c>
      <c r="V767">
        <v>0.13</v>
      </c>
      <c r="W767">
        <v>6.54</v>
      </c>
      <c r="X767">
        <v>1.47</v>
      </c>
      <c r="Y767">
        <v>0</v>
      </c>
      <c r="Z767">
        <v>0</v>
      </c>
      <c r="AA767">
        <v>0</v>
      </c>
      <c r="AB767">
        <v>0.01</v>
      </c>
      <c r="AC767">
        <v>8.99</v>
      </c>
      <c r="AD767">
        <v>7.39</v>
      </c>
      <c r="AE767">
        <v>2.08</v>
      </c>
      <c r="AF767">
        <v>0</v>
      </c>
      <c r="AG767">
        <v>1.47</v>
      </c>
      <c r="AH767">
        <v>72.72</v>
      </c>
      <c r="AI767">
        <v>16.29</v>
      </c>
      <c r="AJ767">
        <v>0</v>
      </c>
      <c r="AK767">
        <v>0</v>
      </c>
      <c r="AL767">
        <v>0</v>
      </c>
      <c r="AM767">
        <v>0.06</v>
      </c>
      <c r="AN767">
        <f t="shared" si="34"/>
        <v>4</v>
      </c>
      <c r="AO767" t="str">
        <f t="shared" si="35"/>
        <v>Wednesday</v>
      </c>
    </row>
    <row r="768" spans="1:41" x14ac:dyDescent="0.2">
      <c r="A768" t="s">
        <v>43</v>
      </c>
      <c r="B768" s="1">
        <v>45861</v>
      </c>
      <c r="C768" s="1">
        <f t="shared" si="33"/>
        <v>45869</v>
      </c>
      <c r="D768">
        <v>13</v>
      </c>
      <c r="E768">
        <v>30</v>
      </c>
      <c r="F768">
        <v>1</v>
      </c>
      <c r="G768">
        <v>3</v>
      </c>
      <c r="H768">
        <v>1</v>
      </c>
      <c r="I768">
        <v>0</v>
      </c>
      <c r="J768">
        <v>0</v>
      </c>
      <c r="K768">
        <v>20</v>
      </c>
      <c r="L768" t="s">
        <v>43</v>
      </c>
      <c r="M768" t="s">
        <v>38</v>
      </c>
      <c r="N768" s="1">
        <v>45861</v>
      </c>
      <c r="O768" s="2">
        <v>0.5416319444444444</v>
      </c>
      <c r="P768" s="2">
        <v>0.9172569444444445</v>
      </c>
      <c r="Q768">
        <v>9.02</v>
      </c>
      <c r="R768">
        <v>8.52</v>
      </c>
      <c r="S768">
        <v>0.4</v>
      </c>
      <c r="T768">
        <v>0.27</v>
      </c>
      <c r="U768">
        <v>0</v>
      </c>
      <c r="V768">
        <v>0.2</v>
      </c>
      <c r="W768">
        <v>6.07</v>
      </c>
      <c r="X768">
        <v>1.04</v>
      </c>
      <c r="Y768">
        <v>0.41</v>
      </c>
      <c r="Z768">
        <v>0</v>
      </c>
      <c r="AA768">
        <v>0.11</v>
      </c>
      <c r="AB768">
        <v>0.03</v>
      </c>
      <c r="AC768">
        <v>8.52</v>
      </c>
      <c r="AD768">
        <v>4.68</v>
      </c>
      <c r="AE768">
        <v>3.15</v>
      </c>
      <c r="AF768">
        <v>0</v>
      </c>
      <c r="AG768">
        <v>2.33</v>
      </c>
      <c r="AH768">
        <v>71.209999999999994</v>
      </c>
      <c r="AI768">
        <v>12.22</v>
      </c>
      <c r="AJ768">
        <v>4.76</v>
      </c>
      <c r="AK768">
        <v>0</v>
      </c>
      <c r="AL768">
        <v>1.32</v>
      </c>
      <c r="AM768">
        <v>0.32</v>
      </c>
      <c r="AN768">
        <f t="shared" si="34"/>
        <v>4</v>
      </c>
      <c r="AO768" t="str">
        <f t="shared" si="35"/>
        <v>Wednesday</v>
      </c>
    </row>
    <row r="769" spans="1:41" x14ac:dyDescent="0.2">
      <c r="B769" s="1">
        <v>45861</v>
      </c>
      <c r="C769" s="1">
        <f t="shared" si="33"/>
        <v>45869</v>
      </c>
      <c r="D769">
        <v>499</v>
      </c>
      <c r="E769">
        <v>0</v>
      </c>
      <c r="F769">
        <v>0</v>
      </c>
      <c r="G769">
        <v>0</v>
      </c>
      <c r="H769">
        <v>0</v>
      </c>
      <c r="I769">
        <v>0</v>
      </c>
      <c r="J769">
        <v>0</v>
      </c>
      <c r="K769">
        <v>0</v>
      </c>
      <c r="AN769">
        <f t="shared" si="34"/>
        <v>4</v>
      </c>
      <c r="AO769" t="str">
        <f t="shared" si="35"/>
        <v>Wednesday</v>
      </c>
    </row>
    <row r="770" spans="1:41" x14ac:dyDescent="0.2">
      <c r="A770" t="s">
        <v>37</v>
      </c>
      <c r="B770" s="1">
        <v>45860</v>
      </c>
      <c r="C770" s="1">
        <f t="shared" si="33"/>
        <v>45869</v>
      </c>
      <c r="D770">
        <v>22</v>
      </c>
      <c r="E770">
        <v>50</v>
      </c>
      <c r="F770">
        <v>1</v>
      </c>
      <c r="G770">
        <v>5</v>
      </c>
      <c r="H770">
        <v>11</v>
      </c>
      <c r="I770">
        <v>2</v>
      </c>
      <c r="J770">
        <v>0</v>
      </c>
      <c r="K770">
        <v>20</v>
      </c>
      <c r="L770" t="s">
        <v>37</v>
      </c>
      <c r="M770" t="s">
        <v>38</v>
      </c>
      <c r="N770" s="1">
        <v>45860</v>
      </c>
      <c r="O770" s="2">
        <v>0.54177083333333331</v>
      </c>
      <c r="P770" s="2">
        <v>0.91699074074074072</v>
      </c>
      <c r="Q770">
        <v>9</v>
      </c>
      <c r="R770">
        <v>8.11</v>
      </c>
      <c r="S770">
        <v>1.35</v>
      </c>
      <c r="T770">
        <v>0.03</v>
      </c>
      <c r="U770">
        <v>0</v>
      </c>
      <c r="V770">
        <v>0.4</v>
      </c>
      <c r="W770">
        <v>5.77</v>
      </c>
      <c r="X770">
        <v>0.54</v>
      </c>
      <c r="Y770">
        <v>0</v>
      </c>
      <c r="Z770">
        <v>0</v>
      </c>
      <c r="AA770">
        <v>0</v>
      </c>
      <c r="AB770">
        <v>0.02</v>
      </c>
      <c r="AC770">
        <v>8.11</v>
      </c>
      <c r="AD770">
        <v>16.61</v>
      </c>
      <c r="AE770">
        <v>0.33</v>
      </c>
      <c r="AF770">
        <v>0</v>
      </c>
      <c r="AG770">
        <v>4.9800000000000004</v>
      </c>
      <c r="AH770">
        <v>71.12</v>
      </c>
      <c r="AI770">
        <v>6.71</v>
      </c>
      <c r="AJ770">
        <v>0</v>
      </c>
      <c r="AK770">
        <v>0</v>
      </c>
      <c r="AL770">
        <v>0</v>
      </c>
      <c r="AM770">
        <v>0.26</v>
      </c>
      <c r="AN770">
        <f t="shared" si="34"/>
        <v>3</v>
      </c>
      <c r="AO770" t="str">
        <f t="shared" si="35"/>
        <v>Tuesday</v>
      </c>
    </row>
    <row r="771" spans="1:41" x14ac:dyDescent="0.2">
      <c r="A771" t="s">
        <v>52</v>
      </c>
      <c r="B771" s="1">
        <v>45860</v>
      </c>
      <c r="C771" s="1">
        <f t="shared" ref="C771:C834" si="36">EOMONTH(B771,0)</f>
        <v>45869</v>
      </c>
      <c r="D771">
        <v>13</v>
      </c>
      <c r="E771">
        <v>29</v>
      </c>
      <c r="F771">
        <v>1</v>
      </c>
      <c r="G771">
        <v>0</v>
      </c>
      <c r="H771">
        <v>9</v>
      </c>
      <c r="I771">
        <v>0</v>
      </c>
      <c r="J771">
        <v>0</v>
      </c>
      <c r="K771">
        <v>10</v>
      </c>
      <c r="L771" t="s">
        <v>52</v>
      </c>
      <c r="M771" t="s">
        <v>38</v>
      </c>
      <c r="N771" s="1">
        <v>45860</v>
      </c>
      <c r="O771" s="2">
        <v>0.54056712962962961</v>
      </c>
      <c r="P771" s="2">
        <v>0.91626157407407405</v>
      </c>
      <c r="Q771">
        <v>9.02</v>
      </c>
      <c r="R771">
        <v>8.15</v>
      </c>
      <c r="S771">
        <v>1.02</v>
      </c>
      <c r="T771">
        <v>0.54</v>
      </c>
      <c r="U771">
        <v>0</v>
      </c>
      <c r="V771">
        <v>0.51</v>
      </c>
      <c r="W771">
        <v>5.3</v>
      </c>
      <c r="X771">
        <v>0.67</v>
      </c>
      <c r="Y771">
        <v>0</v>
      </c>
      <c r="Z771">
        <v>0</v>
      </c>
      <c r="AA771">
        <v>0.03</v>
      </c>
      <c r="AB771">
        <v>0.08</v>
      </c>
      <c r="AC771">
        <v>8.15</v>
      </c>
      <c r="AD771">
        <v>12.51</v>
      </c>
      <c r="AE771">
        <v>6.66</v>
      </c>
      <c r="AF771">
        <v>0</v>
      </c>
      <c r="AG771">
        <v>6.21</v>
      </c>
      <c r="AH771">
        <v>65.010000000000005</v>
      </c>
      <c r="AI771">
        <v>8.2100000000000009</v>
      </c>
      <c r="AJ771">
        <v>0</v>
      </c>
      <c r="AK771">
        <v>0</v>
      </c>
      <c r="AL771">
        <v>0.37</v>
      </c>
      <c r="AM771">
        <v>1.04</v>
      </c>
      <c r="AN771">
        <f t="shared" ref="AN771:AN834" si="37">WEEKDAY(B771,1)</f>
        <v>3</v>
      </c>
      <c r="AO771" t="str">
        <f t="shared" ref="AO771:AO834" si="38">VLOOKUP(AN771,$AY$2:$AZ$8,2,FALSE)</f>
        <v>Tuesday</v>
      </c>
    </row>
    <row r="772" spans="1:41" x14ac:dyDescent="0.2">
      <c r="A772" t="s">
        <v>39</v>
      </c>
      <c r="B772" s="1">
        <v>45860</v>
      </c>
      <c r="C772" s="1">
        <f t="shared" si="36"/>
        <v>45869</v>
      </c>
      <c r="D772">
        <v>31</v>
      </c>
      <c r="E772">
        <v>65</v>
      </c>
      <c r="F772">
        <v>4</v>
      </c>
      <c r="G772">
        <v>4</v>
      </c>
      <c r="H772">
        <v>13</v>
      </c>
      <c r="I772">
        <v>0</v>
      </c>
      <c r="J772">
        <v>1</v>
      </c>
      <c r="K772">
        <v>23</v>
      </c>
      <c r="L772" t="s">
        <v>39</v>
      </c>
      <c r="M772" t="s">
        <v>38</v>
      </c>
      <c r="N772" s="1">
        <v>45860</v>
      </c>
      <c r="O772" s="2">
        <v>0.54177083333333331</v>
      </c>
      <c r="P772" s="2">
        <v>0.91671296296296301</v>
      </c>
      <c r="Q772">
        <v>9</v>
      </c>
      <c r="R772">
        <v>9</v>
      </c>
      <c r="S772">
        <v>1.61</v>
      </c>
      <c r="T772">
        <v>0.21</v>
      </c>
      <c r="U772">
        <v>0</v>
      </c>
      <c r="V772">
        <v>0.02</v>
      </c>
      <c r="W772">
        <v>5.72</v>
      </c>
      <c r="X772">
        <v>1.44</v>
      </c>
      <c r="Y772">
        <v>0</v>
      </c>
      <c r="Z772">
        <v>0</v>
      </c>
      <c r="AA772">
        <v>0</v>
      </c>
      <c r="AB772">
        <v>0</v>
      </c>
      <c r="AC772">
        <v>9</v>
      </c>
      <c r="AD772">
        <v>17.88</v>
      </c>
      <c r="AE772">
        <v>2.2999999999999998</v>
      </c>
      <c r="AF772">
        <v>0</v>
      </c>
      <c r="AG772">
        <v>0.25</v>
      </c>
      <c r="AH772">
        <v>63.54</v>
      </c>
      <c r="AI772">
        <v>16</v>
      </c>
      <c r="AJ772">
        <v>0</v>
      </c>
      <c r="AK772">
        <v>0</v>
      </c>
      <c r="AL772">
        <v>0</v>
      </c>
      <c r="AM772">
        <v>0.04</v>
      </c>
      <c r="AN772">
        <f t="shared" si="37"/>
        <v>3</v>
      </c>
      <c r="AO772" t="str">
        <f t="shared" si="38"/>
        <v>Tuesday</v>
      </c>
    </row>
    <row r="773" spans="1:41" x14ac:dyDescent="0.2">
      <c r="A773" t="s">
        <v>40</v>
      </c>
      <c r="B773" s="1">
        <v>45860</v>
      </c>
      <c r="C773" s="1">
        <f t="shared" si="36"/>
        <v>45869</v>
      </c>
      <c r="D773">
        <v>18</v>
      </c>
      <c r="E773">
        <v>57</v>
      </c>
      <c r="F773">
        <v>7</v>
      </c>
      <c r="G773">
        <v>0</v>
      </c>
      <c r="H773">
        <v>25</v>
      </c>
      <c r="I773">
        <v>0</v>
      </c>
      <c r="J773">
        <v>0</v>
      </c>
      <c r="K773">
        <v>20</v>
      </c>
      <c r="L773" t="s">
        <v>40</v>
      </c>
      <c r="M773" t="s">
        <v>38</v>
      </c>
      <c r="N773" s="1">
        <v>45860</v>
      </c>
      <c r="O773" s="2">
        <v>0.5416319444444444</v>
      </c>
      <c r="P773" s="2">
        <v>0.91671296296296301</v>
      </c>
      <c r="Q773">
        <v>9.02</v>
      </c>
      <c r="R773">
        <v>9</v>
      </c>
      <c r="S773">
        <v>1.46</v>
      </c>
      <c r="T773">
        <v>0</v>
      </c>
      <c r="U773">
        <v>0</v>
      </c>
      <c r="V773">
        <v>0.34</v>
      </c>
      <c r="W773">
        <v>5.68</v>
      </c>
      <c r="X773">
        <v>1.51</v>
      </c>
      <c r="Y773">
        <v>0</v>
      </c>
      <c r="Z773">
        <v>0</v>
      </c>
      <c r="AA773">
        <v>0</v>
      </c>
      <c r="AB773">
        <v>0</v>
      </c>
      <c r="AC773">
        <v>9</v>
      </c>
      <c r="AD773">
        <v>16.21</v>
      </c>
      <c r="AE773">
        <v>0</v>
      </c>
      <c r="AF773">
        <v>0</v>
      </c>
      <c r="AG773">
        <v>3.78</v>
      </c>
      <c r="AH773">
        <v>63.15</v>
      </c>
      <c r="AI773">
        <v>16.82</v>
      </c>
      <c r="AJ773">
        <v>0</v>
      </c>
      <c r="AK773">
        <v>0</v>
      </c>
      <c r="AL773">
        <v>0</v>
      </c>
      <c r="AM773">
        <v>0.04</v>
      </c>
      <c r="AN773">
        <f t="shared" si="37"/>
        <v>3</v>
      </c>
      <c r="AO773" t="str">
        <f t="shared" si="38"/>
        <v>Tuesday</v>
      </c>
    </row>
    <row r="774" spans="1:41" x14ac:dyDescent="0.2">
      <c r="A774" t="s">
        <v>41</v>
      </c>
      <c r="B774" s="1">
        <v>45860</v>
      </c>
      <c r="C774" s="1">
        <f t="shared" si="36"/>
        <v>45869</v>
      </c>
      <c r="D774">
        <v>18</v>
      </c>
      <c r="E774">
        <v>36</v>
      </c>
      <c r="F774">
        <v>2</v>
      </c>
      <c r="G774">
        <v>11</v>
      </c>
      <c r="H774">
        <v>3</v>
      </c>
      <c r="I774">
        <v>0</v>
      </c>
      <c r="J774">
        <v>1</v>
      </c>
      <c r="K774">
        <v>13</v>
      </c>
      <c r="L774" t="s">
        <v>41</v>
      </c>
      <c r="M774" t="s">
        <v>38</v>
      </c>
      <c r="N774" s="1">
        <v>45860</v>
      </c>
      <c r="O774" s="2">
        <v>0.541875</v>
      </c>
      <c r="P774" s="2">
        <v>0.91697916666666668</v>
      </c>
      <c r="Q774">
        <v>9</v>
      </c>
      <c r="R774">
        <v>9</v>
      </c>
      <c r="S774">
        <v>0.98</v>
      </c>
      <c r="T774">
        <v>0.33</v>
      </c>
      <c r="U774">
        <v>0</v>
      </c>
      <c r="V774">
        <v>0.18</v>
      </c>
      <c r="W774">
        <v>6.05</v>
      </c>
      <c r="X774">
        <v>1.45</v>
      </c>
      <c r="Y774">
        <v>0</v>
      </c>
      <c r="Z774">
        <v>0</v>
      </c>
      <c r="AA774">
        <v>0</v>
      </c>
      <c r="AB774">
        <v>0</v>
      </c>
      <c r="AC774">
        <v>9</v>
      </c>
      <c r="AD774">
        <v>10.87</v>
      </c>
      <c r="AE774">
        <v>3.72</v>
      </c>
      <c r="AF774">
        <v>0</v>
      </c>
      <c r="AG774">
        <v>2.02</v>
      </c>
      <c r="AH774">
        <v>67.22</v>
      </c>
      <c r="AI774">
        <v>16.13</v>
      </c>
      <c r="AJ774">
        <v>0</v>
      </c>
      <c r="AK774">
        <v>0</v>
      </c>
      <c r="AL774">
        <v>0</v>
      </c>
      <c r="AM774">
        <v>0.04</v>
      </c>
      <c r="AN774">
        <f t="shared" si="37"/>
        <v>3</v>
      </c>
      <c r="AO774" t="str">
        <f t="shared" si="38"/>
        <v>Tuesday</v>
      </c>
    </row>
    <row r="775" spans="1:41" x14ac:dyDescent="0.2">
      <c r="A775" t="s">
        <v>43</v>
      </c>
      <c r="B775" s="1">
        <v>45860</v>
      </c>
      <c r="C775" s="1">
        <f t="shared" si="36"/>
        <v>45869</v>
      </c>
      <c r="D775">
        <v>14</v>
      </c>
      <c r="E775">
        <v>44</v>
      </c>
      <c r="F775">
        <v>8</v>
      </c>
      <c r="G775">
        <v>7</v>
      </c>
      <c r="H775">
        <v>7</v>
      </c>
      <c r="I775">
        <v>1</v>
      </c>
      <c r="J775">
        <v>0</v>
      </c>
      <c r="K775">
        <v>18</v>
      </c>
      <c r="L775" t="s">
        <v>43</v>
      </c>
      <c r="M775" t="s">
        <v>38</v>
      </c>
      <c r="N775" s="1">
        <v>45860</v>
      </c>
      <c r="O775" s="2">
        <v>0.54094907407407411</v>
      </c>
      <c r="P775" s="2">
        <v>0.91711805555555559</v>
      </c>
      <c r="Q775">
        <v>9.0299999999999994</v>
      </c>
      <c r="R775">
        <v>9.0299999999999994</v>
      </c>
      <c r="S775">
        <v>1.9</v>
      </c>
      <c r="T775">
        <v>0.19</v>
      </c>
      <c r="U775">
        <v>0</v>
      </c>
      <c r="V775">
        <v>0.4</v>
      </c>
      <c r="W775">
        <v>5.04</v>
      </c>
      <c r="X775">
        <v>1.49</v>
      </c>
      <c r="Y775">
        <v>0</v>
      </c>
      <c r="Z775">
        <v>0</v>
      </c>
      <c r="AA775">
        <v>0</v>
      </c>
      <c r="AB775">
        <v>0</v>
      </c>
      <c r="AC775">
        <v>9.0299999999999994</v>
      </c>
      <c r="AD775">
        <v>21.08</v>
      </c>
      <c r="AE775">
        <v>2.06</v>
      </c>
      <c r="AF775">
        <v>0</v>
      </c>
      <c r="AG775">
        <v>4.4400000000000004</v>
      </c>
      <c r="AH775">
        <v>55.86</v>
      </c>
      <c r="AI775">
        <v>16.510000000000002</v>
      </c>
      <c r="AJ775">
        <v>0</v>
      </c>
      <c r="AK775">
        <v>0</v>
      </c>
      <c r="AL775">
        <v>0</v>
      </c>
      <c r="AM775">
        <v>0.04</v>
      </c>
      <c r="AN775">
        <f t="shared" si="37"/>
        <v>3</v>
      </c>
      <c r="AO775" t="str">
        <f t="shared" si="38"/>
        <v>Tuesday</v>
      </c>
    </row>
    <row r="776" spans="1:41" x14ac:dyDescent="0.2">
      <c r="B776" s="1">
        <v>45860</v>
      </c>
      <c r="C776" s="1">
        <f t="shared" si="36"/>
        <v>45869</v>
      </c>
      <c r="D776">
        <v>514</v>
      </c>
      <c r="E776">
        <v>0</v>
      </c>
      <c r="F776">
        <v>0</v>
      </c>
      <c r="G776">
        <v>0</v>
      </c>
      <c r="H776">
        <v>0</v>
      </c>
      <c r="I776">
        <v>0</v>
      </c>
      <c r="J776">
        <v>0</v>
      </c>
      <c r="K776">
        <v>0</v>
      </c>
      <c r="AN776">
        <f t="shared" si="37"/>
        <v>3</v>
      </c>
      <c r="AO776" t="str">
        <f t="shared" si="38"/>
        <v>Tuesday</v>
      </c>
    </row>
    <row r="777" spans="1:41" x14ac:dyDescent="0.2">
      <c r="A777" t="s">
        <v>52</v>
      </c>
      <c r="B777" s="1">
        <v>45859</v>
      </c>
      <c r="C777" s="1">
        <f t="shared" si="36"/>
        <v>45869</v>
      </c>
      <c r="D777">
        <v>18</v>
      </c>
      <c r="E777">
        <v>39</v>
      </c>
      <c r="F777">
        <v>0</v>
      </c>
      <c r="G777">
        <v>1</v>
      </c>
      <c r="H777">
        <v>6</v>
      </c>
      <c r="I777">
        <v>0</v>
      </c>
      <c r="J777">
        <v>1</v>
      </c>
      <c r="K777">
        <v>23</v>
      </c>
      <c r="L777" t="s">
        <v>52</v>
      </c>
      <c r="M777" t="s">
        <v>38</v>
      </c>
      <c r="N777" s="1">
        <v>45859</v>
      </c>
      <c r="O777" s="2">
        <v>0.54219907407407408</v>
      </c>
      <c r="P777" s="2">
        <v>0.91694444444444445</v>
      </c>
      <c r="Q777">
        <v>9</v>
      </c>
      <c r="R777">
        <v>8.1999999999999993</v>
      </c>
      <c r="S777">
        <v>0.42</v>
      </c>
      <c r="T777">
        <v>0.22</v>
      </c>
      <c r="U777">
        <v>0</v>
      </c>
      <c r="V777">
        <v>0.49</v>
      </c>
      <c r="W777">
        <v>6.18</v>
      </c>
      <c r="X777">
        <v>0.72</v>
      </c>
      <c r="Y777">
        <v>0</v>
      </c>
      <c r="Z777">
        <v>0</v>
      </c>
      <c r="AA777">
        <v>0.16</v>
      </c>
      <c r="AB777">
        <v>0.01</v>
      </c>
      <c r="AC777">
        <v>8.1999999999999993</v>
      </c>
      <c r="AD777">
        <v>5.07</v>
      </c>
      <c r="AE777">
        <v>2.7</v>
      </c>
      <c r="AF777">
        <v>0</v>
      </c>
      <c r="AG777">
        <v>5.99</v>
      </c>
      <c r="AH777">
        <v>75.41</v>
      </c>
      <c r="AI777">
        <v>8.73</v>
      </c>
      <c r="AJ777">
        <v>0</v>
      </c>
      <c r="AK777">
        <v>0</v>
      </c>
      <c r="AL777">
        <v>1.95</v>
      </c>
      <c r="AM777">
        <v>0.15</v>
      </c>
      <c r="AN777">
        <f t="shared" si="37"/>
        <v>2</v>
      </c>
      <c r="AO777" t="str">
        <f t="shared" si="38"/>
        <v>Monday</v>
      </c>
    </row>
    <row r="778" spans="1:41" x14ac:dyDescent="0.2">
      <c r="A778" t="s">
        <v>39</v>
      </c>
      <c r="B778" s="1">
        <v>45859</v>
      </c>
      <c r="C778" s="1">
        <f t="shared" si="36"/>
        <v>45869</v>
      </c>
      <c r="D778">
        <v>25</v>
      </c>
      <c r="E778">
        <v>57</v>
      </c>
      <c r="F778">
        <v>4</v>
      </c>
      <c r="G778">
        <v>0</v>
      </c>
      <c r="H778">
        <v>9</v>
      </c>
      <c r="I778">
        <v>0</v>
      </c>
      <c r="J778">
        <v>0</v>
      </c>
      <c r="K778">
        <v>28</v>
      </c>
      <c r="L778" t="s">
        <v>39</v>
      </c>
      <c r="M778" t="s">
        <v>38</v>
      </c>
      <c r="N778" s="1">
        <v>45859</v>
      </c>
      <c r="O778" s="2">
        <v>0.54173611111111108</v>
      </c>
      <c r="P778" s="2">
        <v>0.91672453703703705</v>
      </c>
      <c r="Q778">
        <v>9</v>
      </c>
      <c r="R778">
        <v>9</v>
      </c>
      <c r="S778">
        <v>1.08</v>
      </c>
      <c r="T778">
        <v>7.0000000000000007E-2</v>
      </c>
      <c r="U778">
        <v>0</v>
      </c>
      <c r="V778">
        <v>0.01</v>
      </c>
      <c r="W778">
        <v>6.34</v>
      </c>
      <c r="X778">
        <v>1.49</v>
      </c>
      <c r="Y778">
        <v>0</v>
      </c>
      <c r="Z778">
        <v>0</v>
      </c>
      <c r="AA778">
        <v>0</v>
      </c>
      <c r="AB778">
        <v>0</v>
      </c>
      <c r="AC778">
        <v>9</v>
      </c>
      <c r="AD778">
        <v>12.02</v>
      </c>
      <c r="AE778">
        <v>0.78</v>
      </c>
      <c r="AF778">
        <v>0</v>
      </c>
      <c r="AG778">
        <v>0.15</v>
      </c>
      <c r="AH778">
        <v>70.459999999999994</v>
      </c>
      <c r="AI778">
        <v>16.55</v>
      </c>
      <c r="AJ778">
        <v>0</v>
      </c>
      <c r="AK778">
        <v>0</v>
      </c>
      <c r="AL778">
        <v>0</v>
      </c>
      <c r="AM778">
        <v>0.04</v>
      </c>
      <c r="AN778">
        <f t="shared" si="37"/>
        <v>2</v>
      </c>
      <c r="AO778" t="str">
        <f t="shared" si="38"/>
        <v>Monday</v>
      </c>
    </row>
    <row r="779" spans="1:41" x14ac:dyDescent="0.2">
      <c r="A779" t="s">
        <v>40</v>
      </c>
      <c r="B779" s="1">
        <v>45859</v>
      </c>
      <c r="C779" s="1">
        <f t="shared" si="36"/>
        <v>45869</v>
      </c>
      <c r="D779">
        <v>19</v>
      </c>
      <c r="E779">
        <v>40</v>
      </c>
      <c r="F779">
        <v>5</v>
      </c>
      <c r="G779">
        <v>0</v>
      </c>
      <c r="H779">
        <v>15</v>
      </c>
      <c r="I779">
        <v>0</v>
      </c>
      <c r="J779">
        <v>0</v>
      </c>
      <c r="K779">
        <v>14</v>
      </c>
      <c r="L779" t="s">
        <v>40</v>
      </c>
      <c r="M779" t="s">
        <v>38</v>
      </c>
      <c r="N779" s="1">
        <v>45859</v>
      </c>
      <c r="O779" s="2">
        <v>0.54194444444444445</v>
      </c>
      <c r="P779" s="2">
        <v>0.91671296296296301</v>
      </c>
      <c r="Q779">
        <v>9</v>
      </c>
      <c r="R779">
        <v>8.99</v>
      </c>
      <c r="S779">
        <v>1.88</v>
      </c>
      <c r="T779">
        <v>0</v>
      </c>
      <c r="U779">
        <v>0</v>
      </c>
      <c r="V779">
        <v>0.36</v>
      </c>
      <c r="W779">
        <v>5.21</v>
      </c>
      <c r="X779">
        <v>1.55</v>
      </c>
      <c r="Y779">
        <v>0</v>
      </c>
      <c r="Z779">
        <v>0</v>
      </c>
      <c r="AA779">
        <v>0</v>
      </c>
      <c r="AB779">
        <v>0</v>
      </c>
      <c r="AC779">
        <v>8.99</v>
      </c>
      <c r="AD779">
        <v>20.91</v>
      </c>
      <c r="AE779">
        <v>0</v>
      </c>
      <c r="AF779">
        <v>0</v>
      </c>
      <c r="AG779">
        <v>3.97</v>
      </c>
      <c r="AH779">
        <v>57.89</v>
      </c>
      <c r="AI779">
        <v>17.190000000000001</v>
      </c>
      <c r="AJ779">
        <v>0</v>
      </c>
      <c r="AK779">
        <v>0</v>
      </c>
      <c r="AL779">
        <v>0</v>
      </c>
      <c r="AM779">
        <v>0.04</v>
      </c>
      <c r="AN779">
        <f t="shared" si="37"/>
        <v>2</v>
      </c>
      <c r="AO779" t="str">
        <f t="shared" si="38"/>
        <v>Monday</v>
      </c>
    </row>
    <row r="780" spans="1:41" x14ac:dyDescent="0.2">
      <c r="A780" t="s">
        <v>41</v>
      </c>
      <c r="B780" s="1">
        <v>45859</v>
      </c>
      <c r="C780" s="1">
        <f t="shared" si="36"/>
        <v>45869</v>
      </c>
      <c r="D780">
        <v>24</v>
      </c>
      <c r="E780">
        <v>43</v>
      </c>
      <c r="F780">
        <v>4</v>
      </c>
      <c r="G780">
        <v>7</v>
      </c>
      <c r="H780">
        <v>1</v>
      </c>
      <c r="I780">
        <v>0</v>
      </c>
      <c r="J780">
        <v>0</v>
      </c>
      <c r="K780">
        <v>19</v>
      </c>
      <c r="L780" t="s">
        <v>41</v>
      </c>
      <c r="M780" t="s">
        <v>38</v>
      </c>
      <c r="N780" s="1">
        <v>45859</v>
      </c>
      <c r="O780" s="2">
        <v>0.54202546296296295</v>
      </c>
      <c r="P780" s="2">
        <v>0.91541666666666666</v>
      </c>
      <c r="Q780">
        <v>8.9700000000000006</v>
      </c>
      <c r="R780">
        <v>8.9499999999999993</v>
      </c>
      <c r="S780">
        <v>1.1200000000000001</v>
      </c>
      <c r="T780">
        <v>0.28000000000000003</v>
      </c>
      <c r="U780">
        <v>0</v>
      </c>
      <c r="V780">
        <v>0.14000000000000001</v>
      </c>
      <c r="W780">
        <v>5.94</v>
      </c>
      <c r="X780">
        <v>1.47</v>
      </c>
      <c r="Y780">
        <v>0</v>
      </c>
      <c r="Z780">
        <v>0</v>
      </c>
      <c r="AA780">
        <v>0</v>
      </c>
      <c r="AB780">
        <v>0</v>
      </c>
      <c r="AC780">
        <v>8.9499999999999993</v>
      </c>
      <c r="AD780">
        <v>12.57</v>
      </c>
      <c r="AE780">
        <v>3.1</v>
      </c>
      <c r="AF780">
        <v>0</v>
      </c>
      <c r="AG780">
        <v>1.55</v>
      </c>
      <c r="AH780">
        <v>66.33</v>
      </c>
      <c r="AI780">
        <v>16.41</v>
      </c>
      <c r="AJ780">
        <v>0</v>
      </c>
      <c r="AK780">
        <v>0</v>
      </c>
      <c r="AL780">
        <v>0</v>
      </c>
      <c r="AM780">
        <v>0.04</v>
      </c>
      <c r="AN780">
        <f t="shared" si="37"/>
        <v>2</v>
      </c>
      <c r="AO780" t="str">
        <f t="shared" si="38"/>
        <v>Monday</v>
      </c>
    </row>
    <row r="781" spans="1:41" x14ac:dyDescent="0.2">
      <c r="A781" t="s">
        <v>43</v>
      </c>
      <c r="B781" s="1">
        <v>45859</v>
      </c>
      <c r="C781" s="1">
        <f t="shared" si="36"/>
        <v>45869</v>
      </c>
      <c r="D781">
        <v>28</v>
      </c>
      <c r="E781">
        <v>73</v>
      </c>
      <c r="F781">
        <v>6</v>
      </c>
      <c r="G781">
        <v>0</v>
      </c>
      <c r="H781">
        <v>17</v>
      </c>
      <c r="I781">
        <v>0</v>
      </c>
      <c r="J781">
        <v>0</v>
      </c>
      <c r="K781">
        <v>34</v>
      </c>
      <c r="L781" t="s">
        <v>43</v>
      </c>
      <c r="M781" t="s">
        <v>38</v>
      </c>
      <c r="N781" s="1">
        <v>45859</v>
      </c>
      <c r="O781" s="2">
        <v>0.54106481481481483</v>
      </c>
      <c r="P781" s="2">
        <v>0.91809027777777774</v>
      </c>
      <c r="Q781">
        <v>9.0500000000000007</v>
      </c>
      <c r="R781">
        <v>9.0500000000000007</v>
      </c>
      <c r="S781">
        <v>1.07</v>
      </c>
      <c r="T781">
        <v>0.26</v>
      </c>
      <c r="U781">
        <v>0</v>
      </c>
      <c r="V781">
        <v>0.22</v>
      </c>
      <c r="W781">
        <v>6.01</v>
      </c>
      <c r="X781">
        <v>1.49</v>
      </c>
      <c r="Y781">
        <v>0</v>
      </c>
      <c r="Z781">
        <v>0</v>
      </c>
      <c r="AA781">
        <v>0</v>
      </c>
      <c r="AB781">
        <v>0</v>
      </c>
      <c r="AC781">
        <v>9.0500000000000007</v>
      </c>
      <c r="AD781">
        <v>11.78</v>
      </c>
      <c r="AE781">
        <v>2.86</v>
      </c>
      <c r="AF781">
        <v>0</v>
      </c>
      <c r="AG781">
        <v>2.4</v>
      </c>
      <c r="AH781">
        <v>66.459999999999994</v>
      </c>
      <c r="AI781">
        <v>16.46</v>
      </c>
      <c r="AJ781">
        <v>0</v>
      </c>
      <c r="AK781">
        <v>0</v>
      </c>
      <c r="AL781">
        <v>0</v>
      </c>
      <c r="AM781">
        <v>0.04</v>
      </c>
      <c r="AN781">
        <f t="shared" si="37"/>
        <v>2</v>
      </c>
      <c r="AO781" t="str">
        <f t="shared" si="38"/>
        <v>Monday</v>
      </c>
    </row>
    <row r="782" spans="1:41" x14ac:dyDescent="0.2">
      <c r="B782" s="1">
        <v>45859</v>
      </c>
      <c r="C782" s="1">
        <f t="shared" si="36"/>
        <v>45869</v>
      </c>
      <c r="D782">
        <v>519</v>
      </c>
      <c r="E782">
        <v>0</v>
      </c>
      <c r="F782">
        <v>0</v>
      </c>
      <c r="G782">
        <v>0</v>
      </c>
      <c r="H782">
        <v>0</v>
      </c>
      <c r="I782">
        <v>0</v>
      </c>
      <c r="J782">
        <v>0</v>
      </c>
      <c r="K782">
        <v>0</v>
      </c>
      <c r="AN782">
        <f t="shared" si="37"/>
        <v>2</v>
      </c>
      <c r="AO782" t="str">
        <f t="shared" si="38"/>
        <v>Monday</v>
      </c>
    </row>
    <row r="783" spans="1:41" x14ac:dyDescent="0.2">
      <c r="A783" t="s">
        <v>52</v>
      </c>
      <c r="B783" s="1">
        <v>45856</v>
      </c>
      <c r="C783" s="1">
        <f t="shared" si="36"/>
        <v>45869</v>
      </c>
      <c r="D783">
        <v>8</v>
      </c>
      <c r="E783">
        <v>17</v>
      </c>
      <c r="F783">
        <v>0</v>
      </c>
      <c r="G783">
        <v>0</v>
      </c>
      <c r="H783">
        <v>3</v>
      </c>
      <c r="I783">
        <v>0</v>
      </c>
      <c r="J783">
        <v>0</v>
      </c>
      <c r="K783">
        <v>10</v>
      </c>
      <c r="L783" t="s">
        <v>52</v>
      </c>
      <c r="M783" t="s">
        <v>38</v>
      </c>
      <c r="N783" s="1">
        <v>45856</v>
      </c>
      <c r="O783" s="2">
        <v>0.54251157407407402</v>
      </c>
      <c r="P783" s="2">
        <v>0.91569444444444448</v>
      </c>
      <c r="Q783">
        <v>8.9499999999999993</v>
      </c>
      <c r="R783">
        <v>6.41</v>
      </c>
      <c r="S783">
        <v>0.27</v>
      </c>
      <c r="T783">
        <v>1.0900000000000001</v>
      </c>
      <c r="U783">
        <v>0</v>
      </c>
      <c r="V783">
        <v>0.21</v>
      </c>
      <c r="W783">
        <v>3.93</v>
      </c>
      <c r="X783">
        <v>0.84</v>
      </c>
      <c r="Y783">
        <v>0</v>
      </c>
      <c r="Z783">
        <v>0</v>
      </c>
      <c r="AA783">
        <v>0.01</v>
      </c>
      <c r="AB783">
        <v>7.0000000000000007E-2</v>
      </c>
      <c r="AC783">
        <v>6.41</v>
      </c>
      <c r="AD783">
        <v>4.16</v>
      </c>
      <c r="AE783">
        <v>16.95</v>
      </c>
      <c r="AF783">
        <v>0</v>
      </c>
      <c r="AG783">
        <v>3.24</v>
      </c>
      <c r="AH783">
        <v>61.26</v>
      </c>
      <c r="AI783">
        <v>13.06</v>
      </c>
      <c r="AJ783">
        <v>0</v>
      </c>
      <c r="AK783">
        <v>0</v>
      </c>
      <c r="AL783">
        <v>0.19</v>
      </c>
      <c r="AM783">
        <v>1.1399999999999999</v>
      </c>
      <c r="AN783">
        <f t="shared" si="37"/>
        <v>6</v>
      </c>
      <c r="AO783" t="str">
        <f t="shared" si="38"/>
        <v>Friday</v>
      </c>
    </row>
    <row r="784" spans="1:41" x14ac:dyDescent="0.2">
      <c r="A784" t="s">
        <v>39</v>
      </c>
      <c r="B784" s="1">
        <v>45856</v>
      </c>
      <c r="C784" s="1">
        <f t="shared" si="36"/>
        <v>45869</v>
      </c>
      <c r="D784">
        <v>20</v>
      </c>
      <c r="E784">
        <v>35</v>
      </c>
      <c r="F784">
        <v>10</v>
      </c>
      <c r="G784">
        <v>1</v>
      </c>
      <c r="H784">
        <v>4</v>
      </c>
      <c r="I784">
        <v>0</v>
      </c>
      <c r="J784">
        <v>0</v>
      </c>
      <c r="K784">
        <v>9</v>
      </c>
      <c r="L784" t="s">
        <v>39</v>
      </c>
      <c r="M784" t="s">
        <v>38</v>
      </c>
      <c r="N784" s="1">
        <v>45856</v>
      </c>
      <c r="O784" s="2">
        <v>0.54172453703703705</v>
      </c>
      <c r="P784" s="2">
        <v>0.91667824074074078</v>
      </c>
      <c r="Q784">
        <v>9</v>
      </c>
      <c r="R784">
        <v>9</v>
      </c>
      <c r="S784">
        <v>1.66</v>
      </c>
      <c r="T784">
        <v>0</v>
      </c>
      <c r="U784">
        <v>0</v>
      </c>
      <c r="V784">
        <v>0.02</v>
      </c>
      <c r="W784">
        <v>4.34</v>
      </c>
      <c r="X784">
        <v>1.5</v>
      </c>
      <c r="Y784">
        <v>1.47</v>
      </c>
      <c r="Z784">
        <v>0</v>
      </c>
      <c r="AA784">
        <v>0</v>
      </c>
      <c r="AB784">
        <v>0</v>
      </c>
      <c r="AC784">
        <v>9</v>
      </c>
      <c r="AD784">
        <v>18.440000000000001</v>
      </c>
      <c r="AE784">
        <v>0</v>
      </c>
      <c r="AF784">
        <v>0</v>
      </c>
      <c r="AG784">
        <v>0.17</v>
      </c>
      <c r="AH784">
        <v>48.27</v>
      </c>
      <c r="AI784">
        <v>16.72</v>
      </c>
      <c r="AJ784">
        <v>16.350000000000001</v>
      </c>
      <c r="AK784">
        <v>0</v>
      </c>
      <c r="AL784">
        <v>0</v>
      </c>
      <c r="AM784">
        <v>0.04</v>
      </c>
      <c r="AN784">
        <f t="shared" si="37"/>
        <v>6</v>
      </c>
      <c r="AO784" t="str">
        <f t="shared" si="38"/>
        <v>Friday</v>
      </c>
    </row>
    <row r="785" spans="1:41" x14ac:dyDescent="0.2">
      <c r="A785" t="s">
        <v>40</v>
      </c>
      <c r="B785" s="1">
        <v>45856</v>
      </c>
      <c r="C785" s="1">
        <f t="shared" si="36"/>
        <v>45869</v>
      </c>
      <c r="D785">
        <v>25</v>
      </c>
      <c r="E785">
        <v>58</v>
      </c>
      <c r="F785">
        <v>4</v>
      </c>
      <c r="G785">
        <v>0</v>
      </c>
      <c r="H785">
        <v>4</v>
      </c>
      <c r="I785">
        <v>0</v>
      </c>
      <c r="J785">
        <v>0</v>
      </c>
      <c r="K785">
        <v>41</v>
      </c>
      <c r="L785" t="s">
        <v>40</v>
      </c>
      <c r="M785" t="s">
        <v>38</v>
      </c>
      <c r="N785" s="1">
        <v>45856</v>
      </c>
      <c r="O785" s="2">
        <v>0.54031249999999997</v>
      </c>
      <c r="P785" s="2">
        <v>0.91674768518518523</v>
      </c>
      <c r="Q785">
        <v>9.0299999999999994</v>
      </c>
      <c r="R785">
        <v>9.0399999999999991</v>
      </c>
      <c r="S785">
        <v>1.1200000000000001</v>
      </c>
      <c r="T785">
        <v>0</v>
      </c>
      <c r="U785">
        <v>0</v>
      </c>
      <c r="V785">
        <v>0.28000000000000003</v>
      </c>
      <c r="W785">
        <v>5.98</v>
      </c>
      <c r="X785">
        <v>1.52</v>
      </c>
      <c r="Y785">
        <v>0.09</v>
      </c>
      <c r="Z785">
        <v>0</v>
      </c>
      <c r="AA785">
        <v>0</v>
      </c>
      <c r="AB785">
        <v>0.04</v>
      </c>
      <c r="AC785">
        <v>9.0399999999999991</v>
      </c>
      <c r="AD785">
        <v>12.44</v>
      </c>
      <c r="AE785">
        <v>0</v>
      </c>
      <c r="AF785">
        <v>0</v>
      </c>
      <c r="AG785">
        <v>3.07</v>
      </c>
      <c r="AH785">
        <v>66.2</v>
      </c>
      <c r="AI785">
        <v>16.84</v>
      </c>
      <c r="AJ785">
        <v>1</v>
      </c>
      <c r="AK785">
        <v>0</v>
      </c>
      <c r="AL785">
        <v>0</v>
      </c>
      <c r="AM785">
        <v>0.45</v>
      </c>
      <c r="AN785">
        <f t="shared" si="37"/>
        <v>6</v>
      </c>
      <c r="AO785" t="str">
        <f t="shared" si="38"/>
        <v>Friday</v>
      </c>
    </row>
    <row r="786" spans="1:41" x14ac:dyDescent="0.2">
      <c r="A786" t="s">
        <v>41</v>
      </c>
      <c r="B786" s="1">
        <v>45856</v>
      </c>
      <c r="C786" s="1">
        <f t="shared" si="36"/>
        <v>45869</v>
      </c>
      <c r="D786">
        <v>21</v>
      </c>
      <c r="E786">
        <v>42</v>
      </c>
      <c r="F786">
        <v>3</v>
      </c>
      <c r="G786">
        <v>2</v>
      </c>
      <c r="H786">
        <v>4</v>
      </c>
      <c r="I786">
        <v>0</v>
      </c>
      <c r="J786">
        <v>0</v>
      </c>
      <c r="K786">
        <v>23</v>
      </c>
      <c r="L786" t="s">
        <v>41</v>
      </c>
      <c r="M786" t="s">
        <v>38</v>
      </c>
      <c r="N786" s="1">
        <v>45856</v>
      </c>
      <c r="O786" s="2">
        <v>0.54195601851851849</v>
      </c>
      <c r="P786" s="2">
        <v>0.9160300925925926</v>
      </c>
      <c r="Q786">
        <v>8.98</v>
      </c>
      <c r="R786">
        <v>8.98</v>
      </c>
      <c r="S786">
        <v>0.78</v>
      </c>
      <c r="T786">
        <v>0.33</v>
      </c>
      <c r="U786">
        <v>0</v>
      </c>
      <c r="V786">
        <v>0.23</v>
      </c>
      <c r="W786">
        <v>6.15</v>
      </c>
      <c r="X786">
        <v>1.48</v>
      </c>
      <c r="Y786">
        <v>0</v>
      </c>
      <c r="Z786">
        <v>0</v>
      </c>
      <c r="AA786">
        <v>0</v>
      </c>
      <c r="AB786">
        <v>0.01</v>
      </c>
      <c r="AC786">
        <v>8.98</v>
      </c>
      <c r="AD786">
        <v>8.73</v>
      </c>
      <c r="AE786">
        <v>3.71</v>
      </c>
      <c r="AF786">
        <v>0</v>
      </c>
      <c r="AG786">
        <v>2.5299999999999998</v>
      </c>
      <c r="AH786">
        <v>68.5</v>
      </c>
      <c r="AI786">
        <v>16.45</v>
      </c>
      <c r="AJ786">
        <v>0</v>
      </c>
      <c r="AK786">
        <v>0</v>
      </c>
      <c r="AL786">
        <v>0</v>
      </c>
      <c r="AM786">
        <v>0.08</v>
      </c>
      <c r="AN786">
        <f t="shared" si="37"/>
        <v>6</v>
      </c>
      <c r="AO786" t="str">
        <f t="shared" si="38"/>
        <v>Friday</v>
      </c>
    </row>
    <row r="787" spans="1:41" x14ac:dyDescent="0.2">
      <c r="A787" t="s">
        <v>43</v>
      </c>
      <c r="B787" s="1">
        <v>45856</v>
      </c>
      <c r="C787" s="1">
        <f t="shared" si="36"/>
        <v>45869</v>
      </c>
      <c r="D787">
        <v>19</v>
      </c>
      <c r="E787">
        <v>44</v>
      </c>
      <c r="F787">
        <v>4</v>
      </c>
      <c r="G787">
        <v>0</v>
      </c>
      <c r="H787">
        <v>1</v>
      </c>
      <c r="I787">
        <v>1</v>
      </c>
      <c r="J787">
        <v>0</v>
      </c>
      <c r="K787">
        <v>27</v>
      </c>
      <c r="L787" t="s">
        <v>43</v>
      </c>
      <c r="M787" t="s">
        <v>38</v>
      </c>
      <c r="N787" s="1">
        <v>45856</v>
      </c>
      <c r="O787" s="2">
        <v>0.54153935185185187</v>
      </c>
      <c r="P787" s="2">
        <v>0.92170138888888886</v>
      </c>
      <c r="Q787">
        <v>9.1300000000000008</v>
      </c>
      <c r="R787">
        <v>9.1199999999999992</v>
      </c>
      <c r="S787">
        <v>1.1000000000000001</v>
      </c>
      <c r="T787">
        <v>0.23</v>
      </c>
      <c r="U787">
        <v>0</v>
      </c>
      <c r="V787">
        <v>0.51</v>
      </c>
      <c r="W787">
        <v>5.33</v>
      </c>
      <c r="X787">
        <v>1.95</v>
      </c>
      <c r="Y787">
        <v>0</v>
      </c>
      <c r="Z787">
        <v>0</v>
      </c>
      <c r="AA787">
        <v>0</v>
      </c>
      <c r="AB787">
        <v>0</v>
      </c>
      <c r="AC787">
        <v>9.1199999999999992</v>
      </c>
      <c r="AD787">
        <v>12.02</v>
      </c>
      <c r="AE787">
        <v>2.52</v>
      </c>
      <c r="AF787">
        <v>0</v>
      </c>
      <c r="AG787">
        <v>5.58</v>
      </c>
      <c r="AH787">
        <v>58.41</v>
      </c>
      <c r="AI787">
        <v>21.42</v>
      </c>
      <c r="AJ787">
        <v>0</v>
      </c>
      <c r="AK787">
        <v>0</v>
      </c>
      <c r="AL787">
        <v>0</v>
      </c>
      <c r="AM787">
        <v>0.04</v>
      </c>
      <c r="AN787">
        <f t="shared" si="37"/>
        <v>6</v>
      </c>
      <c r="AO787" t="str">
        <f t="shared" si="38"/>
        <v>Friday</v>
      </c>
    </row>
    <row r="788" spans="1:41" x14ac:dyDescent="0.2">
      <c r="B788" s="1">
        <v>45856</v>
      </c>
      <c r="C788" s="1">
        <f t="shared" si="36"/>
        <v>45869</v>
      </c>
      <c r="D788">
        <v>488</v>
      </c>
      <c r="E788">
        <v>0</v>
      </c>
      <c r="F788">
        <v>0</v>
      </c>
      <c r="G788">
        <v>0</v>
      </c>
      <c r="H788">
        <v>0</v>
      </c>
      <c r="I788">
        <v>0</v>
      </c>
      <c r="J788">
        <v>0</v>
      </c>
      <c r="K788">
        <v>0</v>
      </c>
      <c r="AN788">
        <f t="shared" si="37"/>
        <v>6</v>
      </c>
      <c r="AO788" t="str">
        <f t="shared" si="38"/>
        <v>Friday</v>
      </c>
    </row>
    <row r="789" spans="1:41" x14ac:dyDescent="0.2">
      <c r="A789" t="s">
        <v>52</v>
      </c>
      <c r="B789" s="1">
        <v>45855</v>
      </c>
      <c r="C789" s="1">
        <f t="shared" si="36"/>
        <v>45869</v>
      </c>
      <c r="D789">
        <v>17</v>
      </c>
      <c r="E789">
        <v>37</v>
      </c>
      <c r="F789">
        <v>2</v>
      </c>
      <c r="G789">
        <v>2</v>
      </c>
      <c r="H789">
        <v>4</v>
      </c>
      <c r="I789">
        <v>0</v>
      </c>
      <c r="J789">
        <v>1</v>
      </c>
      <c r="K789">
        <v>18</v>
      </c>
      <c r="L789" t="s">
        <v>52</v>
      </c>
      <c r="M789" t="s">
        <v>38</v>
      </c>
      <c r="N789" s="1">
        <v>45855</v>
      </c>
      <c r="O789" s="2">
        <v>0.54327546296296292</v>
      </c>
      <c r="P789" s="2">
        <v>0.91597222222222219</v>
      </c>
      <c r="Q789">
        <v>8.9499999999999993</v>
      </c>
      <c r="R789">
        <v>7.52</v>
      </c>
      <c r="S789">
        <v>0.69</v>
      </c>
      <c r="T789">
        <v>0.34</v>
      </c>
      <c r="U789">
        <v>0</v>
      </c>
      <c r="V789">
        <v>0.64</v>
      </c>
      <c r="W789">
        <v>4.84</v>
      </c>
      <c r="X789">
        <v>0.47</v>
      </c>
      <c r="Y789">
        <v>0.48</v>
      </c>
      <c r="Z789">
        <v>0</v>
      </c>
      <c r="AA789">
        <v>0.03</v>
      </c>
      <c r="AB789">
        <v>0.03</v>
      </c>
      <c r="AC789">
        <v>7.52</v>
      </c>
      <c r="AD789">
        <v>9.23</v>
      </c>
      <c r="AE789">
        <v>4.46</v>
      </c>
      <c r="AF789">
        <v>0</v>
      </c>
      <c r="AG789">
        <v>8.5</v>
      </c>
      <c r="AH789">
        <v>64.319999999999993</v>
      </c>
      <c r="AI789">
        <v>6.28</v>
      </c>
      <c r="AJ789">
        <v>6.44</v>
      </c>
      <c r="AK789">
        <v>0</v>
      </c>
      <c r="AL789">
        <v>0.34</v>
      </c>
      <c r="AM789">
        <v>0.41</v>
      </c>
      <c r="AN789">
        <f t="shared" si="37"/>
        <v>5</v>
      </c>
      <c r="AO789" t="str">
        <f t="shared" si="38"/>
        <v>Thursday</v>
      </c>
    </row>
    <row r="790" spans="1:41" x14ac:dyDescent="0.2">
      <c r="A790" t="s">
        <v>39</v>
      </c>
      <c r="B790" s="1">
        <v>45855</v>
      </c>
      <c r="C790" s="1">
        <f t="shared" si="36"/>
        <v>45869</v>
      </c>
      <c r="D790">
        <v>27</v>
      </c>
      <c r="E790">
        <v>54</v>
      </c>
      <c r="F790">
        <v>8</v>
      </c>
      <c r="G790">
        <v>0</v>
      </c>
      <c r="H790">
        <v>13</v>
      </c>
      <c r="I790">
        <v>0</v>
      </c>
      <c r="J790">
        <v>2</v>
      </c>
      <c r="K790">
        <v>22</v>
      </c>
      <c r="L790" t="s">
        <v>39</v>
      </c>
      <c r="M790" t="s">
        <v>38</v>
      </c>
      <c r="N790" s="1">
        <v>45855</v>
      </c>
      <c r="O790" s="2">
        <v>0.54178240740740746</v>
      </c>
      <c r="P790" s="2">
        <v>0.91789351851851853</v>
      </c>
      <c r="Q790">
        <v>9.02</v>
      </c>
      <c r="R790">
        <v>9.0299999999999994</v>
      </c>
      <c r="S790">
        <v>1.45</v>
      </c>
      <c r="T790">
        <v>0.12</v>
      </c>
      <c r="U790">
        <v>0</v>
      </c>
      <c r="V790">
        <v>0.03</v>
      </c>
      <c r="W790">
        <v>5.08</v>
      </c>
      <c r="X790">
        <v>1.47</v>
      </c>
      <c r="Y790">
        <v>0.88</v>
      </c>
      <c r="Z790">
        <v>0</v>
      </c>
      <c r="AA790">
        <v>0</v>
      </c>
      <c r="AB790">
        <v>0</v>
      </c>
      <c r="AC790">
        <v>9.0299999999999994</v>
      </c>
      <c r="AD790">
        <v>16.07</v>
      </c>
      <c r="AE790">
        <v>1.34</v>
      </c>
      <c r="AF790">
        <v>0</v>
      </c>
      <c r="AG790">
        <v>0.28000000000000003</v>
      </c>
      <c r="AH790">
        <v>56.29</v>
      </c>
      <c r="AI790">
        <v>16.28</v>
      </c>
      <c r="AJ790">
        <v>9.69</v>
      </c>
      <c r="AK790">
        <v>0</v>
      </c>
      <c r="AL790">
        <v>0</v>
      </c>
      <c r="AM790">
        <v>0.05</v>
      </c>
      <c r="AN790">
        <f t="shared" si="37"/>
        <v>5</v>
      </c>
      <c r="AO790" t="str">
        <f t="shared" si="38"/>
        <v>Thursday</v>
      </c>
    </row>
    <row r="791" spans="1:41" x14ac:dyDescent="0.2">
      <c r="A791" t="s">
        <v>40</v>
      </c>
      <c r="B791" s="1">
        <v>45855</v>
      </c>
      <c r="C791" s="1">
        <f t="shared" si="36"/>
        <v>45869</v>
      </c>
      <c r="D791">
        <v>18</v>
      </c>
      <c r="E791">
        <v>49</v>
      </c>
      <c r="F791">
        <v>6</v>
      </c>
      <c r="G791">
        <v>1</v>
      </c>
      <c r="H791">
        <v>6</v>
      </c>
      <c r="I791">
        <v>0</v>
      </c>
      <c r="J791">
        <v>0</v>
      </c>
      <c r="K791">
        <v>28</v>
      </c>
      <c r="L791" t="s">
        <v>40</v>
      </c>
      <c r="M791" t="s">
        <v>38</v>
      </c>
      <c r="N791" s="1">
        <v>45855</v>
      </c>
      <c r="O791" s="2">
        <v>0.54274305555555558</v>
      </c>
      <c r="P791" s="2">
        <v>0.91674768518518523</v>
      </c>
      <c r="Q791">
        <v>8.98</v>
      </c>
      <c r="R791">
        <v>8.98</v>
      </c>
      <c r="S791">
        <v>1.21</v>
      </c>
      <c r="T791">
        <v>0</v>
      </c>
      <c r="U791">
        <v>0</v>
      </c>
      <c r="V791">
        <v>0.41</v>
      </c>
      <c r="W791">
        <v>4.47</v>
      </c>
      <c r="X791">
        <v>1.54</v>
      </c>
      <c r="Y791">
        <v>1.32</v>
      </c>
      <c r="Z791">
        <v>0</v>
      </c>
      <c r="AA791">
        <v>0</v>
      </c>
      <c r="AB791">
        <v>0.01</v>
      </c>
      <c r="AC791">
        <v>8.98</v>
      </c>
      <c r="AD791">
        <v>13.5</v>
      </c>
      <c r="AE791">
        <v>0</v>
      </c>
      <c r="AF791">
        <v>0</v>
      </c>
      <c r="AG791">
        <v>4.62</v>
      </c>
      <c r="AH791">
        <v>49.85</v>
      </c>
      <c r="AI791">
        <v>17.2</v>
      </c>
      <c r="AJ791">
        <v>14.72</v>
      </c>
      <c r="AK791">
        <v>0</v>
      </c>
      <c r="AL791">
        <v>0</v>
      </c>
      <c r="AM791">
        <v>0.11</v>
      </c>
      <c r="AN791">
        <f t="shared" si="37"/>
        <v>5</v>
      </c>
      <c r="AO791" t="str">
        <f t="shared" si="38"/>
        <v>Thursday</v>
      </c>
    </row>
    <row r="792" spans="1:41" x14ac:dyDescent="0.2">
      <c r="A792" t="s">
        <v>41</v>
      </c>
      <c r="B792" s="1">
        <v>45855</v>
      </c>
      <c r="C792" s="1">
        <f t="shared" si="36"/>
        <v>45869</v>
      </c>
      <c r="D792">
        <v>29</v>
      </c>
      <c r="E792">
        <v>55</v>
      </c>
      <c r="F792">
        <v>3</v>
      </c>
      <c r="G792">
        <v>5</v>
      </c>
      <c r="H792">
        <v>7</v>
      </c>
      <c r="I792">
        <v>0</v>
      </c>
      <c r="J792">
        <v>0</v>
      </c>
      <c r="K792">
        <v>21</v>
      </c>
      <c r="L792" t="s">
        <v>41</v>
      </c>
      <c r="M792" t="s">
        <v>38</v>
      </c>
      <c r="N792" s="1">
        <v>45855</v>
      </c>
      <c r="O792" s="2">
        <v>0.5417939814814815</v>
      </c>
      <c r="P792" s="2">
        <v>0.91604166666666664</v>
      </c>
      <c r="Q792">
        <v>8.98</v>
      </c>
      <c r="R792">
        <v>8.98</v>
      </c>
      <c r="S792">
        <v>1.38</v>
      </c>
      <c r="T792">
        <v>0.15</v>
      </c>
      <c r="U792">
        <v>0</v>
      </c>
      <c r="V792">
        <v>0.19</v>
      </c>
      <c r="W792">
        <v>5.32</v>
      </c>
      <c r="X792">
        <v>1.47</v>
      </c>
      <c r="Y792">
        <v>0.47</v>
      </c>
      <c r="Z792">
        <v>0</v>
      </c>
      <c r="AA792">
        <v>0</v>
      </c>
      <c r="AB792">
        <v>0</v>
      </c>
      <c r="AC792">
        <v>8.98</v>
      </c>
      <c r="AD792">
        <v>15.34</v>
      </c>
      <c r="AE792">
        <v>1.63</v>
      </c>
      <c r="AF792">
        <v>0</v>
      </c>
      <c r="AG792">
        <v>2.17</v>
      </c>
      <c r="AH792">
        <v>59.2</v>
      </c>
      <c r="AI792">
        <v>16.350000000000001</v>
      </c>
      <c r="AJ792">
        <v>5.27</v>
      </c>
      <c r="AK792">
        <v>0</v>
      </c>
      <c r="AL792">
        <v>0</v>
      </c>
      <c r="AM792">
        <v>0.05</v>
      </c>
      <c r="AN792">
        <f t="shared" si="37"/>
        <v>5</v>
      </c>
      <c r="AO792" t="str">
        <f t="shared" si="38"/>
        <v>Thursday</v>
      </c>
    </row>
    <row r="793" spans="1:41" x14ac:dyDescent="0.2">
      <c r="A793" t="s">
        <v>43</v>
      </c>
      <c r="B793" s="1">
        <v>45855</v>
      </c>
      <c r="C793" s="1">
        <f t="shared" si="36"/>
        <v>45869</v>
      </c>
      <c r="D793">
        <v>33</v>
      </c>
      <c r="E793">
        <v>82</v>
      </c>
      <c r="F793">
        <v>4</v>
      </c>
      <c r="G793">
        <v>4</v>
      </c>
      <c r="H793">
        <v>8</v>
      </c>
      <c r="I793">
        <v>0</v>
      </c>
      <c r="J793">
        <v>1</v>
      </c>
      <c r="K793">
        <v>44</v>
      </c>
      <c r="L793" t="s">
        <v>43</v>
      </c>
      <c r="M793" t="s">
        <v>38</v>
      </c>
      <c r="N793" s="1">
        <v>45855</v>
      </c>
      <c r="O793" s="2">
        <v>0.54238425925925926</v>
      </c>
      <c r="P793" s="2">
        <v>0.92371527777777773</v>
      </c>
      <c r="Q793">
        <v>9.15</v>
      </c>
      <c r="R793">
        <v>9.14</v>
      </c>
      <c r="S793">
        <v>1.24</v>
      </c>
      <c r="T793">
        <v>0.27</v>
      </c>
      <c r="U793">
        <v>0</v>
      </c>
      <c r="V793">
        <v>0.31</v>
      </c>
      <c r="W793">
        <v>5.28</v>
      </c>
      <c r="X793">
        <v>1.49</v>
      </c>
      <c r="Y793">
        <v>0.46</v>
      </c>
      <c r="Z793">
        <v>0</v>
      </c>
      <c r="AA793">
        <v>7.0000000000000007E-2</v>
      </c>
      <c r="AB793">
        <v>0.02</v>
      </c>
      <c r="AC793">
        <v>9.14</v>
      </c>
      <c r="AD793">
        <v>13.58</v>
      </c>
      <c r="AE793">
        <v>3</v>
      </c>
      <c r="AF793">
        <v>0</v>
      </c>
      <c r="AG793">
        <v>3.43</v>
      </c>
      <c r="AH793">
        <v>57.78</v>
      </c>
      <c r="AI793">
        <v>16.28</v>
      </c>
      <c r="AJ793">
        <v>5</v>
      </c>
      <c r="AK793">
        <v>0</v>
      </c>
      <c r="AL793">
        <v>0.74</v>
      </c>
      <c r="AM793">
        <v>0.19</v>
      </c>
      <c r="AN793">
        <f t="shared" si="37"/>
        <v>5</v>
      </c>
      <c r="AO793" t="str">
        <f t="shared" si="38"/>
        <v>Thursday</v>
      </c>
    </row>
    <row r="794" spans="1:41" x14ac:dyDescent="0.2">
      <c r="B794" s="1">
        <v>45855</v>
      </c>
      <c r="C794" s="1">
        <f t="shared" si="36"/>
        <v>45869</v>
      </c>
      <c r="D794">
        <v>503</v>
      </c>
      <c r="E794">
        <v>0</v>
      </c>
      <c r="F794">
        <v>0</v>
      </c>
      <c r="G794">
        <v>0</v>
      </c>
      <c r="H794">
        <v>0</v>
      </c>
      <c r="I794">
        <v>0</v>
      </c>
      <c r="J794">
        <v>0</v>
      </c>
      <c r="K794">
        <v>0</v>
      </c>
      <c r="AN794">
        <f t="shared" si="37"/>
        <v>5</v>
      </c>
      <c r="AO794" t="str">
        <f t="shared" si="38"/>
        <v>Thursday</v>
      </c>
    </row>
    <row r="795" spans="1:41" x14ac:dyDescent="0.2">
      <c r="A795" t="s">
        <v>52</v>
      </c>
      <c r="B795" s="1">
        <v>45854</v>
      </c>
      <c r="C795" s="1">
        <f t="shared" si="36"/>
        <v>45869</v>
      </c>
      <c r="D795">
        <v>3</v>
      </c>
      <c r="E795">
        <v>5</v>
      </c>
      <c r="F795">
        <v>1</v>
      </c>
      <c r="G795">
        <v>0</v>
      </c>
      <c r="H795">
        <v>0</v>
      </c>
      <c r="I795">
        <v>0</v>
      </c>
      <c r="J795">
        <v>0</v>
      </c>
      <c r="K795">
        <v>2</v>
      </c>
      <c r="L795" t="s">
        <v>52</v>
      </c>
      <c r="M795" t="s">
        <v>38</v>
      </c>
      <c r="N795" s="1">
        <v>45854</v>
      </c>
      <c r="O795" s="2">
        <v>0.5433217592592593</v>
      </c>
      <c r="P795" s="2">
        <v>0.58339120370370368</v>
      </c>
      <c r="Q795">
        <v>0.97</v>
      </c>
      <c r="R795">
        <v>0.96</v>
      </c>
      <c r="S795">
        <v>7.0000000000000007E-2</v>
      </c>
      <c r="T795">
        <v>7.0000000000000007E-2</v>
      </c>
      <c r="U795">
        <v>0</v>
      </c>
      <c r="V795">
        <v>0.2</v>
      </c>
      <c r="W795">
        <v>0.57999999999999996</v>
      </c>
      <c r="X795">
        <v>0</v>
      </c>
      <c r="Y795">
        <v>0</v>
      </c>
      <c r="Z795">
        <v>0</v>
      </c>
      <c r="AA795">
        <v>0.04</v>
      </c>
      <c r="AB795">
        <v>0</v>
      </c>
      <c r="AC795">
        <v>0.96</v>
      </c>
      <c r="AD795">
        <v>6.91</v>
      </c>
      <c r="AE795">
        <v>7.37</v>
      </c>
      <c r="AF795">
        <v>0</v>
      </c>
      <c r="AG795">
        <v>20.350000000000001</v>
      </c>
      <c r="AH795">
        <v>60.58</v>
      </c>
      <c r="AI795">
        <v>0</v>
      </c>
      <c r="AJ795">
        <v>0</v>
      </c>
      <c r="AK795">
        <v>0</v>
      </c>
      <c r="AL795">
        <v>4.3899999999999997</v>
      </c>
      <c r="AM795">
        <v>0.4</v>
      </c>
      <c r="AN795">
        <f t="shared" si="37"/>
        <v>4</v>
      </c>
      <c r="AO795" t="str">
        <f t="shared" si="38"/>
        <v>Wednesday</v>
      </c>
    </row>
    <row r="796" spans="1:41" x14ac:dyDescent="0.2">
      <c r="A796" t="s">
        <v>39</v>
      </c>
      <c r="B796" s="1">
        <v>45854</v>
      </c>
      <c r="C796" s="1">
        <f t="shared" si="36"/>
        <v>45869</v>
      </c>
      <c r="D796">
        <v>25</v>
      </c>
      <c r="E796">
        <v>45</v>
      </c>
      <c r="F796">
        <v>6</v>
      </c>
      <c r="G796">
        <v>3</v>
      </c>
      <c r="H796">
        <v>1</v>
      </c>
      <c r="I796">
        <v>2</v>
      </c>
      <c r="J796">
        <v>0</v>
      </c>
      <c r="K796">
        <v>18</v>
      </c>
      <c r="L796" t="s">
        <v>39</v>
      </c>
      <c r="M796" t="s">
        <v>38</v>
      </c>
      <c r="N796" s="1">
        <v>45854</v>
      </c>
      <c r="O796" s="2">
        <v>0.54184027777777777</v>
      </c>
      <c r="P796" s="2">
        <v>0.91686342592592596</v>
      </c>
      <c r="Q796">
        <v>9</v>
      </c>
      <c r="R796">
        <v>9</v>
      </c>
      <c r="S796">
        <v>1.36</v>
      </c>
      <c r="T796">
        <v>0</v>
      </c>
      <c r="U796">
        <v>0</v>
      </c>
      <c r="V796">
        <v>0.03</v>
      </c>
      <c r="W796">
        <v>5.68</v>
      </c>
      <c r="X796">
        <v>1.48</v>
      </c>
      <c r="Y796">
        <v>0.45</v>
      </c>
      <c r="Z796">
        <v>0</v>
      </c>
      <c r="AA796">
        <v>0</v>
      </c>
      <c r="AB796">
        <v>0</v>
      </c>
      <c r="AC796">
        <v>9</v>
      </c>
      <c r="AD796">
        <v>15.09</v>
      </c>
      <c r="AE796">
        <v>0</v>
      </c>
      <c r="AF796">
        <v>0</v>
      </c>
      <c r="AG796">
        <v>0.36</v>
      </c>
      <c r="AH796">
        <v>63.11</v>
      </c>
      <c r="AI796">
        <v>16.440000000000001</v>
      </c>
      <c r="AJ796">
        <v>4.95</v>
      </c>
      <c r="AK796">
        <v>0</v>
      </c>
      <c r="AL796">
        <v>0</v>
      </c>
      <c r="AM796">
        <v>0.05</v>
      </c>
      <c r="AN796">
        <f t="shared" si="37"/>
        <v>4</v>
      </c>
      <c r="AO796" t="str">
        <f t="shared" si="38"/>
        <v>Wednesday</v>
      </c>
    </row>
    <row r="797" spans="1:41" x14ac:dyDescent="0.2">
      <c r="A797" t="s">
        <v>40</v>
      </c>
      <c r="B797" s="1">
        <v>45854</v>
      </c>
      <c r="C797" s="1">
        <f t="shared" si="36"/>
        <v>45869</v>
      </c>
      <c r="D797">
        <v>5</v>
      </c>
      <c r="E797">
        <v>10</v>
      </c>
      <c r="F797">
        <v>1</v>
      </c>
      <c r="G797">
        <v>0</v>
      </c>
      <c r="H797">
        <v>0</v>
      </c>
      <c r="I797">
        <v>0</v>
      </c>
      <c r="J797">
        <v>1</v>
      </c>
      <c r="K797">
        <v>6</v>
      </c>
      <c r="L797" t="s">
        <v>40</v>
      </c>
      <c r="M797" t="s">
        <v>38</v>
      </c>
      <c r="N797" s="1">
        <v>45854</v>
      </c>
      <c r="O797" s="2">
        <v>0.54768518518518516</v>
      </c>
      <c r="P797" s="2">
        <v>0.7510648148148148</v>
      </c>
      <c r="Q797">
        <v>4.88</v>
      </c>
      <c r="R797">
        <v>4.87</v>
      </c>
      <c r="S797">
        <v>0.28999999999999998</v>
      </c>
      <c r="T797">
        <v>1.08</v>
      </c>
      <c r="U797">
        <v>0</v>
      </c>
      <c r="V797">
        <v>7.0000000000000007E-2</v>
      </c>
      <c r="W797">
        <v>1.57</v>
      </c>
      <c r="X797">
        <v>1.29</v>
      </c>
      <c r="Y797">
        <v>0</v>
      </c>
      <c r="Z797">
        <v>0</v>
      </c>
      <c r="AA797">
        <v>0</v>
      </c>
      <c r="AB797">
        <v>0.56999999999999995</v>
      </c>
      <c r="AC797">
        <v>4.87</v>
      </c>
      <c r="AD797">
        <v>6.01</v>
      </c>
      <c r="AE797">
        <v>22.23</v>
      </c>
      <c r="AF797">
        <v>0</v>
      </c>
      <c r="AG797">
        <v>1.44</v>
      </c>
      <c r="AH797">
        <v>32.26</v>
      </c>
      <c r="AI797">
        <v>26.39</v>
      </c>
      <c r="AJ797">
        <v>0</v>
      </c>
      <c r="AK797">
        <v>0</v>
      </c>
      <c r="AL797">
        <v>0</v>
      </c>
      <c r="AM797">
        <v>11.68</v>
      </c>
      <c r="AN797">
        <f t="shared" si="37"/>
        <v>4</v>
      </c>
      <c r="AO797" t="str">
        <f t="shared" si="38"/>
        <v>Wednesday</v>
      </c>
    </row>
    <row r="798" spans="1:41" x14ac:dyDescent="0.2">
      <c r="A798" t="s">
        <v>41</v>
      </c>
      <c r="B798" s="1">
        <v>45854</v>
      </c>
      <c r="C798" s="1">
        <f t="shared" si="36"/>
        <v>45869</v>
      </c>
      <c r="D798">
        <v>30</v>
      </c>
      <c r="E798">
        <v>75</v>
      </c>
      <c r="F798">
        <v>1</v>
      </c>
      <c r="G798">
        <v>0</v>
      </c>
      <c r="H798">
        <v>2</v>
      </c>
      <c r="I798">
        <v>0</v>
      </c>
      <c r="J798">
        <v>1</v>
      </c>
      <c r="K798">
        <v>51</v>
      </c>
      <c r="L798" t="s">
        <v>41</v>
      </c>
      <c r="M798" t="s">
        <v>38</v>
      </c>
      <c r="N798" s="1">
        <v>45854</v>
      </c>
      <c r="O798" s="2">
        <v>0.54240740740740745</v>
      </c>
      <c r="P798" s="2">
        <v>0.91622685185185182</v>
      </c>
      <c r="Q798">
        <v>8.9700000000000006</v>
      </c>
      <c r="R798">
        <v>8.9700000000000006</v>
      </c>
      <c r="S798">
        <v>0.6</v>
      </c>
      <c r="T798">
        <v>0.2</v>
      </c>
      <c r="U798">
        <v>0</v>
      </c>
      <c r="V798">
        <v>0.13</v>
      </c>
      <c r="W798">
        <v>6.66</v>
      </c>
      <c r="X798">
        <v>1.37</v>
      </c>
      <c r="Y798">
        <v>0</v>
      </c>
      <c r="Z798">
        <v>0</v>
      </c>
      <c r="AA798">
        <v>0</v>
      </c>
      <c r="AB798">
        <v>0.01</v>
      </c>
      <c r="AC798">
        <v>8.9700000000000006</v>
      </c>
      <c r="AD798">
        <v>6.71</v>
      </c>
      <c r="AE798">
        <v>2.27</v>
      </c>
      <c r="AF798">
        <v>0</v>
      </c>
      <c r="AG798">
        <v>1.42</v>
      </c>
      <c r="AH798">
        <v>74.23</v>
      </c>
      <c r="AI798">
        <v>15.29</v>
      </c>
      <c r="AJ798">
        <v>0</v>
      </c>
      <c r="AK798">
        <v>0</v>
      </c>
      <c r="AL798">
        <v>0</v>
      </c>
      <c r="AM798">
        <v>0.08</v>
      </c>
      <c r="AN798">
        <f t="shared" si="37"/>
        <v>4</v>
      </c>
      <c r="AO798" t="str">
        <f t="shared" si="38"/>
        <v>Wednesday</v>
      </c>
    </row>
    <row r="799" spans="1:41" x14ac:dyDescent="0.2">
      <c r="A799" t="s">
        <v>43</v>
      </c>
      <c r="B799" s="1">
        <v>45854</v>
      </c>
      <c r="C799" s="1">
        <f t="shared" si="36"/>
        <v>45869</v>
      </c>
      <c r="D799">
        <v>31</v>
      </c>
      <c r="E799">
        <v>86</v>
      </c>
      <c r="F799">
        <v>2</v>
      </c>
      <c r="G799">
        <v>0</v>
      </c>
      <c r="H799">
        <v>2</v>
      </c>
      <c r="I799">
        <v>0</v>
      </c>
      <c r="J799">
        <v>0</v>
      </c>
      <c r="K799">
        <v>59</v>
      </c>
      <c r="L799" t="s">
        <v>43</v>
      </c>
      <c r="M799" t="s">
        <v>38</v>
      </c>
      <c r="N799" s="1">
        <v>45854</v>
      </c>
      <c r="O799" s="2">
        <v>0.54184027777777777</v>
      </c>
      <c r="P799" s="2">
        <v>0.91740740740740745</v>
      </c>
      <c r="Q799">
        <v>9.02</v>
      </c>
      <c r="R799">
        <v>9.01</v>
      </c>
      <c r="S799">
        <v>0.55000000000000004</v>
      </c>
      <c r="T799">
        <v>0.23</v>
      </c>
      <c r="U799">
        <v>0</v>
      </c>
      <c r="V799">
        <v>0.44</v>
      </c>
      <c r="W799">
        <v>6.37</v>
      </c>
      <c r="X799">
        <v>1.39</v>
      </c>
      <c r="Y799">
        <v>0</v>
      </c>
      <c r="Z799">
        <v>0</v>
      </c>
      <c r="AA799">
        <v>0.02</v>
      </c>
      <c r="AB799">
        <v>0</v>
      </c>
      <c r="AC799">
        <v>9.01</v>
      </c>
      <c r="AD799">
        <v>6.07</v>
      </c>
      <c r="AE799">
        <v>2.57</v>
      </c>
      <c r="AF799">
        <v>0</v>
      </c>
      <c r="AG799">
        <v>4.91</v>
      </c>
      <c r="AH799">
        <v>70.709999999999994</v>
      </c>
      <c r="AI799">
        <v>15.45</v>
      </c>
      <c r="AJ799">
        <v>0</v>
      </c>
      <c r="AK799">
        <v>0</v>
      </c>
      <c r="AL799">
        <v>0.24</v>
      </c>
      <c r="AM799">
        <v>0.05</v>
      </c>
      <c r="AN799">
        <f t="shared" si="37"/>
        <v>4</v>
      </c>
      <c r="AO799" t="str">
        <f t="shared" si="38"/>
        <v>Wednesday</v>
      </c>
    </row>
    <row r="800" spans="1:41" x14ac:dyDescent="0.2">
      <c r="B800" s="1">
        <v>45854</v>
      </c>
      <c r="C800" s="1">
        <f t="shared" si="36"/>
        <v>45869</v>
      </c>
      <c r="D800">
        <v>514</v>
      </c>
      <c r="E800">
        <v>0</v>
      </c>
      <c r="F800">
        <v>0</v>
      </c>
      <c r="G800">
        <v>0</v>
      </c>
      <c r="H800">
        <v>0</v>
      </c>
      <c r="I800">
        <v>0</v>
      </c>
      <c r="J800">
        <v>0</v>
      </c>
      <c r="K800">
        <v>0</v>
      </c>
      <c r="AN800">
        <f t="shared" si="37"/>
        <v>4</v>
      </c>
      <c r="AO800" t="str">
        <f t="shared" si="38"/>
        <v>Wednesday</v>
      </c>
    </row>
    <row r="801" spans="1:41" x14ac:dyDescent="0.2">
      <c r="A801" t="s">
        <v>37</v>
      </c>
      <c r="B801" s="1">
        <v>45853</v>
      </c>
      <c r="C801" s="1">
        <f t="shared" si="36"/>
        <v>45869</v>
      </c>
      <c r="D801">
        <v>19</v>
      </c>
      <c r="E801">
        <v>43</v>
      </c>
      <c r="F801">
        <v>6</v>
      </c>
      <c r="G801">
        <v>3</v>
      </c>
      <c r="H801">
        <v>3</v>
      </c>
      <c r="I801">
        <v>1</v>
      </c>
      <c r="J801">
        <v>1</v>
      </c>
      <c r="K801">
        <v>23</v>
      </c>
      <c r="L801" t="s">
        <v>37</v>
      </c>
      <c r="M801" t="s">
        <v>38</v>
      </c>
      <c r="N801" s="1">
        <v>45853</v>
      </c>
      <c r="O801" s="2">
        <v>0.5410300925925926</v>
      </c>
      <c r="P801" s="2">
        <v>0.92033564814814817</v>
      </c>
      <c r="Q801">
        <v>9.1</v>
      </c>
      <c r="R801">
        <v>9.1</v>
      </c>
      <c r="S801">
        <v>2.04</v>
      </c>
      <c r="T801">
        <v>0.61</v>
      </c>
      <c r="U801">
        <v>0</v>
      </c>
      <c r="V801">
        <v>0.26</v>
      </c>
      <c r="W801">
        <v>3.45</v>
      </c>
      <c r="X801">
        <v>1.27</v>
      </c>
      <c r="Y801">
        <v>1.44</v>
      </c>
      <c r="Z801">
        <v>0</v>
      </c>
      <c r="AA801">
        <v>0</v>
      </c>
      <c r="AB801">
        <v>0.02</v>
      </c>
      <c r="AC801">
        <v>9.1</v>
      </c>
      <c r="AD801">
        <v>22.44</v>
      </c>
      <c r="AE801">
        <v>6.74</v>
      </c>
      <c r="AF801">
        <v>0</v>
      </c>
      <c r="AG801">
        <v>2.85</v>
      </c>
      <c r="AH801">
        <v>37.89</v>
      </c>
      <c r="AI801">
        <v>14</v>
      </c>
      <c r="AJ801">
        <v>15.81</v>
      </c>
      <c r="AK801">
        <v>0</v>
      </c>
      <c r="AL801">
        <v>0</v>
      </c>
      <c r="AM801">
        <v>0.26</v>
      </c>
      <c r="AN801">
        <f t="shared" si="37"/>
        <v>3</v>
      </c>
      <c r="AO801" t="str">
        <f t="shared" si="38"/>
        <v>Tuesday</v>
      </c>
    </row>
    <row r="802" spans="1:41" x14ac:dyDescent="0.2">
      <c r="A802" t="s">
        <v>52</v>
      </c>
      <c r="B802" s="1">
        <v>45853</v>
      </c>
      <c r="C802" s="1">
        <f t="shared" si="36"/>
        <v>45869</v>
      </c>
      <c r="D802">
        <v>22</v>
      </c>
      <c r="E802">
        <v>45</v>
      </c>
      <c r="F802">
        <v>6</v>
      </c>
      <c r="G802">
        <v>4</v>
      </c>
      <c r="H802">
        <v>4</v>
      </c>
      <c r="I802">
        <v>0</v>
      </c>
      <c r="J802">
        <v>4</v>
      </c>
      <c r="K802">
        <v>20</v>
      </c>
      <c r="L802" t="s">
        <v>52</v>
      </c>
      <c r="M802" t="s">
        <v>38</v>
      </c>
      <c r="N802" s="1">
        <v>45853</v>
      </c>
      <c r="O802" s="2">
        <v>0.54087962962962965</v>
      </c>
      <c r="P802" s="2">
        <v>0.91662037037037036</v>
      </c>
      <c r="Q802">
        <v>9.02</v>
      </c>
      <c r="R802">
        <v>8.0500000000000007</v>
      </c>
      <c r="S802">
        <v>1.1599999999999999</v>
      </c>
      <c r="T802">
        <v>0.47</v>
      </c>
      <c r="U802">
        <v>0</v>
      </c>
      <c r="V802">
        <v>0.66</v>
      </c>
      <c r="W802">
        <v>5.16</v>
      </c>
      <c r="X802">
        <v>0.57999999999999996</v>
      </c>
      <c r="Y802">
        <v>0</v>
      </c>
      <c r="Z802">
        <v>0</v>
      </c>
      <c r="AA802">
        <v>0</v>
      </c>
      <c r="AB802">
        <v>0.02</v>
      </c>
      <c r="AC802">
        <v>8.0500000000000007</v>
      </c>
      <c r="AD802">
        <v>14.41</v>
      </c>
      <c r="AE802">
        <v>5.82</v>
      </c>
      <c r="AF802">
        <v>0</v>
      </c>
      <c r="AG802">
        <v>8.25</v>
      </c>
      <c r="AH802">
        <v>64.05</v>
      </c>
      <c r="AI802">
        <v>7.19</v>
      </c>
      <c r="AJ802">
        <v>0</v>
      </c>
      <c r="AK802">
        <v>0</v>
      </c>
      <c r="AL802">
        <v>0</v>
      </c>
      <c r="AM802">
        <v>0.28000000000000003</v>
      </c>
      <c r="AN802">
        <f t="shared" si="37"/>
        <v>3</v>
      </c>
      <c r="AO802" t="str">
        <f t="shared" si="38"/>
        <v>Tuesday</v>
      </c>
    </row>
    <row r="803" spans="1:41" x14ac:dyDescent="0.2">
      <c r="A803" t="s">
        <v>39</v>
      </c>
      <c r="B803" s="1">
        <v>45853</v>
      </c>
      <c r="C803" s="1">
        <f t="shared" si="36"/>
        <v>45869</v>
      </c>
      <c r="D803">
        <v>24</v>
      </c>
      <c r="E803">
        <v>40</v>
      </c>
      <c r="F803">
        <v>5</v>
      </c>
      <c r="G803">
        <v>3</v>
      </c>
      <c r="H803">
        <v>9</v>
      </c>
      <c r="I803">
        <v>2</v>
      </c>
      <c r="J803">
        <v>2</v>
      </c>
      <c r="K803">
        <v>6</v>
      </c>
      <c r="L803" t="s">
        <v>39</v>
      </c>
      <c r="M803" t="s">
        <v>38</v>
      </c>
      <c r="N803" s="1">
        <v>45853</v>
      </c>
      <c r="O803" s="2">
        <v>0.54189814814814818</v>
      </c>
      <c r="P803" s="2">
        <v>0.91678240740740746</v>
      </c>
      <c r="Q803">
        <v>9</v>
      </c>
      <c r="R803">
        <v>9</v>
      </c>
      <c r="S803">
        <v>1.39</v>
      </c>
      <c r="T803">
        <v>0.12</v>
      </c>
      <c r="U803">
        <v>0</v>
      </c>
      <c r="V803">
        <v>0.02</v>
      </c>
      <c r="W803">
        <v>5.97</v>
      </c>
      <c r="X803">
        <v>1.49</v>
      </c>
      <c r="Y803">
        <v>0</v>
      </c>
      <c r="Z803">
        <v>0</v>
      </c>
      <c r="AA803">
        <v>0</v>
      </c>
      <c r="AB803">
        <v>0.01</v>
      </c>
      <c r="AC803">
        <v>9</v>
      </c>
      <c r="AD803">
        <v>15.49</v>
      </c>
      <c r="AE803">
        <v>1.32</v>
      </c>
      <c r="AF803">
        <v>0</v>
      </c>
      <c r="AG803">
        <v>0.18</v>
      </c>
      <c r="AH803">
        <v>66.349999999999994</v>
      </c>
      <c r="AI803">
        <v>16.579999999999998</v>
      </c>
      <c r="AJ803">
        <v>0</v>
      </c>
      <c r="AK803">
        <v>0</v>
      </c>
      <c r="AL803">
        <v>0</v>
      </c>
      <c r="AM803">
        <v>7.0000000000000007E-2</v>
      </c>
      <c r="AN803">
        <f t="shared" si="37"/>
        <v>3</v>
      </c>
      <c r="AO803" t="str">
        <f t="shared" si="38"/>
        <v>Tuesday</v>
      </c>
    </row>
    <row r="804" spans="1:41" x14ac:dyDescent="0.2">
      <c r="A804" t="s">
        <v>40</v>
      </c>
      <c r="B804" s="1">
        <v>45853</v>
      </c>
      <c r="C804" s="1">
        <f t="shared" si="36"/>
        <v>45869</v>
      </c>
      <c r="D804">
        <v>1</v>
      </c>
      <c r="E804">
        <v>9</v>
      </c>
      <c r="F804">
        <v>2</v>
      </c>
      <c r="G804">
        <v>0</v>
      </c>
      <c r="H804">
        <v>1</v>
      </c>
      <c r="I804">
        <v>2</v>
      </c>
      <c r="J804">
        <v>0</v>
      </c>
      <c r="K804">
        <v>0</v>
      </c>
      <c r="AN804">
        <f t="shared" si="37"/>
        <v>3</v>
      </c>
      <c r="AO804" t="str">
        <f t="shared" si="38"/>
        <v>Tuesday</v>
      </c>
    </row>
    <row r="805" spans="1:41" x14ac:dyDescent="0.2">
      <c r="A805" t="s">
        <v>41</v>
      </c>
      <c r="B805" s="1">
        <v>45853</v>
      </c>
      <c r="C805" s="1">
        <f t="shared" si="36"/>
        <v>45869</v>
      </c>
      <c r="D805">
        <v>28</v>
      </c>
      <c r="E805">
        <v>83</v>
      </c>
      <c r="F805">
        <v>9</v>
      </c>
      <c r="G805">
        <v>11</v>
      </c>
      <c r="H805">
        <v>2</v>
      </c>
      <c r="I805">
        <v>4</v>
      </c>
      <c r="J805">
        <v>1</v>
      </c>
      <c r="K805">
        <v>42</v>
      </c>
      <c r="L805" t="s">
        <v>41</v>
      </c>
      <c r="M805" t="s">
        <v>38</v>
      </c>
      <c r="N805" s="1">
        <v>45853</v>
      </c>
      <c r="O805" s="2">
        <v>0.54203703703703698</v>
      </c>
      <c r="P805" s="2">
        <v>0.91629629629629628</v>
      </c>
      <c r="Q805">
        <v>8.98</v>
      </c>
      <c r="R805">
        <v>8.98</v>
      </c>
      <c r="S805">
        <v>1.5</v>
      </c>
      <c r="T805">
        <v>0</v>
      </c>
      <c r="U805">
        <v>0</v>
      </c>
      <c r="V805">
        <v>0.32</v>
      </c>
      <c r="W805">
        <v>5.41</v>
      </c>
      <c r="X805">
        <v>1.44</v>
      </c>
      <c r="Y805">
        <v>0.31</v>
      </c>
      <c r="Z805">
        <v>0</v>
      </c>
      <c r="AA805">
        <v>0</v>
      </c>
      <c r="AB805">
        <v>0.01</v>
      </c>
      <c r="AC805">
        <v>8.98</v>
      </c>
      <c r="AD805">
        <v>16.670000000000002</v>
      </c>
      <c r="AE805">
        <v>0</v>
      </c>
      <c r="AF805">
        <v>0</v>
      </c>
      <c r="AG805">
        <v>3.52</v>
      </c>
      <c r="AH805">
        <v>60.18</v>
      </c>
      <c r="AI805">
        <v>16.09</v>
      </c>
      <c r="AJ805">
        <v>3.47</v>
      </c>
      <c r="AK805">
        <v>0</v>
      </c>
      <c r="AL805">
        <v>0</v>
      </c>
      <c r="AM805">
        <v>0.06</v>
      </c>
      <c r="AN805">
        <f t="shared" si="37"/>
        <v>3</v>
      </c>
      <c r="AO805" t="str">
        <f t="shared" si="38"/>
        <v>Tuesday</v>
      </c>
    </row>
    <row r="806" spans="1:41" x14ac:dyDescent="0.2">
      <c r="A806" t="s">
        <v>42</v>
      </c>
      <c r="B806" s="1">
        <v>45853</v>
      </c>
      <c r="C806" s="1">
        <f t="shared" si="36"/>
        <v>45869</v>
      </c>
      <c r="D806">
        <v>1</v>
      </c>
      <c r="E806">
        <v>2</v>
      </c>
      <c r="F806">
        <v>0</v>
      </c>
      <c r="G806">
        <v>0</v>
      </c>
      <c r="H806">
        <v>2</v>
      </c>
      <c r="I806">
        <v>0</v>
      </c>
      <c r="J806">
        <v>0</v>
      </c>
      <c r="K806">
        <v>0</v>
      </c>
      <c r="L806" t="s">
        <v>42</v>
      </c>
      <c r="M806" t="s">
        <v>38</v>
      </c>
      <c r="N806" s="1">
        <v>45853</v>
      </c>
      <c r="O806" s="2">
        <v>0.61540509259259257</v>
      </c>
      <c r="P806" s="2">
        <v>0.64204861111111111</v>
      </c>
      <c r="Q806">
        <v>0.63</v>
      </c>
      <c r="R806">
        <v>0.64</v>
      </c>
      <c r="S806">
        <v>0.63</v>
      </c>
      <c r="T806">
        <v>0</v>
      </c>
      <c r="U806">
        <v>0</v>
      </c>
      <c r="V806">
        <v>0.01</v>
      </c>
      <c r="W806">
        <v>0</v>
      </c>
      <c r="X806">
        <v>0</v>
      </c>
      <c r="Y806">
        <v>0</v>
      </c>
      <c r="Z806">
        <v>0</v>
      </c>
      <c r="AA806">
        <v>0</v>
      </c>
      <c r="AB806">
        <v>0</v>
      </c>
      <c r="AC806">
        <v>0.64</v>
      </c>
      <c r="AD806">
        <v>98.57</v>
      </c>
      <c r="AE806">
        <v>0</v>
      </c>
      <c r="AF806">
        <v>0</v>
      </c>
      <c r="AG806">
        <v>0.91</v>
      </c>
      <c r="AH806">
        <v>0</v>
      </c>
      <c r="AI806">
        <v>0</v>
      </c>
      <c r="AJ806">
        <v>0</v>
      </c>
      <c r="AK806">
        <v>0</v>
      </c>
      <c r="AL806">
        <v>0</v>
      </c>
      <c r="AM806">
        <v>0.52</v>
      </c>
      <c r="AN806">
        <f t="shared" si="37"/>
        <v>3</v>
      </c>
      <c r="AO806" t="str">
        <f t="shared" si="38"/>
        <v>Tuesday</v>
      </c>
    </row>
    <row r="807" spans="1:41" x14ac:dyDescent="0.2">
      <c r="A807" t="s">
        <v>43</v>
      </c>
      <c r="B807" s="1">
        <v>45853</v>
      </c>
      <c r="C807" s="1">
        <f t="shared" si="36"/>
        <v>45869</v>
      </c>
      <c r="D807">
        <v>21</v>
      </c>
      <c r="E807">
        <v>50</v>
      </c>
      <c r="F807">
        <v>2</v>
      </c>
      <c r="G807">
        <v>5</v>
      </c>
      <c r="H807">
        <v>10</v>
      </c>
      <c r="I807">
        <v>1</v>
      </c>
      <c r="J807">
        <v>0</v>
      </c>
      <c r="K807">
        <v>18</v>
      </c>
      <c r="L807" t="s">
        <v>43</v>
      </c>
      <c r="M807" t="s">
        <v>38</v>
      </c>
      <c r="N807" s="1">
        <v>45853</v>
      </c>
      <c r="O807" s="2">
        <v>0.54188657407407403</v>
      </c>
      <c r="P807" s="2">
        <v>0.91927083333333337</v>
      </c>
      <c r="Q807">
        <v>9.0500000000000007</v>
      </c>
      <c r="R807">
        <v>9.06</v>
      </c>
      <c r="S807">
        <v>1.03</v>
      </c>
      <c r="T807">
        <v>0.14000000000000001</v>
      </c>
      <c r="U807">
        <v>0</v>
      </c>
      <c r="V807">
        <v>0.35</v>
      </c>
      <c r="W807">
        <v>5.54</v>
      </c>
      <c r="X807">
        <v>1.49</v>
      </c>
      <c r="Y807">
        <v>0.43</v>
      </c>
      <c r="Z807">
        <v>0</v>
      </c>
      <c r="AA807">
        <v>7.0000000000000007E-2</v>
      </c>
      <c r="AB807">
        <v>0</v>
      </c>
      <c r="AC807">
        <v>9.06</v>
      </c>
      <c r="AD807">
        <v>11.36</v>
      </c>
      <c r="AE807">
        <v>1.55</v>
      </c>
      <c r="AF807">
        <v>0</v>
      </c>
      <c r="AG807">
        <v>3.91</v>
      </c>
      <c r="AH807">
        <v>61.17</v>
      </c>
      <c r="AI807">
        <v>16.48</v>
      </c>
      <c r="AJ807">
        <v>4.75</v>
      </c>
      <c r="AK807">
        <v>0</v>
      </c>
      <c r="AL807">
        <v>0.74</v>
      </c>
      <c r="AM807">
        <v>0.04</v>
      </c>
      <c r="AN807">
        <f t="shared" si="37"/>
        <v>3</v>
      </c>
      <c r="AO807" t="str">
        <f t="shared" si="38"/>
        <v>Tuesday</v>
      </c>
    </row>
    <row r="808" spans="1:41" x14ac:dyDescent="0.2">
      <c r="B808" s="1">
        <v>45853</v>
      </c>
      <c r="C808" s="1">
        <f t="shared" si="36"/>
        <v>45869</v>
      </c>
      <c r="D808">
        <v>530</v>
      </c>
      <c r="E808">
        <v>0</v>
      </c>
      <c r="F808">
        <v>0</v>
      </c>
      <c r="G808">
        <v>0</v>
      </c>
      <c r="H808">
        <v>0</v>
      </c>
      <c r="I808">
        <v>0</v>
      </c>
      <c r="J808">
        <v>0</v>
      </c>
      <c r="K808">
        <v>0</v>
      </c>
      <c r="AN808">
        <f t="shared" si="37"/>
        <v>3</v>
      </c>
      <c r="AO808" t="str">
        <f t="shared" si="38"/>
        <v>Tuesday</v>
      </c>
    </row>
    <row r="809" spans="1:41" x14ac:dyDescent="0.2">
      <c r="A809" t="s">
        <v>37</v>
      </c>
      <c r="B809" s="1">
        <v>45852</v>
      </c>
      <c r="C809" s="1">
        <f t="shared" si="36"/>
        <v>45869</v>
      </c>
      <c r="D809">
        <v>28</v>
      </c>
      <c r="E809">
        <v>63</v>
      </c>
      <c r="F809">
        <v>2</v>
      </c>
      <c r="G809">
        <v>6</v>
      </c>
      <c r="H809">
        <v>7</v>
      </c>
      <c r="I809">
        <v>0</v>
      </c>
      <c r="J809">
        <v>3</v>
      </c>
      <c r="K809">
        <v>41</v>
      </c>
      <c r="L809" t="s">
        <v>37</v>
      </c>
      <c r="M809" t="s">
        <v>38</v>
      </c>
      <c r="N809" s="1">
        <v>45852</v>
      </c>
      <c r="O809" s="2">
        <v>0.54228009259259258</v>
      </c>
      <c r="P809" s="2">
        <v>0.91673611111111108</v>
      </c>
      <c r="Q809">
        <v>9</v>
      </c>
      <c r="R809">
        <v>8.11</v>
      </c>
      <c r="S809">
        <v>1.22</v>
      </c>
      <c r="T809">
        <v>0</v>
      </c>
      <c r="U809">
        <v>0</v>
      </c>
      <c r="V809">
        <v>0.37</v>
      </c>
      <c r="W809">
        <v>5.91</v>
      </c>
      <c r="X809">
        <v>0.56999999999999995</v>
      </c>
      <c r="Y809">
        <v>0</v>
      </c>
      <c r="Z809">
        <v>0</v>
      </c>
      <c r="AA809">
        <v>0</v>
      </c>
      <c r="AB809">
        <v>0.04</v>
      </c>
      <c r="AC809">
        <v>8.11</v>
      </c>
      <c r="AD809">
        <v>15.03</v>
      </c>
      <c r="AE809">
        <v>0</v>
      </c>
      <c r="AF809">
        <v>0</v>
      </c>
      <c r="AG809">
        <v>4.5599999999999996</v>
      </c>
      <c r="AH809">
        <v>72.88</v>
      </c>
      <c r="AI809">
        <v>7.04</v>
      </c>
      <c r="AJ809">
        <v>0</v>
      </c>
      <c r="AK809">
        <v>0</v>
      </c>
      <c r="AL809">
        <v>0</v>
      </c>
      <c r="AM809">
        <v>0.48</v>
      </c>
      <c r="AN809">
        <f t="shared" si="37"/>
        <v>2</v>
      </c>
      <c r="AO809" t="str">
        <f t="shared" si="38"/>
        <v>Monday</v>
      </c>
    </row>
    <row r="810" spans="1:41" x14ac:dyDescent="0.2">
      <c r="A810" t="s">
        <v>52</v>
      </c>
      <c r="B810" s="1">
        <v>45852</v>
      </c>
      <c r="C810" s="1">
        <f t="shared" si="36"/>
        <v>45869</v>
      </c>
      <c r="D810">
        <v>9</v>
      </c>
      <c r="E810">
        <v>20</v>
      </c>
      <c r="F810">
        <v>0</v>
      </c>
      <c r="G810">
        <v>0</v>
      </c>
      <c r="H810">
        <v>3</v>
      </c>
      <c r="I810">
        <v>2</v>
      </c>
      <c r="J810">
        <v>0</v>
      </c>
      <c r="K810">
        <v>12</v>
      </c>
      <c r="L810" t="s">
        <v>52</v>
      </c>
      <c r="M810" t="s">
        <v>38</v>
      </c>
      <c r="N810" s="1">
        <v>45852</v>
      </c>
      <c r="O810" s="2">
        <v>0.5430787037037037</v>
      </c>
      <c r="P810" s="2">
        <v>0.91582175925925924</v>
      </c>
      <c r="Q810">
        <v>8.93</v>
      </c>
      <c r="R810">
        <v>8.56</v>
      </c>
      <c r="S810">
        <v>0.95</v>
      </c>
      <c r="T810">
        <v>1.29</v>
      </c>
      <c r="U810">
        <v>0</v>
      </c>
      <c r="V810">
        <v>0.37</v>
      </c>
      <c r="W810">
        <v>4.2300000000000004</v>
      </c>
      <c r="X810">
        <v>1.2</v>
      </c>
      <c r="Y810">
        <v>0.51</v>
      </c>
      <c r="Z810">
        <v>0</v>
      </c>
      <c r="AA810">
        <v>0</v>
      </c>
      <c r="AB810">
        <v>0.02</v>
      </c>
      <c r="AC810">
        <v>8.56</v>
      </c>
      <c r="AD810">
        <v>11.07</v>
      </c>
      <c r="AE810">
        <v>15.04</v>
      </c>
      <c r="AF810">
        <v>0</v>
      </c>
      <c r="AG810">
        <v>4.37</v>
      </c>
      <c r="AH810">
        <v>49.39</v>
      </c>
      <c r="AI810">
        <v>13.99</v>
      </c>
      <c r="AJ810">
        <v>5.9</v>
      </c>
      <c r="AK810">
        <v>0</v>
      </c>
      <c r="AL810">
        <v>0</v>
      </c>
      <c r="AM810">
        <v>0.25</v>
      </c>
      <c r="AN810">
        <f t="shared" si="37"/>
        <v>2</v>
      </c>
      <c r="AO810" t="str">
        <f t="shared" si="38"/>
        <v>Monday</v>
      </c>
    </row>
    <row r="811" spans="1:41" x14ac:dyDescent="0.2">
      <c r="A811" t="s">
        <v>39</v>
      </c>
      <c r="B811" s="1">
        <v>45852</v>
      </c>
      <c r="C811" s="1">
        <f t="shared" si="36"/>
        <v>45869</v>
      </c>
      <c r="D811">
        <v>19</v>
      </c>
      <c r="E811">
        <v>37</v>
      </c>
      <c r="F811">
        <v>3</v>
      </c>
      <c r="G811">
        <v>2</v>
      </c>
      <c r="H811">
        <v>3</v>
      </c>
      <c r="I811">
        <v>0</v>
      </c>
      <c r="J811">
        <v>0</v>
      </c>
      <c r="K811">
        <v>21</v>
      </c>
      <c r="L811" t="s">
        <v>39</v>
      </c>
      <c r="M811" t="s">
        <v>38</v>
      </c>
      <c r="N811" s="1">
        <v>45852</v>
      </c>
      <c r="O811" s="2">
        <v>0.54190972222222222</v>
      </c>
      <c r="P811" s="2">
        <v>0.91673611111111108</v>
      </c>
      <c r="Q811">
        <v>9</v>
      </c>
      <c r="R811">
        <v>9</v>
      </c>
      <c r="S811">
        <v>1.44</v>
      </c>
      <c r="T811">
        <v>0.13</v>
      </c>
      <c r="U811">
        <v>0</v>
      </c>
      <c r="V811">
        <v>0.02</v>
      </c>
      <c r="W811">
        <v>5.23</v>
      </c>
      <c r="X811">
        <v>1.49</v>
      </c>
      <c r="Y811">
        <v>0.68</v>
      </c>
      <c r="Z811">
        <v>0</v>
      </c>
      <c r="AA811">
        <v>0</v>
      </c>
      <c r="AB811">
        <v>0.01</v>
      </c>
      <c r="AC811">
        <v>9</v>
      </c>
      <c r="AD811">
        <v>15.97</v>
      </c>
      <c r="AE811">
        <v>1.45</v>
      </c>
      <c r="AF811">
        <v>0</v>
      </c>
      <c r="AG811">
        <v>0.21</v>
      </c>
      <c r="AH811">
        <v>58.1</v>
      </c>
      <c r="AI811">
        <v>16.600000000000001</v>
      </c>
      <c r="AJ811">
        <v>7.59</v>
      </c>
      <c r="AK811">
        <v>0</v>
      </c>
      <c r="AL811">
        <v>0</v>
      </c>
      <c r="AM811">
        <v>7.0000000000000007E-2</v>
      </c>
      <c r="AN811">
        <f t="shared" si="37"/>
        <v>2</v>
      </c>
      <c r="AO811" t="str">
        <f t="shared" si="38"/>
        <v>Monday</v>
      </c>
    </row>
    <row r="812" spans="1:41" x14ac:dyDescent="0.2">
      <c r="A812" t="s">
        <v>40</v>
      </c>
      <c r="B812" s="1">
        <v>45852</v>
      </c>
      <c r="C812" s="1">
        <f t="shared" si="36"/>
        <v>45869</v>
      </c>
      <c r="D812">
        <v>1</v>
      </c>
      <c r="E812">
        <v>3</v>
      </c>
      <c r="F812">
        <v>1</v>
      </c>
      <c r="G812">
        <v>0</v>
      </c>
      <c r="H812">
        <v>0</v>
      </c>
      <c r="I812">
        <v>1</v>
      </c>
      <c r="J812">
        <v>1</v>
      </c>
      <c r="K812">
        <v>0</v>
      </c>
      <c r="AN812">
        <f t="shared" si="37"/>
        <v>2</v>
      </c>
      <c r="AO812" t="str">
        <f t="shared" si="38"/>
        <v>Monday</v>
      </c>
    </row>
    <row r="813" spans="1:41" x14ac:dyDescent="0.2">
      <c r="A813" t="s">
        <v>41</v>
      </c>
      <c r="B813" s="1">
        <v>45852</v>
      </c>
      <c r="C813" s="1">
        <f t="shared" si="36"/>
        <v>45869</v>
      </c>
      <c r="D813">
        <v>29</v>
      </c>
      <c r="E813">
        <v>77</v>
      </c>
      <c r="F813">
        <v>4</v>
      </c>
      <c r="G813">
        <v>9</v>
      </c>
      <c r="H813">
        <v>2</v>
      </c>
      <c r="I813">
        <v>0</v>
      </c>
      <c r="J813">
        <v>10</v>
      </c>
      <c r="K813">
        <v>44</v>
      </c>
      <c r="L813" t="s">
        <v>41</v>
      </c>
      <c r="M813" t="s">
        <v>38</v>
      </c>
      <c r="N813" s="1">
        <v>45852</v>
      </c>
      <c r="O813" s="2">
        <v>0.54218750000000004</v>
      </c>
      <c r="P813" s="2">
        <v>0.91630787037037043</v>
      </c>
      <c r="Q813">
        <v>8.98</v>
      </c>
      <c r="R813">
        <v>8.98</v>
      </c>
      <c r="S813">
        <v>1.02</v>
      </c>
      <c r="T813">
        <v>0.24</v>
      </c>
      <c r="U813">
        <v>0</v>
      </c>
      <c r="V813">
        <v>0.23</v>
      </c>
      <c r="W813">
        <v>6.02</v>
      </c>
      <c r="X813">
        <v>1.47</v>
      </c>
      <c r="Y813">
        <v>0</v>
      </c>
      <c r="Z813">
        <v>0</v>
      </c>
      <c r="AA813">
        <v>0</v>
      </c>
      <c r="AB813">
        <v>0</v>
      </c>
      <c r="AC813">
        <v>8.98</v>
      </c>
      <c r="AD813">
        <v>11.33</v>
      </c>
      <c r="AE813">
        <v>2.69</v>
      </c>
      <c r="AF813">
        <v>0</v>
      </c>
      <c r="AG813">
        <v>2.6</v>
      </c>
      <c r="AH813">
        <v>67</v>
      </c>
      <c r="AI813">
        <v>16.34</v>
      </c>
      <c r="AJ813">
        <v>0</v>
      </c>
      <c r="AK813">
        <v>0</v>
      </c>
      <c r="AL813">
        <v>0</v>
      </c>
      <c r="AM813">
        <v>0.04</v>
      </c>
      <c r="AN813">
        <f t="shared" si="37"/>
        <v>2</v>
      </c>
      <c r="AO813" t="str">
        <f t="shared" si="38"/>
        <v>Monday</v>
      </c>
    </row>
    <row r="814" spans="1:41" x14ac:dyDescent="0.2">
      <c r="A814" t="s">
        <v>43</v>
      </c>
      <c r="B814" s="1">
        <v>45852</v>
      </c>
      <c r="C814" s="1">
        <f t="shared" si="36"/>
        <v>45869</v>
      </c>
      <c r="D814">
        <v>22</v>
      </c>
      <c r="E814">
        <v>70</v>
      </c>
      <c r="F814">
        <v>5</v>
      </c>
      <c r="G814">
        <v>1</v>
      </c>
      <c r="H814">
        <v>4</v>
      </c>
      <c r="I814">
        <v>0</v>
      </c>
      <c r="J814">
        <v>3</v>
      </c>
      <c r="K814">
        <v>46</v>
      </c>
      <c r="L814" t="s">
        <v>43</v>
      </c>
      <c r="M814" t="s">
        <v>38</v>
      </c>
      <c r="N814" s="1">
        <v>45852</v>
      </c>
      <c r="O814" s="2">
        <v>0.54155092592592591</v>
      </c>
      <c r="P814" s="2">
        <v>0.91940972222222217</v>
      </c>
      <c r="Q814">
        <v>9.07</v>
      </c>
      <c r="R814">
        <v>9.07</v>
      </c>
      <c r="S814">
        <v>0.93</v>
      </c>
      <c r="T814">
        <v>0.14000000000000001</v>
      </c>
      <c r="U814">
        <v>0</v>
      </c>
      <c r="V814">
        <v>0.4</v>
      </c>
      <c r="W814">
        <v>5.86</v>
      </c>
      <c r="X814">
        <v>1.5</v>
      </c>
      <c r="Y814">
        <v>0.23</v>
      </c>
      <c r="Z814">
        <v>0</v>
      </c>
      <c r="AA814">
        <v>0</v>
      </c>
      <c r="AB814">
        <v>0</v>
      </c>
      <c r="AC814">
        <v>9.07</v>
      </c>
      <c r="AD814">
        <v>10.28</v>
      </c>
      <c r="AE814">
        <v>1.57</v>
      </c>
      <c r="AF814">
        <v>0</v>
      </c>
      <c r="AG814">
        <v>4.3600000000000003</v>
      </c>
      <c r="AH814">
        <v>64.63</v>
      </c>
      <c r="AI814">
        <v>16.53</v>
      </c>
      <c r="AJ814">
        <v>2.59</v>
      </c>
      <c r="AK814">
        <v>0</v>
      </c>
      <c r="AL814">
        <v>0</v>
      </c>
      <c r="AM814">
        <v>0.04</v>
      </c>
      <c r="AN814">
        <f t="shared" si="37"/>
        <v>2</v>
      </c>
      <c r="AO814" t="str">
        <f t="shared" si="38"/>
        <v>Monday</v>
      </c>
    </row>
    <row r="815" spans="1:41" x14ac:dyDescent="0.2">
      <c r="B815" s="1">
        <v>45852</v>
      </c>
      <c r="C815" s="1">
        <f t="shared" si="36"/>
        <v>45869</v>
      </c>
      <c r="D815">
        <v>469</v>
      </c>
      <c r="E815">
        <v>0</v>
      </c>
      <c r="F815">
        <v>0</v>
      </c>
      <c r="G815">
        <v>0</v>
      </c>
      <c r="H815">
        <v>0</v>
      </c>
      <c r="I815">
        <v>0</v>
      </c>
      <c r="J815">
        <v>0</v>
      </c>
      <c r="K815">
        <v>0</v>
      </c>
      <c r="AN815">
        <f t="shared" si="37"/>
        <v>2</v>
      </c>
      <c r="AO815" t="str">
        <f t="shared" si="38"/>
        <v>Monday</v>
      </c>
    </row>
    <row r="816" spans="1:41" x14ac:dyDescent="0.2">
      <c r="A816" t="s">
        <v>37</v>
      </c>
      <c r="B816" s="1">
        <v>45849</v>
      </c>
      <c r="C816" s="1">
        <f t="shared" si="36"/>
        <v>45869</v>
      </c>
      <c r="D816">
        <v>22</v>
      </c>
      <c r="E816">
        <v>46</v>
      </c>
      <c r="F816">
        <v>3</v>
      </c>
      <c r="G816">
        <v>2</v>
      </c>
      <c r="H816">
        <v>5</v>
      </c>
      <c r="I816">
        <v>0</v>
      </c>
      <c r="J816">
        <v>0</v>
      </c>
      <c r="K816">
        <v>24</v>
      </c>
      <c r="L816" t="s">
        <v>37</v>
      </c>
      <c r="M816" t="s">
        <v>38</v>
      </c>
      <c r="N816" s="1">
        <v>45849</v>
      </c>
      <c r="O816" s="2">
        <v>0.5414930555555556</v>
      </c>
      <c r="P816" s="2">
        <v>0.91521990740740744</v>
      </c>
      <c r="Q816">
        <v>8.9700000000000006</v>
      </c>
      <c r="R816">
        <v>8.08</v>
      </c>
      <c r="S816">
        <v>0.97</v>
      </c>
      <c r="T816">
        <v>0.16</v>
      </c>
      <c r="U816">
        <v>0</v>
      </c>
      <c r="V816">
        <v>0.28000000000000003</v>
      </c>
      <c r="W816">
        <v>5.27</v>
      </c>
      <c r="X816">
        <v>0.54</v>
      </c>
      <c r="Y816">
        <v>0.73</v>
      </c>
      <c r="Z816">
        <v>0</v>
      </c>
      <c r="AA816">
        <v>0</v>
      </c>
      <c r="AB816">
        <v>0.14000000000000001</v>
      </c>
      <c r="AC816">
        <v>8.08</v>
      </c>
      <c r="AD816">
        <v>12.02</v>
      </c>
      <c r="AE816">
        <v>1.97</v>
      </c>
      <c r="AF816">
        <v>0</v>
      </c>
      <c r="AG816">
        <v>3.45</v>
      </c>
      <c r="AH816">
        <v>65.22</v>
      </c>
      <c r="AI816">
        <v>6.63</v>
      </c>
      <c r="AJ816">
        <v>8.99</v>
      </c>
      <c r="AK816">
        <v>0</v>
      </c>
      <c r="AL816">
        <v>0</v>
      </c>
      <c r="AM816">
        <v>1.73</v>
      </c>
      <c r="AN816">
        <f t="shared" si="37"/>
        <v>6</v>
      </c>
      <c r="AO816" t="str">
        <f t="shared" si="38"/>
        <v>Friday</v>
      </c>
    </row>
    <row r="817" spans="1:41" x14ac:dyDescent="0.2">
      <c r="A817" t="s">
        <v>52</v>
      </c>
      <c r="B817" s="1">
        <v>45849</v>
      </c>
      <c r="C817" s="1">
        <f t="shared" si="36"/>
        <v>45869</v>
      </c>
      <c r="D817">
        <v>20</v>
      </c>
      <c r="E817">
        <v>51</v>
      </c>
      <c r="F817">
        <v>0</v>
      </c>
      <c r="G817">
        <v>0</v>
      </c>
      <c r="H817">
        <v>5</v>
      </c>
      <c r="I817">
        <v>0</v>
      </c>
      <c r="J817">
        <v>0</v>
      </c>
      <c r="K817">
        <v>37</v>
      </c>
      <c r="L817" t="s">
        <v>52</v>
      </c>
      <c r="M817" t="s">
        <v>38</v>
      </c>
      <c r="N817" s="1">
        <v>45849</v>
      </c>
      <c r="O817" s="2">
        <v>0.54509259259259257</v>
      </c>
      <c r="P817" s="2">
        <v>0.91498842592592589</v>
      </c>
      <c r="Q817">
        <v>8.8800000000000008</v>
      </c>
      <c r="R817">
        <v>7.91</v>
      </c>
      <c r="S817">
        <v>0.74</v>
      </c>
      <c r="T817">
        <v>0.71</v>
      </c>
      <c r="U817">
        <v>0</v>
      </c>
      <c r="V817">
        <v>0.41</v>
      </c>
      <c r="W817">
        <v>4.6900000000000004</v>
      </c>
      <c r="X817">
        <v>0.6</v>
      </c>
      <c r="Y817">
        <v>0.73</v>
      </c>
      <c r="Z817">
        <v>0</v>
      </c>
      <c r="AA817">
        <v>0</v>
      </c>
      <c r="AB817">
        <v>0.03</v>
      </c>
      <c r="AC817">
        <v>7.91</v>
      </c>
      <c r="AD817">
        <v>9.33</v>
      </c>
      <c r="AE817">
        <v>8.9499999999999993</v>
      </c>
      <c r="AF817">
        <v>0</v>
      </c>
      <c r="AG817">
        <v>5.23</v>
      </c>
      <c r="AH817">
        <v>59.31</v>
      </c>
      <c r="AI817">
        <v>7.54</v>
      </c>
      <c r="AJ817">
        <v>9.2799999999999994</v>
      </c>
      <c r="AK817">
        <v>0</v>
      </c>
      <c r="AL817">
        <v>0</v>
      </c>
      <c r="AM817">
        <v>0.37</v>
      </c>
      <c r="AN817">
        <f t="shared" si="37"/>
        <v>6</v>
      </c>
      <c r="AO817" t="str">
        <f t="shared" si="38"/>
        <v>Friday</v>
      </c>
    </row>
    <row r="818" spans="1:41" x14ac:dyDescent="0.2">
      <c r="A818" t="s">
        <v>39</v>
      </c>
      <c r="B818" s="1">
        <v>45849</v>
      </c>
      <c r="C818" s="1">
        <f t="shared" si="36"/>
        <v>45869</v>
      </c>
      <c r="D818">
        <v>29</v>
      </c>
      <c r="E818">
        <v>54</v>
      </c>
      <c r="F818">
        <v>4</v>
      </c>
      <c r="G818">
        <v>0</v>
      </c>
      <c r="H818">
        <v>2</v>
      </c>
      <c r="I818">
        <v>0</v>
      </c>
      <c r="J818">
        <v>0</v>
      </c>
      <c r="K818">
        <v>32</v>
      </c>
      <c r="L818" t="s">
        <v>39</v>
      </c>
      <c r="M818" t="s">
        <v>38</v>
      </c>
      <c r="N818" s="1">
        <v>45849</v>
      </c>
      <c r="O818" s="2">
        <v>0.5420949074074074</v>
      </c>
      <c r="P818" s="2">
        <v>0.91699074074074072</v>
      </c>
      <c r="Q818">
        <v>9</v>
      </c>
      <c r="R818">
        <v>9</v>
      </c>
      <c r="S818">
        <v>1.1399999999999999</v>
      </c>
      <c r="T818">
        <v>0.18</v>
      </c>
      <c r="U818">
        <v>0</v>
      </c>
      <c r="V818">
        <v>0.02</v>
      </c>
      <c r="W818">
        <v>5.44</v>
      </c>
      <c r="X818">
        <v>1.49</v>
      </c>
      <c r="Y818">
        <v>0.73</v>
      </c>
      <c r="Z818">
        <v>0</v>
      </c>
      <c r="AA818">
        <v>0</v>
      </c>
      <c r="AB818">
        <v>0</v>
      </c>
      <c r="AC818">
        <v>9</v>
      </c>
      <c r="AD818">
        <v>12.67</v>
      </c>
      <c r="AE818">
        <v>1.99</v>
      </c>
      <c r="AF818">
        <v>0</v>
      </c>
      <c r="AG818">
        <v>0.2</v>
      </c>
      <c r="AH818">
        <v>60.44</v>
      </c>
      <c r="AI818">
        <v>16.579999999999998</v>
      </c>
      <c r="AJ818">
        <v>8.07</v>
      </c>
      <c r="AK818">
        <v>0</v>
      </c>
      <c r="AL818">
        <v>0</v>
      </c>
      <c r="AM818">
        <v>0.05</v>
      </c>
      <c r="AN818">
        <f t="shared" si="37"/>
        <v>6</v>
      </c>
      <c r="AO818" t="str">
        <f t="shared" si="38"/>
        <v>Friday</v>
      </c>
    </row>
    <row r="819" spans="1:41" x14ac:dyDescent="0.2">
      <c r="A819" t="s">
        <v>41</v>
      </c>
      <c r="B819" s="1">
        <v>45849</v>
      </c>
      <c r="C819" s="1">
        <f t="shared" si="36"/>
        <v>45869</v>
      </c>
      <c r="D819">
        <v>30</v>
      </c>
      <c r="E819">
        <v>62</v>
      </c>
      <c r="F819">
        <v>4</v>
      </c>
      <c r="G819">
        <v>2</v>
      </c>
      <c r="H819">
        <v>6</v>
      </c>
      <c r="I819">
        <v>0</v>
      </c>
      <c r="J819">
        <v>0</v>
      </c>
      <c r="K819">
        <v>38</v>
      </c>
      <c r="L819" t="s">
        <v>41</v>
      </c>
      <c r="M819" t="s">
        <v>38</v>
      </c>
      <c r="N819" s="1">
        <v>45849</v>
      </c>
      <c r="O819" s="2">
        <v>0.54204861111111113</v>
      </c>
      <c r="P819" s="2">
        <v>0.91450231481481481</v>
      </c>
      <c r="Q819">
        <v>8.93</v>
      </c>
      <c r="R819">
        <v>8.94</v>
      </c>
      <c r="S819">
        <v>0.7</v>
      </c>
      <c r="T819">
        <v>0.26</v>
      </c>
      <c r="U819">
        <v>0</v>
      </c>
      <c r="V819">
        <v>0.16</v>
      </c>
      <c r="W819">
        <v>5.7</v>
      </c>
      <c r="X819">
        <v>1.46</v>
      </c>
      <c r="Y819">
        <v>0.66</v>
      </c>
      <c r="Z819">
        <v>0</v>
      </c>
      <c r="AA819">
        <v>0</v>
      </c>
      <c r="AB819">
        <v>0</v>
      </c>
      <c r="AC819">
        <v>8.94</v>
      </c>
      <c r="AD819">
        <v>7.8</v>
      </c>
      <c r="AE819">
        <v>2.92</v>
      </c>
      <c r="AF819">
        <v>0</v>
      </c>
      <c r="AG819">
        <v>1.75</v>
      </c>
      <c r="AH819">
        <v>63.73</v>
      </c>
      <c r="AI819">
        <v>16.32</v>
      </c>
      <c r="AJ819">
        <v>7.43</v>
      </c>
      <c r="AK819">
        <v>0</v>
      </c>
      <c r="AL819">
        <v>0</v>
      </c>
      <c r="AM819">
        <v>0.04</v>
      </c>
      <c r="AN819">
        <f t="shared" si="37"/>
        <v>6</v>
      </c>
      <c r="AO819" t="str">
        <f t="shared" si="38"/>
        <v>Friday</v>
      </c>
    </row>
    <row r="820" spans="1:41" x14ac:dyDescent="0.2">
      <c r="A820" t="s">
        <v>45</v>
      </c>
      <c r="B820" s="1">
        <v>45849</v>
      </c>
      <c r="C820" s="1">
        <f t="shared" si="36"/>
        <v>45869</v>
      </c>
      <c r="D820">
        <v>1</v>
      </c>
      <c r="E820">
        <v>1</v>
      </c>
      <c r="F820">
        <v>0</v>
      </c>
      <c r="G820">
        <v>0</v>
      </c>
      <c r="H820">
        <v>0</v>
      </c>
      <c r="I820">
        <v>0</v>
      </c>
      <c r="J820">
        <v>0</v>
      </c>
      <c r="K820">
        <v>0</v>
      </c>
      <c r="AN820">
        <f t="shared" si="37"/>
        <v>6</v>
      </c>
      <c r="AO820" t="str">
        <f t="shared" si="38"/>
        <v>Friday</v>
      </c>
    </row>
    <row r="821" spans="1:41" x14ac:dyDescent="0.2">
      <c r="A821" t="s">
        <v>42</v>
      </c>
      <c r="B821" s="1">
        <v>45849</v>
      </c>
      <c r="C821" s="1">
        <f t="shared" si="36"/>
        <v>45869</v>
      </c>
      <c r="D821">
        <v>1</v>
      </c>
      <c r="E821">
        <v>1</v>
      </c>
      <c r="F821">
        <v>0</v>
      </c>
      <c r="G821">
        <v>0</v>
      </c>
      <c r="H821">
        <v>0</v>
      </c>
      <c r="I821">
        <v>0</v>
      </c>
      <c r="J821">
        <v>0</v>
      </c>
      <c r="K821">
        <v>0</v>
      </c>
      <c r="L821" t="s">
        <v>42</v>
      </c>
      <c r="M821" t="s">
        <v>38</v>
      </c>
      <c r="N821" s="1">
        <v>45849</v>
      </c>
      <c r="O821" s="2">
        <v>0.83305555555555555</v>
      </c>
      <c r="P821" s="2">
        <v>0.83678240740740739</v>
      </c>
      <c r="Q821">
        <v>0.08</v>
      </c>
      <c r="R821">
        <v>0.09</v>
      </c>
      <c r="S821">
        <v>7.0000000000000007E-2</v>
      </c>
      <c r="T821">
        <v>0</v>
      </c>
      <c r="U821">
        <v>0</v>
      </c>
      <c r="V821">
        <v>0.01</v>
      </c>
      <c r="W821">
        <v>0</v>
      </c>
      <c r="X821">
        <v>0</v>
      </c>
      <c r="Y821">
        <v>0</v>
      </c>
      <c r="Z821">
        <v>0</v>
      </c>
      <c r="AA821">
        <v>0</v>
      </c>
      <c r="AB821">
        <v>0.01</v>
      </c>
      <c r="AC821">
        <v>0.09</v>
      </c>
      <c r="AD821">
        <v>77.709999999999994</v>
      </c>
      <c r="AE821">
        <v>0</v>
      </c>
      <c r="AF821">
        <v>0</v>
      </c>
      <c r="AG821">
        <v>6.5</v>
      </c>
      <c r="AH821">
        <v>0</v>
      </c>
      <c r="AI821">
        <v>0</v>
      </c>
      <c r="AJ821">
        <v>0</v>
      </c>
      <c r="AK821">
        <v>0</v>
      </c>
      <c r="AL821">
        <v>0</v>
      </c>
      <c r="AM821">
        <v>15.79</v>
      </c>
      <c r="AN821">
        <f t="shared" si="37"/>
        <v>6</v>
      </c>
      <c r="AO821" t="str">
        <f t="shared" si="38"/>
        <v>Friday</v>
      </c>
    </row>
    <row r="822" spans="1:41" x14ac:dyDescent="0.2">
      <c r="B822" s="1">
        <v>45849</v>
      </c>
      <c r="C822" s="1">
        <f t="shared" si="36"/>
        <v>45869</v>
      </c>
      <c r="D822">
        <v>507</v>
      </c>
      <c r="E822">
        <v>0</v>
      </c>
      <c r="F822">
        <v>0</v>
      </c>
      <c r="G822">
        <v>0</v>
      </c>
      <c r="H822">
        <v>0</v>
      </c>
      <c r="I822">
        <v>0</v>
      </c>
      <c r="J822">
        <v>0</v>
      </c>
      <c r="K822">
        <v>0</v>
      </c>
      <c r="AN822">
        <f t="shared" si="37"/>
        <v>6</v>
      </c>
      <c r="AO822" t="str">
        <f t="shared" si="38"/>
        <v>Friday</v>
      </c>
    </row>
    <row r="823" spans="1:41" x14ac:dyDescent="0.2">
      <c r="A823" t="s">
        <v>37</v>
      </c>
      <c r="B823" s="1">
        <v>45848</v>
      </c>
      <c r="C823" s="1">
        <f t="shared" si="36"/>
        <v>45869</v>
      </c>
      <c r="D823">
        <v>22</v>
      </c>
      <c r="E823">
        <v>50</v>
      </c>
      <c r="F823">
        <v>0</v>
      </c>
      <c r="G823">
        <v>0</v>
      </c>
      <c r="H823">
        <v>4</v>
      </c>
      <c r="I823">
        <v>3</v>
      </c>
      <c r="J823">
        <v>0</v>
      </c>
      <c r="K823">
        <v>30</v>
      </c>
      <c r="L823" t="s">
        <v>37</v>
      </c>
      <c r="M823" t="s">
        <v>38</v>
      </c>
      <c r="N823" s="1">
        <v>45848</v>
      </c>
      <c r="O823" s="2">
        <v>0.54126157407407405</v>
      </c>
      <c r="P823" s="2">
        <v>0.91673611111111108</v>
      </c>
      <c r="Q823">
        <v>9.02</v>
      </c>
      <c r="R823">
        <v>8.2200000000000006</v>
      </c>
      <c r="S823">
        <v>2.08</v>
      </c>
      <c r="T823">
        <v>0.44</v>
      </c>
      <c r="U823">
        <v>0</v>
      </c>
      <c r="V823">
        <v>0.16</v>
      </c>
      <c r="W823">
        <v>4.71</v>
      </c>
      <c r="X823">
        <v>0.63</v>
      </c>
      <c r="Y823">
        <v>0.17</v>
      </c>
      <c r="Z823">
        <v>0</v>
      </c>
      <c r="AA823">
        <v>0</v>
      </c>
      <c r="AB823">
        <v>0.04</v>
      </c>
      <c r="AC823">
        <v>8.2200000000000006</v>
      </c>
      <c r="AD823">
        <v>25.29</v>
      </c>
      <c r="AE823">
        <v>5.31</v>
      </c>
      <c r="AF823">
        <v>0</v>
      </c>
      <c r="AG823">
        <v>1.91</v>
      </c>
      <c r="AH823">
        <v>57.32</v>
      </c>
      <c r="AI823">
        <v>7.65</v>
      </c>
      <c r="AJ823">
        <v>2.0499999999999998</v>
      </c>
      <c r="AK823">
        <v>0</v>
      </c>
      <c r="AL823">
        <v>0</v>
      </c>
      <c r="AM823">
        <v>0.47</v>
      </c>
      <c r="AN823">
        <f t="shared" si="37"/>
        <v>5</v>
      </c>
      <c r="AO823" t="str">
        <f t="shared" si="38"/>
        <v>Thursday</v>
      </c>
    </row>
    <row r="824" spans="1:41" x14ac:dyDescent="0.2">
      <c r="A824" t="s">
        <v>52</v>
      </c>
      <c r="B824" s="1">
        <v>45848</v>
      </c>
      <c r="C824" s="1">
        <f t="shared" si="36"/>
        <v>45869</v>
      </c>
      <c r="D824">
        <v>23</v>
      </c>
      <c r="E824">
        <v>63</v>
      </c>
      <c r="F824">
        <v>9</v>
      </c>
      <c r="G824">
        <v>0</v>
      </c>
      <c r="H824">
        <v>12</v>
      </c>
      <c r="I824">
        <v>1</v>
      </c>
      <c r="J824">
        <v>0</v>
      </c>
      <c r="K824">
        <v>33</v>
      </c>
      <c r="L824" t="s">
        <v>52</v>
      </c>
      <c r="M824" t="s">
        <v>38</v>
      </c>
      <c r="N824" s="1">
        <v>45848</v>
      </c>
      <c r="O824" s="2">
        <v>0.54501157407407408</v>
      </c>
      <c r="P824" s="2">
        <v>0.91686342592592596</v>
      </c>
      <c r="Q824">
        <v>8.93</v>
      </c>
      <c r="R824">
        <v>8.0299999999999994</v>
      </c>
      <c r="S824">
        <v>0.93</v>
      </c>
      <c r="T824">
        <v>0.86</v>
      </c>
      <c r="U824">
        <v>0</v>
      </c>
      <c r="V824">
        <v>0.31</v>
      </c>
      <c r="W824">
        <v>4.29</v>
      </c>
      <c r="X824">
        <v>0.56000000000000005</v>
      </c>
      <c r="Y824">
        <v>1.07</v>
      </c>
      <c r="Z824">
        <v>0</v>
      </c>
      <c r="AA824">
        <v>0</v>
      </c>
      <c r="AB824">
        <v>0.01</v>
      </c>
      <c r="AC824">
        <v>8.0299999999999994</v>
      </c>
      <c r="AD824">
        <v>11.57</v>
      </c>
      <c r="AE824">
        <v>10.72</v>
      </c>
      <c r="AF824">
        <v>0</v>
      </c>
      <c r="AG824">
        <v>3.88</v>
      </c>
      <c r="AH824">
        <v>53.38</v>
      </c>
      <c r="AI824">
        <v>6.99</v>
      </c>
      <c r="AJ824">
        <v>13.33</v>
      </c>
      <c r="AK824">
        <v>0</v>
      </c>
      <c r="AL824">
        <v>0</v>
      </c>
      <c r="AM824">
        <v>0.13</v>
      </c>
      <c r="AN824">
        <f t="shared" si="37"/>
        <v>5</v>
      </c>
      <c r="AO824" t="str">
        <f t="shared" si="38"/>
        <v>Thursday</v>
      </c>
    </row>
    <row r="825" spans="1:41" x14ac:dyDescent="0.2">
      <c r="A825" t="s">
        <v>39</v>
      </c>
      <c r="B825" s="1">
        <v>45848</v>
      </c>
      <c r="C825" s="1">
        <f t="shared" si="36"/>
        <v>45869</v>
      </c>
      <c r="D825">
        <v>24</v>
      </c>
      <c r="E825">
        <v>44</v>
      </c>
      <c r="F825">
        <v>5</v>
      </c>
      <c r="G825">
        <v>4</v>
      </c>
      <c r="H825">
        <v>9</v>
      </c>
      <c r="I825">
        <v>0</v>
      </c>
      <c r="J825">
        <v>0</v>
      </c>
      <c r="K825">
        <v>14</v>
      </c>
      <c r="L825" t="s">
        <v>39</v>
      </c>
      <c r="M825" t="s">
        <v>38</v>
      </c>
      <c r="N825" s="1">
        <v>45848</v>
      </c>
      <c r="O825" s="2">
        <v>0.54150462962962964</v>
      </c>
      <c r="P825" s="2">
        <v>0.91681712962962958</v>
      </c>
      <c r="Q825">
        <v>9.02</v>
      </c>
      <c r="R825">
        <v>9.01</v>
      </c>
      <c r="S825">
        <v>1.27</v>
      </c>
      <c r="T825">
        <v>7.0000000000000007E-2</v>
      </c>
      <c r="U825">
        <v>0</v>
      </c>
      <c r="V825">
        <v>0.02</v>
      </c>
      <c r="W825">
        <v>5.18</v>
      </c>
      <c r="X825">
        <v>1.45</v>
      </c>
      <c r="Y825">
        <v>1.01</v>
      </c>
      <c r="Z825">
        <v>0</v>
      </c>
      <c r="AA825">
        <v>0</v>
      </c>
      <c r="AB825">
        <v>0.01</v>
      </c>
      <c r="AC825">
        <v>9.01</v>
      </c>
      <c r="AD825">
        <v>14.09</v>
      </c>
      <c r="AE825">
        <v>0.81</v>
      </c>
      <c r="AF825">
        <v>0</v>
      </c>
      <c r="AG825">
        <v>0.18</v>
      </c>
      <c r="AH825">
        <v>57.48</v>
      </c>
      <c r="AI825">
        <v>16.079999999999998</v>
      </c>
      <c r="AJ825">
        <v>11.26</v>
      </c>
      <c r="AK825">
        <v>0</v>
      </c>
      <c r="AL825">
        <v>0</v>
      </c>
      <c r="AM825">
        <v>0.1</v>
      </c>
      <c r="AN825">
        <f t="shared" si="37"/>
        <v>5</v>
      </c>
      <c r="AO825" t="str">
        <f t="shared" si="38"/>
        <v>Thursday</v>
      </c>
    </row>
    <row r="826" spans="1:41" x14ac:dyDescent="0.2">
      <c r="A826" t="s">
        <v>41</v>
      </c>
      <c r="B826" s="1">
        <v>45848</v>
      </c>
      <c r="C826" s="1">
        <f t="shared" si="36"/>
        <v>45869</v>
      </c>
      <c r="D826">
        <v>33</v>
      </c>
      <c r="E826">
        <v>67</v>
      </c>
      <c r="F826">
        <v>3</v>
      </c>
      <c r="G826">
        <v>4</v>
      </c>
      <c r="H826">
        <v>9</v>
      </c>
      <c r="I826">
        <v>0</v>
      </c>
      <c r="J826">
        <v>4</v>
      </c>
      <c r="K826">
        <v>33</v>
      </c>
      <c r="L826" t="s">
        <v>41</v>
      </c>
      <c r="M826" t="s">
        <v>38</v>
      </c>
      <c r="N826" s="1">
        <v>45848</v>
      </c>
      <c r="O826" s="2">
        <v>0.54156249999999995</v>
      </c>
      <c r="P826" s="2">
        <v>0.91813657407407412</v>
      </c>
      <c r="Q826">
        <v>9.0500000000000007</v>
      </c>
      <c r="R826">
        <v>9.0399999999999991</v>
      </c>
      <c r="S826">
        <v>1.37</v>
      </c>
      <c r="T826">
        <v>0.22</v>
      </c>
      <c r="U826">
        <v>0</v>
      </c>
      <c r="V826">
        <v>0.26</v>
      </c>
      <c r="W826">
        <v>5.01</v>
      </c>
      <c r="X826">
        <v>1.44</v>
      </c>
      <c r="Y826">
        <v>0.72</v>
      </c>
      <c r="Z826">
        <v>0</v>
      </c>
      <c r="AA826">
        <v>0</v>
      </c>
      <c r="AB826">
        <v>0.01</v>
      </c>
      <c r="AC826">
        <v>9.0399999999999991</v>
      </c>
      <c r="AD826">
        <v>15.19</v>
      </c>
      <c r="AE826">
        <v>2.46</v>
      </c>
      <c r="AF826">
        <v>0</v>
      </c>
      <c r="AG826">
        <v>2.92</v>
      </c>
      <c r="AH826">
        <v>55.49</v>
      </c>
      <c r="AI826">
        <v>15.93</v>
      </c>
      <c r="AJ826">
        <v>7.93</v>
      </c>
      <c r="AK826">
        <v>0</v>
      </c>
      <c r="AL826">
        <v>0</v>
      </c>
      <c r="AM826">
        <v>7.0000000000000007E-2</v>
      </c>
      <c r="AN826">
        <f t="shared" si="37"/>
        <v>5</v>
      </c>
      <c r="AO826" t="str">
        <f t="shared" si="38"/>
        <v>Thursday</v>
      </c>
    </row>
    <row r="827" spans="1:41" x14ac:dyDescent="0.2">
      <c r="A827" t="s">
        <v>43</v>
      </c>
      <c r="B827" s="1">
        <v>45848</v>
      </c>
      <c r="C827" s="1">
        <f t="shared" si="36"/>
        <v>45869</v>
      </c>
      <c r="D827">
        <v>28</v>
      </c>
      <c r="E827">
        <v>57</v>
      </c>
      <c r="F827">
        <v>3</v>
      </c>
      <c r="G827">
        <v>0</v>
      </c>
      <c r="H827">
        <v>6</v>
      </c>
      <c r="I827">
        <v>0</v>
      </c>
      <c r="J827">
        <v>0</v>
      </c>
      <c r="K827">
        <v>37</v>
      </c>
      <c r="L827" t="s">
        <v>43</v>
      </c>
      <c r="M827" t="s">
        <v>38</v>
      </c>
      <c r="N827" s="1">
        <v>45848</v>
      </c>
      <c r="O827" s="2">
        <v>0.54144675925925922</v>
      </c>
      <c r="P827" s="2">
        <v>0.91993055555555558</v>
      </c>
      <c r="Q827">
        <v>9.08</v>
      </c>
      <c r="R827">
        <v>9.08</v>
      </c>
      <c r="S827">
        <v>1.54</v>
      </c>
      <c r="T827">
        <v>0.15</v>
      </c>
      <c r="U827">
        <v>0</v>
      </c>
      <c r="V827">
        <v>0.41</v>
      </c>
      <c r="W827">
        <v>4.8</v>
      </c>
      <c r="X827">
        <v>1.45</v>
      </c>
      <c r="Y827">
        <v>0.72</v>
      </c>
      <c r="Z827">
        <v>0</v>
      </c>
      <c r="AA827">
        <v>0</v>
      </c>
      <c r="AB827">
        <v>0</v>
      </c>
      <c r="AC827">
        <v>9.08</v>
      </c>
      <c r="AD827">
        <v>16.98</v>
      </c>
      <c r="AE827">
        <v>1.7</v>
      </c>
      <c r="AF827">
        <v>0</v>
      </c>
      <c r="AG827">
        <v>4.54</v>
      </c>
      <c r="AH827">
        <v>52.81</v>
      </c>
      <c r="AI827">
        <v>15.97</v>
      </c>
      <c r="AJ827">
        <v>7.95</v>
      </c>
      <c r="AK827">
        <v>0</v>
      </c>
      <c r="AL827">
        <v>0</v>
      </c>
      <c r="AM827">
        <v>0.04</v>
      </c>
      <c r="AN827">
        <f t="shared" si="37"/>
        <v>5</v>
      </c>
      <c r="AO827" t="str">
        <f t="shared" si="38"/>
        <v>Thursday</v>
      </c>
    </row>
    <row r="828" spans="1:41" x14ac:dyDescent="0.2">
      <c r="B828" s="1">
        <v>45848</v>
      </c>
      <c r="C828" s="1">
        <f t="shared" si="36"/>
        <v>45869</v>
      </c>
      <c r="D828">
        <v>521</v>
      </c>
      <c r="E828">
        <v>0</v>
      </c>
      <c r="F828">
        <v>0</v>
      </c>
      <c r="G828">
        <v>0</v>
      </c>
      <c r="H828">
        <v>0</v>
      </c>
      <c r="I828">
        <v>0</v>
      </c>
      <c r="J828">
        <v>0</v>
      </c>
      <c r="K828">
        <v>0</v>
      </c>
      <c r="AN828">
        <f t="shared" si="37"/>
        <v>5</v>
      </c>
      <c r="AO828" t="str">
        <f t="shared" si="38"/>
        <v>Thursday</v>
      </c>
    </row>
    <row r="829" spans="1:41" x14ac:dyDescent="0.2">
      <c r="A829" t="s">
        <v>37</v>
      </c>
      <c r="B829" s="1">
        <v>45847</v>
      </c>
      <c r="C829" s="1">
        <f t="shared" si="36"/>
        <v>45869</v>
      </c>
      <c r="D829">
        <v>19</v>
      </c>
      <c r="E829">
        <v>51</v>
      </c>
      <c r="F829">
        <v>2</v>
      </c>
      <c r="G829">
        <v>9</v>
      </c>
      <c r="H829">
        <v>6</v>
      </c>
      <c r="I829">
        <v>0</v>
      </c>
      <c r="J829">
        <v>2</v>
      </c>
      <c r="K829">
        <v>29</v>
      </c>
      <c r="L829" t="s">
        <v>37</v>
      </c>
      <c r="M829" t="s">
        <v>38</v>
      </c>
      <c r="N829" s="1">
        <v>45847</v>
      </c>
      <c r="O829" s="2">
        <v>0.54186342592592596</v>
      </c>
      <c r="P829" s="2">
        <v>0.9172569444444445</v>
      </c>
      <c r="Q829">
        <v>9</v>
      </c>
      <c r="R829">
        <v>7.93</v>
      </c>
      <c r="S829">
        <v>1.79</v>
      </c>
      <c r="T829">
        <v>0.15</v>
      </c>
      <c r="U829">
        <v>0</v>
      </c>
      <c r="V829">
        <v>0.25</v>
      </c>
      <c r="W829">
        <v>4.68</v>
      </c>
      <c r="X829">
        <v>0.39</v>
      </c>
      <c r="Y829">
        <v>0.65</v>
      </c>
      <c r="Z829">
        <v>0</v>
      </c>
      <c r="AA829">
        <v>0</v>
      </c>
      <c r="AB829">
        <v>0.02</v>
      </c>
      <c r="AC829">
        <v>7.93</v>
      </c>
      <c r="AD829">
        <v>22.62</v>
      </c>
      <c r="AE829">
        <v>1.9</v>
      </c>
      <c r="AF829">
        <v>0</v>
      </c>
      <c r="AG829">
        <v>3.1</v>
      </c>
      <c r="AH829">
        <v>58.97</v>
      </c>
      <c r="AI829">
        <v>4.97</v>
      </c>
      <c r="AJ829">
        <v>8.2200000000000006</v>
      </c>
      <c r="AK829">
        <v>0</v>
      </c>
      <c r="AL829">
        <v>0</v>
      </c>
      <c r="AM829">
        <v>0.23</v>
      </c>
      <c r="AN829">
        <f t="shared" si="37"/>
        <v>4</v>
      </c>
      <c r="AO829" t="str">
        <f t="shared" si="38"/>
        <v>Wednesday</v>
      </c>
    </row>
    <row r="830" spans="1:41" x14ac:dyDescent="0.2">
      <c r="A830" t="s">
        <v>52</v>
      </c>
      <c r="B830" s="1">
        <v>45847</v>
      </c>
      <c r="C830" s="1">
        <f t="shared" si="36"/>
        <v>45869</v>
      </c>
      <c r="D830">
        <v>21</v>
      </c>
      <c r="E830">
        <v>58</v>
      </c>
      <c r="F830">
        <v>5</v>
      </c>
      <c r="G830">
        <v>6</v>
      </c>
      <c r="H830">
        <v>2</v>
      </c>
      <c r="I830">
        <v>0</v>
      </c>
      <c r="J830">
        <v>3</v>
      </c>
      <c r="K830">
        <v>35</v>
      </c>
      <c r="L830" t="s">
        <v>52</v>
      </c>
      <c r="M830" t="s">
        <v>38</v>
      </c>
      <c r="N830" s="1">
        <v>45847</v>
      </c>
      <c r="O830" s="2">
        <v>0.54586805555555551</v>
      </c>
      <c r="P830" s="2">
        <v>0.91631944444444446</v>
      </c>
      <c r="Q830">
        <v>8.8800000000000008</v>
      </c>
      <c r="R830">
        <v>7.99</v>
      </c>
      <c r="S830">
        <v>0.94</v>
      </c>
      <c r="T830">
        <v>0.37</v>
      </c>
      <c r="U830">
        <v>0</v>
      </c>
      <c r="V830">
        <v>0.56999999999999995</v>
      </c>
      <c r="W830">
        <v>5.59</v>
      </c>
      <c r="X830">
        <v>0.5</v>
      </c>
      <c r="Y830">
        <v>0</v>
      </c>
      <c r="Z830">
        <v>0</v>
      </c>
      <c r="AA830">
        <v>0</v>
      </c>
      <c r="AB830">
        <v>0.02</v>
      </c>
      <c r="AC830">
        <v>7.99</v>
      </c>
      <c r="AD830">
        <v>11.79</v>
      </c>
      <c r="AE830">
        <v>4.6500000000000004</v>
      </c>
      <c r="AF830">
        <v>0</v>
      </c>
      <c r="AG830">
        <v>7.13</v>
      </c>
      <c r="AH830">
        <v>69.94</v>
      </c>
      <c r="AI830">
        <v>6.22</v>
      </c>
      <c r="AJ830">
        <v>0</v>
      </c>
      <c r="AK830">
        <v>0</v>
      </c>
      <c r="AL830">
        <v>0</v>
      </c>
      <c r="AM830">
        <v>0.26</v>
      </c>
      <c r="AN830">
        <f t="shared" si="37"/>
        <v>4</v>
      </c>
      <c r="AO830" t="str">
        <f t="shared" si="38"/>
        <v>Wednesday</v>
      </c>
    </row>
    <row r="831" spans="1:41" x14ac:dyDescent="0.2">
      <c r="A831" t="s">
        <v>39</v>
      </c>
      <c r="B831" s="1">
        <v>45847</v>
      </c>
      <c r="C831" s="1">
        <f t="shared" si="36"/>
        <v>45869</v>
      </c>
      <c r="D831">
        <v>27</v>
      </c>
      <c r="E831">
        <v>72</v>
      </c>
      <c r="F831">
        <v>4</v>
      </c>
      <c r="G831">
        <v>7</v>
      </c>
      <c r="H831">
        <v>3</v>
      </c>
      <c r="I831">
        <v>1</v>
      </c>
      <c r="J831">
        <v>3</v>
      </c>
      <c r="K831">
        <v>39</v>
      </c>
      <c r="L831" t="s">
        <v>39</v>
      </c>
      <c r="M831" t="s">
        <v>38</v>
      </c>
      <c r="N831" s="1">
        <v>45847</v>
      </c>
      <c r="O831" s="2">
        <v>0.54194444444444445</v>
      </c>
      <c r="P831" s="2">
        <v>0.91670138888888886</v>
      </c>
      <c r="Q831">
        <v>9</v>
      </c>
      <c r="R831">
        <v>8.99</v>
      </c>
      <c r="S831">
        <v>1.34</v>
      </c>
      <c r="T831">
        <v>0.17</v>
      </c>
      <c r="U831">
        <v>0</v>
      </c>
      <c r="V831">
        <v>0.02</v>
      </c>
      <c r="W831">
        <v>5.97</v>
      </c>
      <c r="X831">
        <v>1.48</v>
      </c>
      <c r="Y831">
        <v>0</v>
      </c>
      <c r="Z831">
        <v>0</v>
      </c>
      <c r="AA831">
        <v>0</v>
      </c>
      <c r="AB831">
        <v>0.01</v>
      </c>
      <c r="AC831">
        <v>8.99</v>
      </c>
      <c r="AD831">
        <v>14.93</v>
      </c>
      <c r="AE831">
        <v>1.94</v>
      </c>
      <c r="AF831">
        <v>0</v>
      </c>
      <c r="AG831">
        <v>0.2</v>
      </c>
      <c r="AH831">
        <v>66.34</v>
      </c>
      <c r="AI831">
        <v>16.489999999999998</v>
      </c>
      <c r="AJ831">
        <v>0</v>
      </c>
      <c r="AK831">
        <v>0</v>
      </c>
      <c r="AL831">
        <v>0</v>
      </c>
      <c r="AM831">
        <v>0.1</v>
      </c>
      <c r="AN831">
        <f t="shared" si="37"/>
        <v>4</v>
      </c>
      <c r="AO831" t="str">
        <f t="shared" si="38"/>
        <v>Wednesday</v>
      </c>
    </row>
    <row r="832" spans="1:41" x14ac:dyDescent="0.2">
      <c r="A832" t="s">
        <v>41</v>
      </c>
      <c r="B832" s="1">
        <v>45847</v>
      </c>
      <c r="C832" s="1">
        <f t="shared" si="36"/>
        <v>45869</v>
      </c>
      <c r="D832">
        <v>19</v>
      </c>
      <c r="E832">
        <v>37</v>
      </c>
      <c r="F832">
        <v>6</v>
      </c>
      <c r="G832">
        <v>10</v>
      </c>
      <c r="H832">
        <v>1</v>
      </c>
      <c r="I832">
        <v>0</v>
      </c>
      <c r="J832">
        <v>2</v>
      </c>
      <c r="K832">
        <v>16</v>
      </c>
      <c r="L832" t="s">
        <v>41</v>
      </c>
      <c r="M832" t="s">
        <v>38</v>
      </c>
      <c r="N832" s="1">
        <v>45847</v>
      </c>
      <c r="O832" s="2">
        <v>0.5417939814814815</v>
      </c>
      <c r="P832" s="2">
        <v>0.91607638888888887</v>
      </c>
      <c r="Q832">
        <v>8.98</v>
      </c>
      <c r="R832">
        <v>8.98</v>
      </c>
      <c r="S832">
        <v>1.45</v>
      </c>
      <c r="T832">
        <v>0</v>
      </c>
      <c r="U832">
        <v>0</v>
      </c>
      <c r="V832">
        <v>0.37</v>
      </c>
      <c r="W832">
        <v>5.71</v>
      </c>
      <c r="X832">
        <v>1.45</v>
      </c>
      <c r="Y832">
        <v>0</v>
      </c>
      <c r="Z832">
        <v>0</v>
      </c>
      <c r="AA832">
        <v>0</v>
      </c>
      <c r="AB832">
        <v>0</v>
      </c>
      <c r="AC832">
        <v>8.98</v>
      </c>
      <c r="AD832">
        <v>16.12</v>
      </c>
      <c r="AE832">
        <v>0</v>
      </c>
      <c r="AF832">
        <v>0</v>
      </c>
      <c r="AG832">
        <v>4.17</v>
      </c>
      <c r="AH832">
        <v>63.54</v>
      </c>
      <c r="AI832">
        <v>16.12</v>
      </c>
      <c r="AJ832">
        <v>0</v>
      </c>
      <c r="AK832">
        <v>0</v>
      </c>
      <c r="AL832">
        <v>0</v>
      </c>
      <c r="AM832">
        <v>0.05</v>
      </c>
      <c r="AN832">
        <f t="shared" si="37"/>
        <v>4</v>
      </c>
      <c r="AO832" t="str">
        <f t="shared" si="38"/>
        <v>Wednesday</v>
      </c>
    </row>
    <row r="833" spans="1:41" x14ac:dyDescent="0.2">
      <c r="A833" t="s">
        <v>43</v>
      </c>
      <c r="B833" s="1">
        <v>45847</v>
      </c>
      <c r="C833" s="1">
        <f t="shared" si="36"/>
        <v>45869</v>
      </c>
      <c r="D833">
        <v>30</v>
      </c>
      <c r="E833">
        <v>91</v>
      </c>
      <c r="F833">
        <v>2</v>
      </c>
      <c r="G833">
        <v>5</v>
      </c>
      <c r="H833">
        <v>7</v>
      </c>
      <c r="I833">
        <v>0</v>
      </c>
      <c r="J833">
        <v>1</v>
      </c>
      <c r="K833">
        <v>58</v>
      </c>
      <c r="L833" t="s">
        <v>43</v>
      </c>
      <c r="M833" t="s">
        <v>38</v>
      </c>
      <c r="N833" s="1">
        <v>45847</v>
      </c>
      <c r="O833" s="2">
        <v>0.5416319444444444</v>
      </c>
      <c r="P833" s="2">
        <v>0.92047453703703708</v>
      </c>
      <c r="Q833">
        <v>9.1</v>
      </c>
      <c r="R833">
        <v>9.09</v>
      </c>
      <c r="S833">
        <v>0.55000000000000004</v>
      </c>
      <c r="T833">
        <v>0.25</v>
      </c>
      <c r="U833">
        <v>0</v>
      </c>
      <c r="V833">
        <v>0.23</v>
      </c>
      <c r="W833">
        <v>6.58</v>
      </c>
      <c r="X833">
        <v>1.46</v>
      </c>
      <c r="Y833">
        <v>0</v>
      </c>
      <c r="Z833">
        <v>0</v>
      </c>
      <c r="AA833">
        <v>0.02</v>
      </c>
      <c r="AB833">
        <v>0</v>
      </c>
      <c r="AC833">
        <v>9.09</v>
      </c>
      <c r="AD833">
        <v>6.03</v>
      </c>
      <c r="AE833">
        <v>2.7</v>
      </c>
      <c r="AF833">
        <v>0</v>
      </c>
      <c r="AG833">
        <v>2.54</v>
      </c>
      <c r="AH833">
        <v>72.42</v>
      </c>
      <c r="AI833">
        <v>16.03</v>
      </c>
      <c r="AJ833">
        <v>0</v>
      </c>
      <c r="AK833">
        <v>0</v>
      </c>
      <c r="AL833">
        <v>0.23</v>
      </c>
      <c r="AM833">
        <v>0.04</v>
      </c>
      <c r="AN833">
        <f t="shared" si="37"/>
        <v>4</v>
      </c>
      <c r="AO833" t="str">
        <f t="shared" si="38"/>
        <v>Wednesday</v>
      </c>
    </row>
    <row r="834" spans="1:41" x14ac:dyDescent="0.2">
      <c r="B834" s="1">
        <v>45847</v>
      </c>
      <c r="C834" s="1">
        <f t="shared" si="36"/>
        <v>45869</v>
      </c>
      <c r="D834">
        <v>545</v>
      </c>
      <c r="E834">
        <v>0</v>
      </c>
      <c r="F834">
        <v>0</v>
      </c>
      <c r="G834">
        <v>0</v>
      </c>
      <c r="H834">
        <v>0</v>
      </c>
      <c r="I834">
        <v>0</v>
      </c>
      <c r="J834">
        <v>0</v>
      </c>
      <c r="K834">
        <v>0</v>
      </c>
      <c r="AN834">
        <f t="shared" si="37"/>
        <v>4</v>
      </c>
      <c r="AO834" t="str">
        <f t="shared" si="38"/>
        <v>Wednesday</v>
      </c>
    </row>
    <row r="835" spans="1:41" x14ac:dyDescent="0.2">
      <c r="A835" t="s">
        <v>37</v>
      </c>
      <c r="B835" s="1">
        <v>45846</v>
      </c>
      <c r="C835" s="1">
        <f t="shared" ref="C835:C898" si="39">EOMONTH(B835,0)</f>
        <v>45869</v>
      </c>
      <c r="D835">
        <v>27</v>
      </c>
      <c r="E835">
        <v>71</v>
      </c>
      <c r="F835">
        <v>6</v>
      </c>
      <c r="G835">
        <v>1</v>
      </c>
      <c r="H835">
        <v>9</v>
      </c>
      <c r="I835">
        <v>0</v>
      </c>
      <c r="J835">
        <v>0</v>
      </c>
      <c r="K835">
        <v>40</v>
      </c>
      <c r="L835" t="s">
        <v>37</v>
      </c>
      <c r="M835" t="s">
        <v>38</v>
      </c>
      <c r="N835" s="1">
        <v>45846</v>
      </c>
      <c r="O835" s="2">
        <v>0.53850694444444447</v>
      </c>
      <c r="P835" s="2">
        <v>0.91682870370370373</v>
      </c>
      <c r="Q835">
        <v>9.08</v>
      </c>
      <c r="R835">
        <v>8.2799999999999994</v>
      </c>
      <c r="S835">
        <v>0.78</v>
      </c>
      <c r="T835">
        <v>0.28999999999999998</v>
      </c>
      <c r="U835">
        <v>0</v>
      </c>
      <c r="V835">
        <v>0.19</v>
      </c>
      <c r="W835">
        <v>6.24</v>
      </c>
      <c r="X835">
        <v>0.67</v>
      </c>
      <c r="Y835">
        <v>0</v>
      </c>
      <c r="Z835">
        <v>0</v>
      </c>
      <c r="AA835">
        <v>0</v>
      </c>
      <c r="AB835">
        <v>0.11</v>
      </c>
      <c r="AC835">
        <v>8.2799999999999994</v>
      </c>
      <c r="AD835">
        <v>9.4499999999999993</v>
      </c>
      <c r="AE835">
        <v>3.47</v>
      </c>
      <c r="AF835">
        <v>0</v>
      </c>
      <c r="AG835">
        <v>2.2799999999999998</v>
      </c>
      <c r="AH835">
        <v>75.349999999999994</v>
      </c>
      <c r="AI835">
        <v>8.07</v>
      </c>
      <c r="AJ835">
        <v>0</v>
      </c>
      <c r="AK835">
        <v>0</v>
      </c>
      <c r="AL835">
        <v>0</v>
      </c>
      <c r="AM835">
        <v>1.37</v>
      </c>
      <c r="AN835">
        <f t="shared" ref="AN835:AN898" si="40">WEEKDAY(B835,1)</f>
        <v>3</v>
      </c>
      <c r="AO835" t="str">
        <f t="shared" ref="AO835:AO898" si="41">VLOOKUP(AN835,$AY$2:$AZ$8,2,FALSE)</f>
        <v>Tuesday</v>
      </c>
    </row>
    <row r="836" spans="1:41" x14ac:dyDescent="0.2">
      <c r="A836" t="s">
        <v>52</v>
      </c>
      <c r="B836" s="1">
        <v>45846</v>
      </c>
      <c r="C836" s="1">
        <f t="shared" si="39"/>
        <v>45869</v>
      </c>
      <c r="D836">
        <v>24</v>
      </c>
      <c r="E836">
        <v>51</v>
      </c>
      <c r="F836">
        <v>4</v>
      </c>
      <c r="G836">
        <v>2</v>
      </c>
      <c r="H836">
        <v>7</v>
      </c>
      <c r="I836">
        <v>0</v>
      </c>
      <c r="J836">
        <v>1</v>
      </c>
      <c r="K836">
        <v>23</v>
      </c>
      <c r="L836" t="s">
        <v>52</v>
      </c>
      <c r="M836" t="s">
        <v>38</v>
      </c>
      <c r="N836" s="1">
        <v>45846</v>
      </c>
      <c r="O836" s="2">
        <v>0.54376157407407411</v>
      </c>
      <c r="P836" s="2">
        <v>0.91606481481481483</v>
      </c>
      <c r="Q836">
        <v>8.93</v>
      </c>
      <c r="R836">
        <v>8.08</v>
      </c>
      <c r="S836">
        <v>1.1499999999999999</v>
      </c>
      <c r="T836">
        <v>0.36</v>
      </c>
      <c r="U836">
        <v>0</v>
      </c>
      <c r="V836">
        <v>0.62</v>
      </c>
      <c r="W836">
        <v>4.72</v>
      </c>
      <c r="X836">
        <v>0.67</v>
      </c>
      <c r="Y836">
        <v>0.52</v>
      </c>
      <c r="Z836">
        <v>0</v>
      </c>
      <c r="AA836">
        <v>0.02</v>
      </c>
      <c r="AB836">
        <v>0.03</v>
      </c>
      <c r="AC836">
        <v>8.08</v>
      </c>
      <c r="AD836">
        <v>14.22</v>
      </c>
      <c r="AE836">
        <v>4.42</v>
      </c>
      <c r="AF836">
        <v>0</v>
      </c>
      <c r="AG836">
        <v>7.65</v>
      </c>
      <c r="AH836">
        <v>58.32</v>
      </c>
      <c r="AI836">
        <v>8.3000000000000007</v>
      </c>
      <c r="AJ836">
        <v>6.48</v>
      </c>
      <c r="AK836">
        <v>0</v>
      </c>
      <c r="AL836">
        <v>0.23</v>
      </c>
      <c r="AM836">
        <v>0.38</v>
      </c>
      <c r="AN836">
        <f t="shared" si="40"/>
        <v>3</v>
      </c>
      <c r="AO836" t="str">
        <f t="shared" si="41"/>
        <v>Tuesday</v>
      </c>
    </row>
    <row r="837" spans="1:41" x14ac:dyDescent="0.2">
      <c r="A837" t="s">
        <v>39</v>
      </c>
      <c r="B837" s="1">
        <v>45846</v>
      </c>
      <c r="C837" s="1">
        <f t="shared" si="39"/>
        <v>45869</v>
      </c>
      <c r="D837">
        <v>26</v>
      </c>
      <c r="E837">
        <v>54</v>
      </c>
      <c r="F837">
        <v>3</v>
      </c>
      <c r="G837">
        <v>0</v>
      </c>
      <c r="H837">
        <v>3</v>
      </c>
      <c r="I837">
        <v>0</v>
      </c>
      <c r="J837">
        <v>0</v>
      </c>
      <c r="K837">
        <v>31</v>
      </c>
      <c r="L837" t="s">
        <v>39</v>
      </c>
      <c r="M837" t="s">
        <v>38</v>
      </c>
      <c r="N837" s="1">
        <v>45846</v>
      </c>
      <c r="O837" s="2">
        <v>0.54207175925925921</v>
      </c>
      <c r="P837" s="2">
        <v>0.91673611111111108</v>
      </c>
      <c r="Q837">
        <v>9</v>
      </c>
      <c r="R837">
        <v>8.99</v>
      </c>
      <c r="S837">
        <v>1.87</v>
      </c>
      <c r="T837">
        <v>0.16</v>
      </c>
      <c r="U837">
        <v>0</v>
      </c>
      <c r="V837">
        <v>0.02</v>
      </c>
      <c r="W837">
        <v>5.45</v>
      </c>
      <c r="X837">
        <v>1.49</v>
      </c>
      <c r="Y837">
        <v>0</v>
      </c>
      <c r="Z837">
        <v>0</v>
      </c>
      <c r="AA837">
        <v>0</v>
      </c>
      <c r="AB837">
        <v>0</v>
      </c>
      <c r="AC837">
        <v>8.99</v>
      </c>
      <c r="AD837">
        <v>20.83</v>
      </c>
      <c r="AE837">
        <v>1.73</v>
      </c>
      <c r="AF837">
        <v>0</v>
      </c>
      <c r="AG837">
        <v>0.27</v>
      </c>
      <c r="AH837">
        <v>60.56</v>
      </c>
      <c r="AI837">
        <v>16.559999999999999</v>
      </c>
      <c r="AJ837">
        <v>0</v>
      </c>
      <c r="AK837">
        <v>0</v>
      </c>
      <c r="AL837">
        <v>0</v>
      </c>
      <c r="AM837">
        <v>0.04</v>
      </c>
      <c r="AN837">
        <f t="shared" si="40"/>
        <v>3</v>
      </c>
      <c r="AO837" t="str">
        <f t="shared" si="41"/>
        <v>Tuesday</v>
      </c>
    </row>
    <row r="838" spans="1:41" x14ac:dyDescent="0.2">
      <c r="A838" t="s">
        <v>40</v>
      </c>
      <c r="B838" s="1">
        <v>45846</v>
      </c>
      <c r="C838" s="1">
        <f t="shared" si="39"/>
        <v>45869</v>
      </c>
      <c r="D838">
        <v>1</v>
      </c>
      <c r="E838">
        <v>2</v>
      </c>
      <c r="F838">
        <v>2</v>
      </c>
      <c r="G838">
        <v>0</v>
      </c>
      <c r="H838">
        <v>0</v>
      </c>
      <c r="I838">
        <v>0</v>
      </c>
      <c r="J838">
        <v>0</v>
      </c>
      <c r="K838">
        <v>0</v>
      </c>
      <c r="AN838">
        <f t="shared" si="40"/>
        <v>3</v>
      </c>
      <c r="AO838" t="str">
        <f t="shared" si="41"/>
        <v>Tuesday</v>
      </c>
    </row>
    <row r="839" spans="1:41" x14ac:dyDescent="0.2">
      <c r="A839" t="s">
        <v>41</v>
      </c>
      <c r="B839" s="1">
        <v>45846</v>
      </c>
      <c r="C839" s="1">
        <f t="shared" si="39"/>
        <v>45869</v>
      </c>
      <c r="D839">
        <v>23</v>
      </c>
      <c r="E839">
        <v>57</v>
      </c>
      <c r="F839">
        <v>4</v>
      </c>
      <c r="G839">
        <v>7</v>
      </c>
      <c r="H839">
        <v>2</v>
      </c>
      <c r="I839">
        <v>0</v>
      </c>
      <c r="J839">
        <v>0</v>
      </c>
      <c r="K839">
        <v>34</v>
      </c>
      <c r="L839" t="s">
        <v>41</v>
      </c>
      <c r="M839" t="s">
        <v>38</v>
      </c>
      <c r="N839" s="1">
        <v>45846</v>
      </c>
      <c r="O839" s="2">
        <v>0.54082175925925924</v>
      </c>
      <c r="P839" s="2">
        <v>0.91560185185185183</v>
      </c>
      <c r="Q839">
        <v>9</v>
      </c>
      <c r="R839">
        <v>8.99</v>
      </c>
      <c r="S839">
        <v>0.89</v>
      </c>
      <c r="T839">
        <v>0.31</v>
      </c>
      <c r="U839">
        <v>0</v>
      </c>
      <c r="V839">
        <v>0.23</v>
      </c>
      <c r="W839">
        <v>5.57</v>
      </c>
      <c r="X839">
        <v>1.47</v>
      </c>
      <c r="Y839">
        <v>0.5</v>
      </c>
      <c r="Z839">
        <v>0</v>
      </c>
      <c r="AA839">
        <v>0</v>
      </c>
      <c r="AB839">
        <v>0.02</v>
      </c>
      <c r="AC839">
        <v>8.99</v>
      </c>
      <c r="AD839">
        <v>9.92</v>
      </c>
      <c r="AE839">
        <v>3.39</v>
      </c>
      <c r="AF839">
        <v>0</v>
      </c>
      <c r="AG839">
        <v>2.54</v>
      </c>
      <c r="AH839">
        <v>61.97</v>
      </c>
      <c r="AI839">
        <v>16.309999999999999</v>
      </c>
      <c r="AJ839">
        <v>5.61</v>
      </c>
      <c r="AK839">
        <v>0</v>
      </c>
      <c r="AL839">
        <v>0</v>
      </c>
      <c r="AM839">
        <v>0.26</v>
      </c>
      <c r="AN839">
        <f t="shared" si="40"/>
        <v>3</v>
      </c>
      <c r="AO839" t="str">
        <f t="shared" si="41"/>
        <v>Tuesday</v>
      </c>
    </row>
    <row r="840" spans="1:41" x14ac:dyDescent="0.2">
      <c r="A840" t="s">
        <v>43</v>
      </c>
      <c r="B840" s="1">
        <v>45846</v>
      </c>
      <c r="C840" s="1">
        <f t="shared" si="39"/>
        <v>45869</v>
      </c>
      <c r="D840">
        <v>19</v>
      </c>
      <c r="E840">
        <v>49</v>
      </c>
      <c r="F840">
        <v>4</v>
      </c>
      <c r="G840">
        <v>2</v>
      </c>
      <c r="H840">
        <v>16</v>
      </c>
      <c r="I840">
        <v>0</v>
      </c>
      <c r="J840">
        <v>0</v>
      </c>
      <c r="K840">
        <v>19</v>
      </c>
      <c r="L840" t="s">
        <v>43</v>
      </c>
      <c r="M840" t="s">
        <v>38</v>
      </c>
      <c r="N840" s="1">
        <v>45846</v>
      </c>
      <c r="O840" s="2">
        <v>0.54297453703703702</v>
      </c>
      <c r="P840" s="2">
        <v>0.93395833333333333</v>
      </c>
      <c r="Q840">
        <v>9.3800000000000008</v>
      </c>
      <c r="R840">
        <v>9.3800000000000008</v>
      </c>
      <c r="S840">
        <v>2.11</v>
      </c>
      <c r="T840">
        <v>0.18</v>
      </c>
      <c r="U840">
        <v>0</v>
      </c>
      <c r="V840">
        <v>0.41</v>
      </c>
      <c r="W840">
        <v>4.5999999999999996</v>
      </c>
      <c r="X840">
        <v>1.37</v>
      </c>
      <c r="Y840">
        <v>0.66</v>
      </c>
      <c r="Z840">
        <v>0</v>
      </c>
      <c r="AA840">
        <v>0.03</v>
      </c>
      <c r="AB840">
        <v>0.03</v>
      </c>
      <c r="AC840">
        <v>9.3800000000000008</v>
      </c>
      <c r="AD840">
        <v>22.5</v>
      </c>
      <c r="AE840">
        <v>1.94</v>
      </c>
      <c r="AF840">
        <v>0</v>
      </c>
      <c r="AG840">
        <v>4.33</v>
      </c>
      <c r="AH840">
        <v>49.05</v>
      </c>
      <c r="AI840">
        <v>14.63</v>
      </c>
      <c r="AJ840">
        <v>6.98</v>
      </c>
      <c r="AK840">
        <v>0</v>
      </c>
      <c r="AL840">
        <v>0.3</v>
      </c>
      <c r="AM840">
        <v>0.27</v>
      </c>
      <c r="AN840">
        <f t="shared" si="40"/>
        <v>3</v>
      </c>
      <c r="AO840" t="str">
        <f t="shared" si="41"/>
        <v>Tuesday</v>
      </c>
    </row>
    <row r="841" spans="1:41" x14ac:dyDescent="0.2">
      <c r="B841" s="1">
        <v>45846</v>
      </c>
      <c r="C841" s="1">
        <f t="shared" si="39"/>
        <v>45869</v>
      </c>
      <c r="D841">
        <v>514</v>
      </c>
      <c r="E841">
        <v>0</v>
      </c>
      <c r="F841">
        <v>0</v>
      </c>
      <c r="G841">
        <v>0</v>
      </c>
      <c r="H841">
        <v>0</v>
      </c>
      <c r="I841">
        <v>0</v>
      </c>
      <c r="J841">
        <v>0</v>
      </c>
      <c r="K841">
        <v>0</v>
      </c>
      <c r="AN841">
        <f t="shared" si="40"/>
        <v>3</v>
      </c>
      <c r="AO841" t="str">
        <f t="shared" si="41"/>
        <v>Tuesday</v>
      </c>
    </row>
    <row r="842" spans="1:41" x14ac:dyDescent="0.2">
      <c r="A842" t="s">
        <v>37</v>
      </c>
      <c r="B842" s="1">
        <v>45845</v>
      </c>
      <c r="C842" s="1">
        <f t="shared" si="39"/>
        <v>45869</v>
      </c>
      <c r="D842">
        <v>24</v>
      </c>
      <c r="E842">
        <v>58</v>
      </c>
      <c r="F842">
        <v>6</v>
      </c>
      <c r="G842">
        <v>7</v>
      </c>
      <c r="H842">
        <v>4</v>
      </c>
      <c r="I842">
        <v>0</v>
      </c>
      <c r="J842">
        <v>0</v>
      </c>
      <c r="K842">
        <v>31</v>
      </c>
      <c r="L842" t="s">
        <v>37</v>
      </c>
      <c r="M842" t="s">
        <v>38</v>
      </c>
      <c r="N842" s="1">
        <v>45845</v>
      </c>
      <c r="O842" s="2">
        <v>0.54236111111111107</v>
      </c>
      <c r="P842" s="2">
        <v>0.91682870370370373</v>
      </c>
      <c r="Q842">
        <v>8.98</v>
      </c>
      <c r="R842">
        <v>8.06</v>
      </c>
      <c r="S842">
        <v>1.1499999999999999</v>
      </c>
      <c r="T842">
        <v>0.21</v>
      </c>
      <c r="U842">
        <v>0</v>
      </c>
      <c r="V842">
        <v>0.25</v>
      </c>
      <c r="W842">
        <v>5.82</v>
      </c>
      <c r="X842">
        <v>0.5</v>
      </c>
      <c r="Y842">
        <v>0.11</v>
      </c>
      <c r="Z842">
        <v>0</v>
      </c>
      <c r="AA842">
        <v>0</v>
      </c>
      <c r="AB842">
        <v>0.03</v>
      </c>
      <c r="AC842">
        <v>8.06</v>
      </c>
      <c r="AD842">
        <v>14.29</v>
      </c>
      <c r="AE842">
        <v>2.5499999999999998</v>
      </c>
      <c r="AF842">
        <v>0</v>
      </c>
      <c r="AG842">
        <v>3.11</v>
      </c>
      <c r="AH842">
        <v>72.17</v>
      </c>
      <c r="AI842">
        <v>6.18</v>
      </c>
      <c r="AJ842">
        <v>1.31</v>
      </c>
      <c r="AK842">
        <v>0</v>
      </c>
      <c r="AL842">
        <v>0</v>
      </c>
      <c r="AM842">
        <v>0.4</v>
      </c>
      <c r="AN842">
        <f t="shared" si="40"/>
        <v>2</v>
      </c>
      <c r="AO842" t="str">
        <f t="shared" si="41"/>
        <v>Monday</v>
      </c>
    </row>
    <row r="843" spans="1:41" x14ac:dyDescent="0.2">
      <c r="A843" t="s">
        <v>52</v>
      </c>
      <c r="B843" s="1">
        <v>45845</v>
      </c>
      <c r="C843" s="1">
        <f t="shared" si="39"/>
        <v>45869</v>
      </c>
      <c r="D843">
        <v>13</v>
      </c>
      <c r="E843">
        <v>22</v>
      </c>
      <c r="F843">
        <v>1</v>
      </c>
      <c r="G843">
        <v>0</v>
      </c>
      <c r="H843">
        <v>3</v>
      </c>
      <c r="I843">
        <v>0</v>
      </c>
      <c r="J843">
        <v>0</v>
      </c>
      <c r="K843">
        <v>14</v>
      </c>
      <c r="L843" t="s">
        <v>52</v>
      </c>
      <c r="M843" t="s">
        <v>38</v>
      </c>
      <c r="N843" s="1">
        <v>45845</v>
      </c>
      <c r="O843" s="2">
        <v>0.54446759259259259</v>
      </c>
      <c r="P843" s="2">
        <v>0.91506944444444449</v>
      </c>
      <c r="Q843">
        <v>8.8800000000000008</v>
      </c>
      <c r="R843">
        <v>8.07</v>
      </c>
      <c r="S843">
        <v>0.39</v>
      </c>
      <c r="T843">
        <v>0.08</v>
      </c>
      <c r="U843">
        <v>0</v>
      </c>
      <c r="V843">
        <v>0.43</v>
      </c>
      <c r="W843">
        <v>5.87</v>
      </c>
      <c r="X843">
        <v>0.71</v>
      </c>
      <c r="Y843">
        <v>0.49</v>
      </c>
      <c r="Z843">
        <v>0</v>
      </c>
      <c r="AA843">
        <v>0.08</v>
      </c>
      <c r="AB843">
        <v>0.03</v>
      </c>
      <c r="AC843">
        <v>8.07</v>
      </c>
      <c r="AD843">
        <v>4.78</v>
      </c>
      <c r="AE843">
        <v>0.94</v>
      </c>
      <c r="AF843">
        <v>0</v>
      </c>
      <c r="AG843">
        <v>5.29</v>
      </c>
      <c r="AH843">
        <v>72.72</v>
      </c>
      <c r="AI843">
        <v>8.77</v>
      </c>
      <c r="AJ843">
        <v>6.09</v>
      </c>
      <c r="AK843">
        <v>0</v>
      </c>
      <c r="AL843">
        <v>1.01</v>
      </c>
      <c r="AM843">
        <v>0.4</v>
      </c>
      <c r="AN843">
        <f t="shared" si="40"/>
        <v>2</v>
      </c>
      <c r="AO843" t="str">
        <f t="shared" si="41"/>
        <v>Monday</v>
      </c>
    </row>
    <row r="844" spans="1:41" x14ac:dyDescent="0.2">
      <c r="A844" t="s">
        <v>39</v>
      </c>
      <c r="B844" s="1">
        <v>45845</v>
      </c>
      <c r="C844" s="1">
        <f t="shared" si="39"/>
        <v>45869</v>
      </c>
      <c r="D844">
        <v>39</v>
      </c>
      <c r="E844">
        <v>77</v>
      </c>
      <c r="F844">
        <v>5</v>
      </c>
      <c r="G844">
        <v>1</v>
      </c>
      <c r="H844">
        <v>3</v>
      </c>
      <c r="I844">
        <v>0</v>
      </c>
      <c r="J844">
        <v>4</v>
      </c>
      <c r="K844">
        <v>34</v>
      </c>
      <c r="L844" t="s">
        <v>39</v>
      </c>
      <c r="M844" t="s">
        <v>38</v>
      </c>
      <c r="N844" s="1">
        <v>45845</v>
      </c>
      <c r="O844" s="2">
        <v>0.54210648148148144</v>
      </c>
      <c r="P844" s="2">
        <v>0.91685185185185181</v>
      </c>
      <c r="Q844">
        <v>9</v>
      </c>
      <c r="R844">
        <v>8.99</v>
      </c>
      <c r="S844">
        <v>1.49</v>
      </c>
      <c r="T844">
        <v>0.09</v>
      </c>
      <c r="U844">
        <v>0</v>
      </c>
      <c r="V844">
        <v>0.02</v>
      </c>
      <c r="W844">
        <v>5.88</v>
      </c>
      <c r="X844">
        <v>1.51</v>
      </c>
      <c r="Y844">
        <v>0</v>
      </c>
      <c r="Z844">
        <v>0</v>
      </c>
      <c r="AA844">
        <v>0</v>
      </c>
      <c r="AB844">
        <v>0</v>
      </c>
      <c r="AC844">
        <v>8.99</v>
      </c>
      <c r="AD844">
        <v>16.54</v>
      </c>
      <c r="AE844">
        <v>1.01</v>
      </c>
      <c r="AF844">
        <v>0</v>
      </c>
      <c r="AG844">
        <v>0.25</v>
      </c>
      <c r="AH844">
        <v>65.41</v>
      </c>
      <c r="AI844">
        <v>16.760000000000002</v>
      </c>
      <c r="AJ844">
        <v>0</v>
      </c>
      <c r="AK844">
        <v>0</v>
      </c>
      <c r="AL844">
        <v>0</v>
      </c>
      <c r="AM844">
        <v>0.04</v>
      </c>
      <c r="AN844">
        <f t="shared" si="40"/>
        <v>2</v>
      </c>
      <c r="AO844" t="str">
        <f t="shared" si="41"/>
        <v>Monday</v>
      </c>
    </row>
    <row r="845" spans="1:41" x14ac:dyDescent="0.2">
      <c r="A845" t="s">
        <v>41</v>
      </c>
      <c r="B845" s="1">
        <v>45845</v>
      </c>
      <c r="C845" s="1">
        <f t="shared" si="39"/>
        <v>45869</v>
      </c>
      <c r="D845">
        <v>30</v>
      </c>
      <c r="E845">
        <v>70</v>
      </c>
      <c r="F845">
        <v>8</v>
      </c>
      <c r="G845">
        <v>3</v>
      </c>
      <c r="H845">
        <v>2</v>
      </c>
      <c r="I845">
        <v>0</v>
      </c>
      <c r="J845">
        <v>1</v>
      </c>
      <c r="K845">
        <v>41</v>
      </c>
      <c r="L845" t="s">
        <v>41</v>
      </c>
      <c r="M845" t="s">
        <v>38</v>
      </c>
      <c r="N845" s="1">
        <v>45845</v>
      </c>
      <c r="O845" s="2">
        <v>0.54172453703703705</v>
      </c>
      <c r="P845" s="2">
        <v>0.91670138888888886</v>
      </c>
      <c r="Q845">
        <v>9</v>
      </c>
      <c r="R845">
        <v>8.1199999999999992</v>
      </c>
      <c r="S845">
        <v>0.53</v>
      </c>
      <c r="T845">
        <v>0.22</v>
      </c>
      <c r="U845">
        <v>0</v>
      </c>
      <c r="V845">
        <v>0.22</v>
      </c>
      <c r="W845">
        <v>6.37</v>
      </c>
      <c r="X845">
        <v>0.69</v>
      </c>
      <c r="Y845">
        <v>0</v>
      </c>
      <c r="Z845">
        <v>0</v>
      </c>
      <c r="AA845">
        <v>0</v>
      </c>
      <c r="AB845">
        <v>0.09</v>
      </c>
      <c r="AC845">
        <v>8.1199999999999992</v>
      </c>
      <c r="AD845">
        <v>6.48</v>
      </c>
      <c r="AE845">
        <v>2.66</v>
      </c>
      <c r="AF845">
        <v>0</v>
      </c>
      <c r="AG845">
        <v>2.7</v>
      </c>
      <c r="AH845">
        <v>78.48</v>
      </c>
      <c r="AI845">
        <v>8.5399999999999991</v>
      </c>
      <c r="AJ845">
        <v>0</v>
      </c>
      <c r="AK845">
        <v>0</v>
      </c>
      <c r="AL845">
        <v>0</v>
      </c>
      <c r="AM845">
        <v>1.1399999999999999</v>
      </c>
      <c r="AN845">
        <f t="shared" si="40"/>
        <v>2</v>
      </c>
      <c r="AO845" t="str">
        <f t="shared" si="41"/>
        <v>Monday</v>
      </c>
    </row>
    <row r="846" spans="1:41" x14ac:dyDescent="0.2">
      <c r="A846" t="s">
        <v>43</v>
      </c>
      <c r="B846" s="1">
        <v>45845</v>
      </c>
      <c r="C846" s="1">
        <f t="shared" si="39"/>
        <v>45869</v>
      </c>
      <c r="D846">
        <v>21</v>
      </c>
      <c r="E846">
        <v>62</v>
      </c>
      <c r="F846">
        <v>9</v>
      </c>
      <c r="G846">
        <v>8</v>
      </c>
      <c r="H846">
        <v>3</v>
      </c>
      <c r="I846">
        <v>0</v>
      </c>
      <c r="J846">
        <v>1</v>
      </c>
      <c r="K846">
        <v>34</v>
      </c>
      <c r="L846" t="s">
        <v>43</v>
      </c>
      <c r="M846" t="s">
        <v>38</v>
      </c>
      <c r="N846" s="1">
        <v>45845</v>
      </c>
      <c r="O846" s="2">
        <v>0.54159722222222217</v>
      </c>
      <c r="P846" s="2">
        <v>0.91821759259259261</v>
      </c>
      <c r="Q846">
        <v>9.0500000000000007</v>
      </c>
      <c r="R846">
        <v>9.0399999999999991</v>
      </c>
      <c r="S846">
        <v>1.35</v>
      </c>
      <c r="T846">
        <v>0.12</v>
      </c>
      <c r="U846">
        <v>0</v>
      </c>
      <c r="V846">
        <v>0.35</v>
      </c>
      <c r="W846">
        <v>5.74</v>
      </c>
      <c r="X846">
        <v>1.47</v>
      </c>
      <c r="Y846">
        <v>0</v>
      </c>
      <c r="Z846">
        <v>0</v>
      </c>
      <c r="AA846">
        <v>0</v>
      </c>
      <c r="AB846">
        <v>0.01</v>
      </c>
      <c r="AC846">
        <v>9.0399999999999991</v>
      </c>
      <c r="AD846">
        <v>14.9</v>
      </c>
      <c r="AE846">
        <v>1.36</v>
      </c>
      <c r="AF846">
        <v>0</v>
      </c>
      <c r="AG846">
        <v>3.89</v>
      </c>
      <c r="AH846">
        <v>63.48</v>
      </c>
      <c r="AI846">
        <v>16.21</v>
      </c>
      <c r="AJ846">
        <v>0</v>
      </c>
      <c r="AK846">
        <v>0</v>
      </c>
      <c r="AL846">
        <v>0</v>
      </c>
      <c r="AM846">
        <v>0.14000000000000001</v>
      </c>
      <c r="AN846">
        <f t="shared" si="40"/>
        <v>2</v>
      </c>
      <c r="AO846" t="str">
        <f t="shared" si="41"/>
        <v>Monday</v>
      </c>
    </row>
    <row r="847" spans="1:41" x14ac:dyDescent="0.2">
      <c r="B847" s="1">
        <v>45845</v>
      </c>
      <c r="C847" s="1">
        <f t="shared" si="39"/>
        <v>45869</v>
      </c>
      <c r="D847">
        <v>521</v>
      </c>
      <c r="E847">
        <v>0</v>
      </c>
      <c r="F847">
        <v>0</v>
      </c>
      <c r="G847">
        <v>0</v>
      </c>
      <c r="H847">
        <v>0</v>
      </c>
      <c r="I847">
        <v>0</v>
      </c>
      <c r="J847">
        <v>0</v>
      </c>
      <c r="K847">
        <v>0</v>
      </c>
      <c r="AN847">
        <f t="shared" si="40"/>
        <v>2</v>
      </c>
      <c r="AO847" t="str">
        <f t="shared" si="41"/>
        <v>Monday</v>
      </c>
    </row>
    <row r="848" spans="1:41" x14ac:dyDescent="0.2">
      <c r="A848" t="s">
        <v>37</v>
      </c>
      <c r="B848" s="1">
        <v>45841</v>
      </c>
      <c r="C848" s="1">
        <f t="shared" si="39"/>
        <v>45869</v>
      </c>
      <c r="D848">
        <v>37</v>
      </c>
      <c r="E848">
        <v>97</v>
      </c>
      <c r="F848">
        <v>6</v>
      </c>
      <c r="G848">
        <v>0</v>
      </c>
      <c r="H848">
        <v>10</v>
      </c>
      <c r="I848">
        <v>0</v>
      </c>
      <c r="J848">
        <v>0</v>
      </c>
      <c r="K848">
        <v>53</v>
      </c>
      <c r="L848" t="s">
        <v>37</v>
      </c>
      <c r="M848" t="s">
        <v>38</v>
      </c>
      <c r="N848" s="1">
        <v>45841</v>
      </c>
      <c r="O848" s="2">
        <v>0.54268518518518516</v>
      </c>
      <c r="P848" s="2">
        <v>0.91902777777777778</v>
      </c>
      <c r="Q848">
        <v>9.0299999999999994</v>
      </c>
      <c r="R848">
        <v>8.27</v>
      </c>
      <c r="S848">
        <v>1.21</v>
      </c>
      <c r="T848">
        <v>0.04</v>
      </c>
      <c r="U848">
        <v>0</v>
      </c>
      <c r="V848">
        <v>0.28999999999999998</v>
      </c>
      <c r="W848">
        <v>5.96</v>
      </c>
      <c r="X848">
        <v>0.66</v>
      </c>
      <c r="Y848">
        <v>0</v>
      </c>
      <c r="Z848">
        <v>0</v>
      </c>
      <c r="AA848">
        <v>0</v>
      </c>
      <c r="AB848">
        <v>0.11</v>
      </c>
      <c r="AC848">
        <v>8.27</v>
      </c>
      <c r="AD848">
        <v>14.63</v>
      </c>
      <c r="AE848">
        <v>0.54</v>
      </c>
      <c r="AF848">
        <v>0</v>
      </c>
      <c r="AG848">
        <v>3.46</v>
      </c>
      <c r="AH848">
        <v>72.05</v>
      </c>
      <c r="AI848">
        <v>7.96</v>
      </c>
      <c r="AJ848">
        <v>0</v>
      </c>
      <c r="AK848">
        <v>0</v>
      </c>
      <c r="AL848">
        <v>0</v>
      </c>
      <c r="AM848">
        <v>1.37</v>
      </c>
      <c r="AN848">
        <f t="shared" si="40"/>
        <v>5</v>
      </c>
      <c r="AO848" t="str">
        <f t="shared" si="41"/>
        <v>Thursday</v>
      </c>
    </row>
    <row r="849" spans="1:41" x14ac:dyDescent="0.2">
      <c r="A849" t="s">
        <v>52</v>
      </c>
      <c r="B849" s="1">
        <v>45841</v>
      </c>
      <c r="C849" s="1">
        <f t="shared" si="39"/>
        <v>45869</v>
      </c>
      <c r="D849">
        <v>7</v>
      </c>
      <c r="E849">
        <v>20</v>
      </c>
      <c r="F849">
        <v>0</v>
      </c>
      <c r="G849">
        <v>0</v>
      </c>
      <c r="H849">
        <v>6</v>
      </c>
      <c r="I849">
        <v>0</v>
      </c>
      <c r="J849">
        <v>2</v>
      </c>
      <c r="K849">
        <v>8</v>
      </c>
      <c r="L849" t="s">
        <v>52</v>
      </c>
      <c r="M849" t="s">
        <v>38</v>
      </c>
      <c r="N849" s="1">
        <v>45841</v>
      </c>
      <c r="O849" s="2">
        <v>0.54166666666666663</v>
      </c>
      <c r="P849" s="2">
        <v>0.62725694444444446</v>
      </c>
      <c r="Q849">
        <v>2.0499999999999998</v>
      </c>
      <c r="R849">
        <v>2.0499999999999998</v>
      </c>
      <c r="S849">
        <v>0.5</v>
      </c>
      <c r="T849">
        <v>0</v>
      </c>
      <c r="U849">
        <v>0</v>
      </c>
      <c r="V849">
        <v>0.27</v>
      </c>
      <c r="W849">
        <v>1.26</v>
      </c>
      <c r="X849">
        <v>0</v>
      </c>
      <c r="Y849">
        <v>0</v>
      </c>
      <c r="Z849">
        <v>0</v>
      </c>
      <c r="AA849">
        <v>0</v>
      </c>
      <c r="AB849">
        <v>0.02</v>
      </c>
      <c r="AC849">
        <v>2.0499999999999998</v>
      </c>
      <c r="AD849">
        <v>24.51</v>
      </c>
      <c r="AE849">
        <v>0</v>
      </c>
      <c r="AF849">
        <v>0</v>
      </c>
      <c r="AG849">
        <v>13.38</v>
      </c>
      <c r="AH849">
        <v>61.28</v>
      </c>
      <c r="AI849">
        <v>0</v>
      </c>
      <c r="AJ849">
        <v>0</v>
      </c>
      <c r="AK849">
        <v>0</v>
      </c>
      <c r="AL849">
        <v>0</v>
      </c>
      <c r="AM849">
        <v>0.84</v>
      </c>
      <c r="AN849">
        <f t="shared" si="40"/>
        <v>5</v>
      </c>
      <c r="AO849" t="str">
        <f t="shared" si="41"/>
        <v>Thursday</v>
      </c>
    </row>
    <row r="850" spans="1:41" x14ac:dyDescent="0.2">
      <c r="A850" t="s">
        <v>39</v>
      </c>
      <c r="B850" s="1">
        <v>45841</v>
      </c>
      <c r="C850" s="1">
        <f t="shared" si="39"/>
        <v>45869</v>
      </c>
      <c r="D850">
        <v>37</v>
      </c>
      <c r="E850">
        <v>72</v>
      </c>
      <c r="F850">
        <v>7</v>
      </c>
      <c r="G850">
        <v>4</v>
      </c>
      <c r="H850">
        <v>9</v>
      </c>
      <c r="I850">
        <v>0</v>
      </c>
      <c r="J850">
        <v>0</v>
      </c>
      <c r="K850">
        <v>33</v>
      </c>
      <c r="L850" t="s">
        <v>39</v>
      </c>
      <c r="M850" t="s">
        <v>38</v>
      </c>
      <c r="N850" s="1">
        <v>45841</v>
      </c>
      <c r="O850" s="2">
        <v>0.54219907407407408</v>
      </c>
      <c r="P850" s="2">
        <v>0.91686342592592596</v>
      </c>
      <c r="Q850">
        <v>9</v>
      </c>
      <c r="R850">
        <v>8.99</v>
      </c>
      <c r="S850">
        <v>1.95</v>
      </c>
      <c r="T850">
        <v>0.1</v>
      </c>
      <c r="U850">
        <v>0</v>
      </c>
      <c r="V850">
        <v>0.02</v>
      </c>
      <c r="W850">
        <v>5.05</v>
      </c>
      <c r="X850">
        <v>1.49</v>
      </c>
      <c r="Y850">
        <v>0.38</v>
      </c>
      <c r="Z850">
        <v>0</v>
      </c>
      <c r="AA850">
        <v>0</v>
      </c>
      <c r="AB850">
        <v>0</v>
      </c>
      <c r="AC850">
        <v>8.99</v>
      </c>
      <c r="AD850">
        <v>21.64</v>
      </c>
      <c r="AE850">
        <v>1.1299999999999999</v>
      </c>
      <c r="AF850">
        <v>0</v>
      </c>
      <c r="AG850">
        <v>0.27</v>
      </c>
      <c r="AH850">
        <v>56.11</v>
      </c>
      <c r="AI850">
        <v>16.53</v>
      </c>
      <c r="AJ850">
        <v>4.2699999999999996</v>
      </c>
      <c r="AK850">
        <v>0</v>
      </c>
      <c r="AL850">
        <v>0</v>
      </c>
      <c r="AM850">
        <v>0.05</v>
      </c>
      <c r="AN850">
        <f t="shared" si="40"/>
        <v>5</v>
      </c>
      <c r="AO850" t="str">
        <f t="shared" si="41"/>
        <v>Thursday</v>
      </c>
    </row>
    <row r="851" spans="1:41" x14ac:dyDescent="0.2">
      <c r="A851" t="s">
        <v>41</v>
      </c>
      <c r="B851" s="1">
        <v>45841</v>
      </c>
      <c r="C851" s="1">
        <f t="shared" si="39"/>
        <v>45869</v>
      </c>
      <c r="D851">
        <v>29</v>
      </c>
      <c r="E851">
        <v>80</v>
      </c>
      <c r="F851">
        <v>3</v>
      </c>
      <c r="G851">
        <v>4</v>
      </c>
      <c r="H851">
        <v>5</v>
      </c>
      <c r="I851">
        <v>0</v>
      </c>
      <c r="J851">
        <v>1</v>
      </c>
      <c r="K851">
        <v>49</v>
      </c>
      <c r="L851" t="s">
        <v>41</v>
      </c>
      <c r="M851" t="s">
        <v>38</v>
      </c>
      <c r="N851" s="1">
        <v>45841</v>
      </c>
      <c r="O851" s="2">
        <v>0.54175925925925927</v>
      </c>
      <c r="P851" s="2">
        <v>0.79199074074074072</v>
      </c>
      <c r="Q851">
        <v>6</v>
      </c>
      <c r="R851">
        <v>6.01</v>
      </c>
      <c r="S851">
        <v>0.86</v>
      </c>
      <c r="T851">
        <v>0</v>
      </c>
      <c r="U851">
        <v>0</v>
      </c>
      <c r="V851">
        <v>0.18</v>
      </c>
      <c r="W851">
        <v>3.7</v>
      </c>
      <c r="X851">
        <v>1.21</v>
      </c>
      <c r="Y851">
        <v>0.05</v>
      </c>
      <c r="Z851">
        <v>0</v>
      </c>
      <c r="AA851">
        <v>0</v>
      </c>
      <c r="AB851">
        <v>0.01</v>
      </c>
      <c r="AC851">
        <v>6.01</v>
      </c>
      <c r="AD851">
        <v>14.26</v>
      </c>
      <c r="AE851">
        <v>0</v>
      </c>
      <c r="AF851">
        <v>0</v>
      </c>
      <c r="AG851">
        <v>2.96</v>
      </c>
      <c r="AH851">
        <v>61.68</v>
      </c>
      <c r="AI851">
        <v>20.11</v>
      </c>
      <c r="AJ851">
        <v>0.9</v>
      </c>
      <c r="AK851">
        <v>0</v>
      </c>
      <c r="AL851">
        <v>0</v>
      </c>
      <c r="AM851">
        <v>0.08</v>
      </c>
      <c r="AN851">
        <f t="shared" si="40"/>
        <v>5</v>
      </c>
      <c r="AO851" t="str">
        <f t="shared" si="41"/>
        <v>Thursday</v>
      </c>
    </row>
    <row r="852" spans="1:41" x14ac:dyDescent="0.2">
      <c r="B852" s="1">
        <v>45841</v>
      </c>
      <c r="C852" s="1">
        <f t="shared" si="39"/>
        <v>45869</v>
      </c>
      <c r="D852">
        <v>522</v>
      </c>
      <c r="E852">
        <v>0</v>
      </c>
      <c r="F852">
        <v>0</v>
      </c>
      <c r="G852">
        <v>0</v>
      </c>
      <c r="H852">
        <v>0</v>
      </c>
      <c r="I852">
        <v>0</v>
      </c>
      <c r="J852">
        <v>0</v>
      </c>
      <c r="K852">
        <v>0</v>
      </c>
      <c r="AN852">
        <f t="shared" si="40"/>
        <v>5</v>
      </c>
      <c r="AO852" t="str">
        <f t="shared" si="41"/>
        <v>Thursday</v>
      </c>
    </row>
    <row r="853" spans="1:41" x14ac:dyDescent="0.2">
      <c r="A853" t="s">
        <v>37</v>
      </c>
      <c r="B853" s="1">
        <v>45840</v>
      </c>
      <c r="C853" s="1">
        <f t="shared" si="39"/>
        <v>45869</v>
      </c>
      <c r="D853">
        <v>22</v>
      </c>
      <c r="E853">
        <v>53</v>
      </c>
      <c r="F853">
        <v>4</v>
      </c>
      <c r="G853">
        <v>2</v>
      </c>
      <c r="H853">
        <v>0</v>
      </c>
      <c r="I853">
        <v>0</v>
      </c>
      <c r="J853">
        <v>0</v>
      </c>
      <c r="K853">
        <v>31</v>
      </c>
      <c r="L853" t="s">
        <v>37</v>
      </c>
      <c r="M853" t="s">
        <v>38</v>
      </c>
      <c r="N853" s="1">
        <v>45840</v>
      </c>
      <c r="O853" s="2">
        <v>0.54241898148148149</v>
      </c>
      <c r="P853" s="2">
        <v>0.91681712962962958</v>
      </c>
      <c r="Q853">
        <v>8.98</v>
      </c>
      <c r="R853">
        <v>8.0500000000000007</v>
      </c>
      <c r="S853">
        <v>0.45</v>
      </c>
      <c r="T853">
        <v>0.2</v>
      </c>
      <c r="U853">
        <v>0</v>
      </c>
      <c r="V853">
        <v>0.21</v>
      </c>
      <c r="W853">
        <v>6.41</v>
      </c>
      <c r="X853">
        <v>0.59</v>
      </c>
      <c r="Y853">
        <v>0.18</v>
      </c>
      <c r="Z853">
        <v>0</v>
      </c>
      <c r="AA853">
        <v>0</v>
      </c>
      <c r="AB853">
        <v>0.02</v>
      </c>
      <c r="AC853">
        <v>8.0500000000000007</v>
      </c>
      <c r="AD853">
        <v>5.62</v>
      </c>
      <c r="AE853">
        <v>2.52</v>
      </c>
      <c r="AF853">
        <v>0</v>
      </c>
      <c r="AG853">
        <v>2.58</v>
      </c>
      <c r="AH853">
        <v>79.55</v>
      </c>
      <c r="AI853">
        <v>7.31</v>
      </c>
      <c r="AJ853">
        <v>2.2400000000000002</v>
      </c>
      <c r="AK853">
        <v>0</v>
      </c>
      <c r="AL853">
        <v>0</v>
      </c>
      <c r="AM853">
        <v>0.19</v>
      </c>
      <c r="AN853">
        <f t="shared" si="40"/>
        <v>4</v>
      </c>
      <c r="AO853" t="str">
        <f t="shared" si="41"/>
        <v>Wednesday</v>
      </c>
    </row>
    <row r="854" spans="1:41" x14ac:dyDescent="0.2">
      <c r="A854" t="s">
        <v>52</v>
      </c>
      <c r="B854" s="1">
        <v>45840</v>
      </c>
      <c r="C854" s="1">
        <f t="shared" si="39"/>
        <v>45869</v>
      </c>
      <c r="D854">
        <v>16</v>
      </c>
      <c r="E854">
        <v>42</v>
      </c>
      <c r="F854">
        <v>0</v>
      </c>
      <c r="G854">
        <v>0</v>
      </c>
      <c r="H854">
        <v>2</v>
      </c>
      <c r="I854">
        <v>0</v>
      </c>
      <c r="J854">
        <v>1</v>
      </c>
      <c r="K854">
        <v>28</v>
      </c>
      <c r="L854" t="s">
        <v>52</v>
      </c>
      <c r="M854" t="s">
        <v>38</v>
      </c>
      <c r="N854" s="1">
        <v>45840</v>
      </c>
      <c r="O854" s="2">
        <v>0.63655092592592588</v>
      </c>
      <c r="P854" s="2">
        <v>0.91628472222222224</v>
      </c>
      <c r="Q854">
        <v>6.72</v>
      </c>
      <c r="R854">
        <v>6.05</v>
      </c>
      <c r="S854">
        <v>0.37</v>
      </c>
      <c r="T854">
        <v>0</v>
      </c>
      <c r="U854">
        <v>0</v>
      </c>
      <c r="V854">
        <v>0.27</v>
      </c>
      <c r="W854">
        <v>4.79</v>
      </c>
      <c r="X854">
        <v>0.56999999999999995</v>
      </c>
      <c r="Y854">
        <v>0</v>
      </c>
      <c r="Z854">
        <v>0</v>
      </c>
      <c r="AA854">
        <v>0</v>
      </c>
      <c r="AB854">
        <v>0.05</v>
      </c>
      <c r="AC854">
        <v>6.05</v>
      </c>
      <c r="AD854">
        <v>6.16</v>
      </c>
      <c r="AE854">
        <v>0</v>
      </c>
      <c r="AF854">
        <v>0</v>
      </c>
      <c r="AG854">
        <v>4.49</v>
      </c>
      <c r="AH854">
        <v>79.12</v>
      </c>
      <c r="AI854">
        <v>9.4499999999999993</v>
      </c>
      <c r="AJ854">
        <v>0</v>
      </c>
      <c r="AK854">
        <v>0</v>
      </c>
      <c r="AL854">
        <v>0</v>
      </c>
      <c r="AM854">
        <v>0.79</v>
      </c>
      <c r="AN854">
        <f t="shared" si="40"/>
        <v>4</v>
      </c>
      <c r="AO854" t="str">
        <f t="shared" si="41"/>
        <v>Wednesday</v>
      </c>
    </row>
    <row r="855" spans="1:41" x14ac:dyDescent="0.2">
      <c r="A855" t="s">
        <v>39</v>
      </c>
      <c r="B855" s="1">
        <v>45840</v>
      </c>
      <c r="C855" s="1">
        <f t="shared" si="39"/>
        <v>45869</v>
      </c>
      <c r="D855">
        <v>31</v>
      </c>
      <c r="E855">
        <v>92</v>
      </c>
      <c r="F855">
        <v>8</v>
      </c>
      <c r="G855">
        <v>1</v>
      </c>
      <c r="H855">
        <v>4</v>
      </c>
      <c r="I855">
        <v>4</v>
      </c>
      <c r="J855">
        <v>0</v>
      </c>
      <c r="K855">
        <v>40</v>
      </c>
      <c r="L855" t="s">
        <v>39</v>
      </c>
      <c r="M855" t="s">
        <v>38</v>
      </c>
      <c r="N855" s="1">
        <v>45840</v>
      </c>
      <c r="O855" s="2">
        <v>0.54182870370370373</v>
      </c>
      <c r="P855" s="2">
        <v>0.9167939814814815</v>
      </c>
      <c r="Q855">
        <v>9</v>
      </c>
      <c r="R855">
        <v>9</v>
      </c>
      <c r="S855">
        <v>1.5</v>
      </c>
      <c r="T855">
        <v>0.04</v>
      </c>
      <c r="U855">
        <v>0</v>
      </c>
      <c r="V855">
        <v>0.03</v>
      </c>
      <c r="W855">
        <v>5.95</v>
      </c>
      <c r="X855">
        <v>1.48</v>
      </c>
      <c r="Y855">
        <v>0</v>
      </c>
      <c r="Z855">
        <v>0</v>
      </c>
      <c r="AA855">
        <v>0</v>
      </c>
      <c r="AB855">
        <v>0</v>
      </c>
      <c r="AC855">
        <v>9</v>
      </c>
      <c r="AD855">
        <v>16.71</v>
      </c>
      <c r="AE855">
        <v>0.42</v>
      </c>
      <c r="AF855">
        <v>0</v>
      </c>
      <c r="AG855">
        <v>0.28999999999999998</v>
      </c>
      <c r="AH855">
        <v>66.12</v>
      </c>
      <c r="AI855">
        <v>16.41</v>
      </c>
      <c r="AJ855">
        <v>0</v>
      </c>
      <c r="AK855">
        <v>0</v>
      </c>
      <c r="AL855">
        <v>0</v>
      </c>
      <c r="AM855">
        <v>0.04</v>
      </c>
      <c r="AN855">
        <f t="shared" si="40"/>
        <v>4</v>
      </c>
      <c r="AO855" t="str">
        <f t="shared" si="41"/>
        <v>Wednesday</v>
      </c>
    </row>
    <row r="856" spans="1:41" x14ac:dyDescent="0.2">
      <c r="A856" t="s">
        <v>41</v>
      </c>
      <c r="B856" s="1">
        <v>45840</v>
      </c>
      <c r="C856" s="1">
        <f t="shared" si="39"/>
        <v>45869</v>
      </c>
      <c r="D856">
        <v>27</v>
      </c>
      <c r="E856">
        <v>73</v>
      </c>
      <c r="F856">
        <v>0</v>
      </c>
      <c r="G856">
        <v>13</v>
      </c>
      <c r="H856">
        <v>6</v>
      </c>
      <c r="I856">
        <v>0</v>
      </c>
      <c r="J856">
        <v>0</v>
      </c>
      <c r="K856">
        <v>38</v>
      </c>
      <c r="L856" t="s">
        <v>41</v>
      </c>
      <c r="M856" t="s">
        <v>38</v>
      </c>
      <c r="N856" s="1">
        <v>45840</v>
      </c>
      <c r="O856" s="2">
        <v>0.54177083333333331</v>
      </c>
      <c r="P856" s="2">
        <v>0.91664351851851855</v>
      </c>
      <c r="Q856">
        <v>8.98</v>
      </c>
      <c r="R856">
        <v>9</v>
      </c>
      <c r="S856">
        <v>0.69</v>
      </c>
      <c r="T856">
        <v>0.5</v>
      </c>
      <c r="U856">
        <v>0</v>
      </c>
      <c r="V856">
        <v>0.19</v>
      </c>
      <c r="W856">
        <v>6.13</v>
      </c>
      <c r="X856">
        <v>1.47</v>
      </c>
      <c r="Y856">
        <v>0</v>
      </c>
      <c r="Z856">
        <v>0</v>
      </c>
      <c r="AA856">
        <v>0</v>
      </c>
      <c r="AB856">
        <v>0</v>
      </c>
      <c r="AC856">
        <v>9</v>
      </c>
      <c r="AD856">
        <v>7.7</v>
      </c>
      <c r="AE856">
        <v>5.56</v>
      </c>
      <c r="AF856">
        <v>0.01</v>
      </c>
      <c r="AG856">
        <v>2.14</v>
      </c>
      <c r="AH856">
        <v>68.16</v>
      </c>
      <c r="AI856">
        <v>16.39</v>
      </c>
      <c r="AJ856">
        <v>0</v>
      </c>
      <c r="AK856">
        <v>0</v>
      </c>
      <c r="AL856">
        <v>0</v>
      </c>
      <c r="AM856">
        <v>0.05</v>
      </c>
      <c r="AN856">
        <f t="shared" si="40"/>
        <v>4</v>
      </c>
      <c r="AO856" t="str">
        <f t="shared" si="41"/>
        <v>Wednesday</v>
      </c>
    </row>
    <row r="857" spans="1:41" x14ac:dyDescent="0.2">
      <c r="A857" t="s">
        <v>43</v>
      </c>
      <c r="B857" s="1">
        <v>45840</v>
      </c>
      <c r="C857" s="1">
        <f t="shared" si="39"/>
        <v>45869</v>
      </c>
      <c r="D857">
        <v>29</v>
      </c>
      <c r="E857">
        <v>76</v>
      </c>
      <c r="F857">
        <v>5</v>
      </c>
      <c r="G857">
        <v>1</v>
      </c>
      <c r="H857">
        <v>6</v>
      </c>
      <c r="I857">
        <v>0</v>
      </c>
      <c r="J857">
        <v>0</v>
      </c>
      <c r="K857">
        <v>44</v>
      </c>
      <c r="L857" t="s">
        <v>43</v>
      </c>
      <c r="M857" t="s">
        <v>38</v>
      </c>
      <c r="N857" s="1">
        <v>45840</v>
      </c>
      <c r="O857" s="2">
        <v>0.54237268518518522</v>
      </c>
      <c r="P857" s="2">
        <v>0.91782407407407407</v>
      </c>
      <c r="Q857">
        <v>9</v>
      </c>
      <c r="R857">
        <v>9</v>
      </c>
      <c r="S857">
        <v>1.23</v>
      </c>
      <c r="T857">
        <v>0.3</v>
      </c>
      <c r="U857">
        <v>0</v>
      </c>
      <c r="V857">
        <v>0.25</v>
      </c>
      <c r="W857">
        <v>5.67</v>
      </c>
      <c r="X857">
        <v>1.51</v>
      </c>
      <c r="Y857">
        <v>0</v>
      </c>
      <c r="Z857">
        <v>0</v>
      </c>
      <c r="AA857">
        <v>0.01</v>
      </c>
      <c r="AB857">
        <v>0.02</v>
      </c>
      <c r="AC857">
        <v>9</v>
      </c>
      <c r="AD857">
        <v>13.69</v>
      </c>
      <c r="AE857">
        <v>3.37</v>
      </c>
      <c r="AF857">
        <v>0</v>
      </c>
      <c r="AG857">
        <v>2.78</v>
      </c>
      <c r="AH857">
        <v>63.04</v>
      </c>
      <c r="AI857">
        <v>16.809999999999999</v>
      </c>
      <c r="AJ857">
        <v>0</v>
      </c>
      <c r="AK857">
        <v>0</v>
      </c>
      <c r="AL857">
        <v>0.12</v>
      </c>
      <c r="AM857">
        <v>0.2</v>
      </c>
      <c r="AN857">
        <f t="shared" si="40"/>
        <v>4</v>
      </c>
      <c r="AO857" t="str">
        <f t="shared" si="41"/>
        <v>Wednesday</v>
      </c>
    </row>
    <row r="858" spans="1:41" x14ac:dyDescent="0.2">
      <c r="B858" s="1">
        <v>45840</v>
      </c>
      <c r="C858" s="1">
        <f t="shared" si="39"/>
        <v>45869</v>
      </c>
      <c r="D858">
        <v>531</v>
      </c>
      <c r="E858">
        <v>0</v>
      </c>
      <c r="F858">
        <v>0</v>
      </c>
      <c r="G858">
        <v>0</v>
      </c>
      <c r="H858">
        <v>0</v>
      </c>
      <c r="I858">
        <v>0</v>
      </c>
      <c r="J858">
        <v>0</v>
      </c>
      <c r="K858">
        <v>0</v>
      </c>
      <c r="AN858">
        <f t="shared" si="40"/>
        <v>4</v>
      </c>
      <c r="AO858" t="str">
        <f t="shared" si="41"/>
        <v>Wednesday</v>
      </c>
    </row>
    <row r="859" spans="1:41" x14ac:dyDescent="0.2">
      <c r="A859" t="s">
        <v>37</v>
      </c>
      <c r="B859" s="1">
        <v>45839</v>
      </c>
      <c r="C859" s="1">
        <f t="shared" si="39"/>
        <v>45869</v>
      </c>
      <c r="D859">
        <v>31</v>
      </c>
      <c r="E859">
        <v>79</v>
      </c>
      <c r="F859">
        <v>3</v>
      </c>
      <c r="G859">
        <v>8</v>
      </c>
      <c r="H859">
        <v>7</v>
      </c>
      <c r="I859">
        <v>0</v>
      </c>
      <c r="J859">
        <v>0</v>
      </c>
      <c r="K859">
        <v>38</v>
      </c>
      <c r="L859" t="s">
        <v>37</v>
      </c>
      <c r="M859" t="s">
        <v>38</v>
      </c>
      <c r="N859" s="1">
        <v>45839</v>
      </c>
      <c r="O859" s="2">
        <v>0.54280092592592588</v>
      </c>
      <c r="P859" s="2">
        <v>0.91699074074074072</v>
      </c>
      <c r="Q859">
        <v>8.98</v>
      </c>
      <c r="R859">
        <v>8.1199999999999992</v>
      </c>
      <c r="S859">
        <v>1.42</v>
      </c>
      <c r="T859">
        <v>0.34</v>
      </c>
      <c r="U859">
        <v>0</v>
      </c>
      <c r="V859">
        <v>0.49</v>
      </c>
      <c r="W859">
        <v>5.29</v>
      </c>
      <c r="X859">
        <v>0.56000000000000005</v>
      </c>
      <c r="Y859">
        <v>0</v>
      </c>
      <c r="Z859">
        <v>0</v>
      </c>
      <c r="AA859">
        <v>0</v>
      </c>
      <c r="AB859">
        <v>0.01</v>
      </c>
      <c r="AC859">
        <v>8.1199999999999992</v>
      </c>
      <c r="AD859">
        <v>17.52</v>
      </c>
      <c r="AE859">
        <v>4.1500000000000004</v>
      </c>
      <c r="AF859">
        <v>0</v>
      </c>
      <c r="AG859">
        <v>6.03</v>
      </c>
      <c r="AH859">
        <v>65.22</v>
      </c>
      <c r="AI859">
        <v>6.93</v>
      </c>
      <c r="AJ859">
        <v>0</v>
      </c>
      <c r="AK859">
        <v>0</v>
      </c>
      <c r="AL859">
        <v>0</v>
      </c>
      <c r="AM859">
        <v>0.15</v>
      </c>
      <c r="AN859">
        <f t="shared" si="40"/>
        <v>3</v>
      </c>
      <c r="AO859" t="str">
        <f t="shared" si="41"/>
        <v>Tuesday</v>
      </c>
    </row>
    <row r="860" spans="1:41" x14ac:dyDescent="0.2">
      <c r="A860" t="s">
        <v>52</v>
      </c>
      <c r="B860" s="1">
        <v>45839</v>
      </c>
      <c r="C860" s="1">
        <f t="shared" si="39"/>
        <v>45869</v>
      </c>
      <c r="D860">
        <v>18</v>
      </c>
      <c r="E860">
        <v>40</v>
      </c>
      <c r="F860">
        <v>6</v>
      </c>
      <c r="G860">
        <v>6</v>
      </c>
      <c r="H860">
        <v>4</v>
      </c>
      <c r="I860">
        <v>0</v>
      </c>
      <c r="J860">
        <v>0</v>
      </c>
      <c r="K860">
        <v>18</v>
      </c>
      <c r="L860" t="s">
        <v>52</v>
      </c>
      <c r="M860" t="s">
        <v>38</v>
      </c>
      <c r="N860" s="1">
        <v>45839</v>
      </c>
      <c r="O860" s="2">
        <v>0.54369212962962965</v>
      </c>
      <c r="P860" s="2">
        <v>0.91447916666666662</v>
      </c>
      <c r="Q860">
        <v>8.9</v>
      </c>
      <c r="R860">
        <v>8.14</v>
      </c>
      <c r="S860">
        <v>1</v>
      </c>
      <c r="T860">
        <v>0.77</v>
      </c>
      <c r="U860">
        <v>0</v>
      </c>
      <c r="V860">
        <v>0.96</v>
      </c>
      <c r="W860">
        <v>4.5599999999999996</v>
      </c>
      <c r="X860">
        <v>0.69</v>
      </c>
      <c r="Y860">
        <v>0</v>
      </c>
      <c r="Z860">
        <v>0</v>
      </c>
      <c r="AA860">
        <v>0.14000000000000001</v>
      </c>
      <c r="AB860">
        <v>0.02</v>
      </c>
      <c r="AC860">
        <v>8.14</v>
      </c>
      <c r="AD860">
        <v>12.33</v>
      </c>
      <c r="AE860">
        <v>9.44</v>
      </c>
      <c r="AF860">
        <v>0</v>
      </c>
      <c r="AG860">
        <v>11.74</v>
      </c>
      <c r="AH860">
        <v>56.03</v>
      </c>
      <c r="AI860">
        <v>8.4700000000000006</v>
      </c>
      <c r="AJ860">
        <v>0</v>
      </c>
      <c r="AK860">
        <v>0</v>
      </c>
      <c r="AL860">
        <v>1.7</v>
      </c>
      <c r="AM860">
        <v>0.28999999999999998</v>
      </c>
      <c r="AN860">
        <f t="shared" si="40"/>
        <v>3</v>
      </c>
      <c r="AO860" t="str">
        <f t="shared" si="41"/>
        <v>Tuesday</v>
      </c>
    </row>
    <row r="861" spans="1:41" x14ac:dyDescent="0.2">
      <c r="A861" t="s">
        <v>39</v>
      </c>
      <c r="B861" s="1">
        <v>45839</v>
      </c>
      <c r="C861" s="1">
        <f t="shared" si="39"/>
        <v>45869</v>
      </c>
      <c r="D861">
        <v>34</v>
      </c>
      <c r="E861">
        <v>89</v>
      </c>
      <c r="F861">
        <v>9</v>
      </c>
      <c r="G861">
        <v>4</v>
      </c>
      <c r="H861">
        <v>6</v>
      </c>
      <c r="I861">
        <v>0</v>
      </c>
      <c r="J861">
        <v>2</v>
      </c>
      <c r="K861">
        <v>56</v>
      </c>
      <c r="L861" t="s">
        <v>39</v>
      </c>
      <c r="M861" t="s">
        <v>38</v>
      </c>
      <c r="N861" s="1">
        <v>45839</v>
      </c>
      <c r="O861" s="2">
        <v>0.54275462962962961</v>
      </c>
      <c r="P861" s="2">
        <v>0.9167939814814815</v>
      </c>
      <c r="Q861">
        <v>8.98</v>
      </c>
      <c r="R861">
        <v>8.98</v>
      </c>
      <c r="S861">
        <v>1.67</v>
      </c>
      <c r="T861">
        <v>0.14000000000000001</v>
      </c>
      <c r="U861">
        <v>0</v>
      </c>
      <c r="V861">
        <v>0.02</v>
      </c>
      <c r="W861">
        <v>5.21</v>
      </c>
      <c r="X861">
        <v>1.42</v>
      </c>
      <c r="Y861">
        <v>0.51</v>
      </c>
      <c r="Z861">
        <v>0</v>
      </c>
      <c r="AA861">
        <v>0</v>
      </c>
      <c r="AB861">
        <v>0.01</v>
      </c>
      <c r="AC861">
        <v>8.98</v>
      </c>
      <c r="AD861">
        <v>18.649999999999999</v>
      </c>
      <c r="AE861">
        <v>1.57</v>
      </c>
      <c r="AF861">
        <v>0</v>
      </c>
      <c r="AG861">
        <v>0.24</v>
      </c>
      <c r="AH861">
        <v>58.06</v>
      </c>
      <c r="AI861">
        <v>15.77</v>
      </c>
      <c r="AJ861">
        <v>5.65</v>
      </c>
      <c r="AK861">
        <v>0</v>
      </c>
      <c r="AL861">
        <v>0</v>
      </c>
      <c r="AM861">
        <v>0.06</v>
      </c>
      <c r="AN861">
        <f t="shared" si="40"/>
        <v>3</v>
      </c>
      <c r="AO861" t="str">
        <f t="shared" si="41"/>
        <v>Tuesday</v>
      </c>
    </row>
    <row r="862" spans="1:41" x14ac:dyDescent="0.2">
      <c r="A862" t="s">
        <v>40</v>
      </c>
      <c r="B862" s="1">
        <v>45839</v>
      </c>
      <c r="C862" s="1">
        <f t="shared" si="39"/>
        <v>45869</v>
      </c>
      <c r="D862">
        <v>1</v>
      </c>
      <c r="E862">
        <v>1</v>
      </c>
      <c r="F862">
        <v>1</v>
      </c>
      <c r="G862">
        <v>0</v>
      </c>
      <c r="H862">
        <v>0</v>
      </c>
      <c r="I862">
        <v>0</v>
      </c>
      <c r="J862">
        <v>0</v>
      </c>
      <c r="K862">
        <v>0</v>
      </c>
      <c r="AN862">
        <f t="shared" si="40"/>
        <v>3</v>
      </c>
      <c r="AO862" t="str">
        <f t="shared" si="41"/>
        <v>Tuesday</v>
      </c>
    </row>
    <row r="863" spans="1:41" x14ac:dyDescent="0.2">
      <c r="A863" t="s">
        <v>43</v>
      </c>
      <c r="B863" s="1">
        <v>45839</v>
      </c>
      <c r="C863" s="1">
        <f t="shared" si="39"/>
        <v>45869</v>
      </c>
      <c r="D863">
        <v>33</v>
      </c>
      <c r="E863">
        <v>87</v>
      </c>
      <c r="F863">
        <v>3</v>
      </c>
      <c r="G863">
        <v>11</v>
      </c>
      <c r="H863">
        <v>4</v>
      </c>
      <c r="I863">
        <v>0</v>
      </c>
      <c r="J863">
        <v>3</v>
      </c>
      <c r="K863">
        <v>50</v>
      </c>
      <c r="L863" t="s">
        <v>43</v>
      </c>
      <c r="M863" t="s">
        <v>38</v>
      </c>
      <c r="N863" s="1">
        <v>45839</v>
      </c>
      <c r="O863" s="2">
        <v>0.54152777777777783</v>
      </c>
      <c r="P863" s="2">
        <v>0.91861111111111116</v>
      </c>
      <c r="Q863">
        <v>9.0500000000000007</v>
      </c>
      <c r="R863">
        <v>9.0500000000000007</v>
      </c>
      <c r="S863">
        <v>1.1499999999999999</v>
      </c>
      <c r="T863">
        <v>0.2</v>
      </c>
      <c r="U863">
        <v>0</v>
      </c>
      <c r="V863">
        <v>0.46</v>
      </c>
      <c r="W863">
        <v>5.2</v>
      </c>
      <c r="X863">
        <v>1.5</v>
      </c>
      <c r="Y863">
        <v>0.53</v>
      </c>
      <c r="Z863">
        <v>0</v>
      </c>
      <c r="AA863">
        <v>0</v>
      </c>
      <c r="AB863">
        <v>0</v>
      </c>
      <c r="AC863">
        <v>9.0500000000000007</v>
      </c>
      <c r="AD863">
        <v>12.75</v>
      </c>
      <c r="AE863">
        <v>2.19</v>
      </c>
      <c r="AF863">
        <v>0</v>
      </c>
      <c r="AG863">
        <v>5.13</v>
      </c>
      <c r="AH863">
        <v>57.47</v>
      </c>
      <c r="AI863">
        <v>16.55</v>
      </c>
      <c r="AJ863">
        <v>5.87</v>
      </c>
      <c r="AK863">
        <v>0</v>
      </c>
      <c r="AL863">
        <v>0</v>
      </c>
      <c r="AM863">
        <v>0.05</v>
      </c>
      <c r="AN863">
        <f t="shared" si="40"/>
        <v>3</v>
      </c>
      <c r="AO863" t="str">
        <f t="shared" si="41"/>
        <v>Tuesday</v>
      </c>
    </row>
    <row r="864" spans="1:41" x14ac:dyDescent="0.2">
      <c r="B864" s="1">
        <v>45839</v>
      </c>
      <c r="C864" s="1">
        <f t="shared" si="39"/>
        <v>45869</v>
      </c>
      <c r="D864">
        <v>558</v>
      </c>
      <c r="E864">
        <v>0</v>
      </c>
      <c r="F864">
        <v>0</v>
      </c>
      <c r="G864">
        <v>0</v>
      </c>
      <c r="H864">
        <v>0</v>
      </c>
      <c r="I864">
        <v>0</v>
      </c>
      <c r="J864">
        <v>0</v>
      </c>
      <c r="K864">
        <v>0</v>
      </c>
      <c r="AN864">
        <f t="shared" si="40"/>
        <v>3</v>
      </c>
      <c r="AO864" t="str">
        <f t="shared" si="41"/>
        <v>Tuesday</v>
      </c>
    </row>
    <row r="865" spans="1:41" x14ac:dyDescent="0.2">
      <c r="A865" t="s">
        <v>37</v>
      </c>
      <c r="B865" s="1">
        <v>45838</v>
      </c>
      <c r="C865" s="1">
        <f t="shared" si="39"/>
        <v>45838</v>
      </c>
      <c r="D865">
        <v>23</v>
      </c>
      <c r="E865">
        <v>66</v>
      </c>
      <c r="F865">
        <v>13</v>
      </c>
      <c r="G865">
        <v>5</v>
      </c>
      <c r="H865">
        <v>3</v>
      </c>
      <c r="I865">
        <v>0</v>
      </c>
      <c r="J865">
        <v>0</v>
      </c>
      <c r="K865">
        <v>33</v>
      </c>
      <c r="L865" t="s">
        <v>37</v>
      </c>
      <c r="M865" t="s">
        <v>38</v>
      </c>
      <c r="N865" s="1">
        <v>45838</v>
      </c>
      <c r="O865" s="2">
        <v>0.54598379629629634</v>
      </c>
      <c r="P865" s="2">
        <v>0.91672453703703705</v>
      </c>
      <c r="Q865">
        <v>8.9</v>
      </c>
      <c r="R865">
        <v>7.71</v>
      </c>
      <c r="S865">
        <v>1.57</v>
      </c>
      <c r="T865">
        <v>0.87</v>
      </c>
      <c r="U865">
        <v>0</v>
      </c>
      <c r="V865">
        <v>0.26</v>
      </c>
      <c r="W865">
        <v>4.2</v>
      </c>
      <c r="X865">
        <v>0.28999999999999998</v>
      </c>
      <c r="Y865">
        <v>0.24</v>
      </c>
      <c r="Z865">
        <v>0</v>
      </c>
      <c r="AA865">
        <v>0</v>
      </c>
      <c r="AB865">
        <v>0.27</v>
      </c>
      <c r="AC865">
        <v>7.71</v>
      </c>
      <c r="AD865">
        <v>20.41</v>
      </c>
      <c r="AE865">
        <v>11.3</v>
      </c>
      <c r="AF865">
        <v>0</v>
      </c>
      <c r="AG865">
        <v>3.41</v>
      </c>
      <c r="AH865">
        <v>54.45</v>
      </c>
      <c r="AI865">
        <v>3.76</v>
      </c>
      <c r="AJ865">
        <v>3.11</v>
      </c>
      <c r="AK865">
        <v>0</v>
      </c>
      <c r="AL865">
        <v>0</v>
      </c>
      <c r="AM865">
        <v>3.56</v>
      </c>
      <c r="AN865">
        <f t="shared" si="40"/>
        <v>2</v>
      </c>
      <c r="AO865" t="str">
        <f t="shared" si="41"/>
        <v>Monday</v>
      </c>
    </row>
    <row r="866" spans="1:41" x14ac:dyDescent="0.2">
      <c r="A866" t="s">
        <v>52</v>
      </c>
      <c r="B866" s="1">
        <v>45838</v>
      </c>
      <c r="C866" s="1">
        <f t="shared" si="39"/>
        <v>45838</v>
      </c>
      <c r="D866">
        <v>22</v>
      </c>
      <c r="E866">
        <v>48</v>
      </c>
      <c r="F866">
        <v>4</v>
      </c>
      <c r="G866">
        <v>4</v>
      </c>
      <c r="H866">
        <v>0</v>
      </c>
      <c r="I866">
        <v>0</v>
      </c>
      <c r="J866">
        <v>0</v>
      </c>
      <c r="K866">
        <v>29</v>
      </c>
      <c r="L866" t="s">
        <v>52</v>
      </c>
      <c r="M866" t="s">
        <v>38</v>
      </c>
      <c r="N866" s="1">
        <v>45838</v>
      </c>
      <c r="O866" s="2">
        <v>0.54292824074074075</v>
      </c>
      <c r="P866" s="2">
        <v>0.91460648148148149</v>
      </c>
      <c r="Q866">
        <v>8.93</v>
      </c>
      <c r="R866">
        <v>8.11</v>
      </c>
      <c r="S866">
        <v>1.46</v>
      </c>
      <c r="T866">
        <v>0.28999999999999998</v>
      </c>
      <c r="U866">
        <v>0</v>
      </c>
      <c r="V866">
        <v>0.87</v>
      </c>
      <c r="W866">
        <v>4.26</v>
      </c>
      <c r="X866">
        <v>0.67</v>
      </c>
      <c r="Y866">
        <v>0.53</v>
      </c>
      <c r="Z866">
        <v>0</v>
      </c>
      <c r="AA866">
        <v>0</v>
      </c>
      <c r="AB866">
        <v>0.03</v>
      </c>
      <c r="AC866">
        <v>8.11</v>
      </c>
      <c r="AD866">
        <v>17.96</v>
      </c>
      <c r="AE866">
        <v>3.58</v>
      </c>
      <c r="AF866">
        <v>0</v>
      </c>
      <c r="AG866">
        <v>10.72</v>
      </c>
      <c r="AH866">
        <v>52.52</v>
      </c>
      <c r="AI866">
        <v>8.2899999999999991</v>
      </c>
      <c r="AJ866">
        <v>6.52</v>
      </c>
      <c r="AK866">
        <v>0</v>
      </c>
      <c r="AL866">
        <v>0</v>
      </c>
      <c r="AM866">
        <v>0.41</v>
      </c>
      <c r="AN866">
        <f t="shared" si="40"/>
        <v>2</v>
      </c>
      <c r="AO866" t="str">
        <f t="shared" si="41"/>
        <v>Monday</v>
      </c>
    </row>
    <row r="867" spans="1:41" x14ac:dyDescent="0.2">
      <c r="A867" t="s">
        <v>41</v>
      </c>
      <c r="B867" s="1">
        <v>45838</v>
      </c>
      <c r="C867" s="1">
        <f t="shared" si="39"/>
        <v>45838</v>
      </c>
      <c r="D867">
        <v>21</v>
      </c>
      <c r="E867">
        <v>49</v>
      </c>
      <c r="F867">
        <v>1</v>
      </c>
      <c r="G867">
        <v>6</v>
      </c>
      <c r="H867">
        <v>2</v>
      </c>
      <c r="I867">
        <v>3</v>
      </c>
      <c r="J867">
        <v>0</v>
      </c>
      <c r="K867">
        <v>33</v>
      </c>
      <c r="L867" t="s">
        <v>41</v>
      </c>
      <c r="M867" t="s">
        <v>38</v>
      </c>
      <c r="N867" s="1">
        <v>45838</v>
      </c>
      <c r="O867" s="2">
        <v>0.54266203703703708</v>
      </c>
      <c r="P867" s="2">
        <v>0.9160300925925926</v>
      </c>
      <c r="Q867">
        <v>8.9700000000000006</v>
      </c>
      <c r="R867">
        <v>8.93</v>
      </c>
      <c r="S867">
        <v>1.71</v>
      </c>
      <c r="T867">
        <v>0.35</v>
      </c>
      <c r="U867">
        <v>0</v>
      </c>
      <c r="V867">
        <v>0.19</v>
      </c>
      <c r="W867">
        <v>5.2</v>
      </c>
      <c r="X867">
        <v>1.46</v>
      </c>
      <c r="Y867">
        <v>0</v>
      </c>
      <c r="Z867">
        <v>0</v>
      </c>
      <c r="AA867">
        <v>0.01</v>
      </c>
      <c r="AB867">
        <v>0.02</v>
      </c>
      <c r="AC867">
        <v>8.93</v>
      </c>
      <c r="AD867">
        <v>19.100000000000001</v>
      </c>
      <c r="AE867">
        <v>3.89</v>
      </c>
      <c r="AF867">
        <v>0</v>
      </c>
      <c r="AG867">
        <v>2.08</v>
      </c>
      <c r="AH867">
        <v>58.24</v>
      </c>
      <c r="AI867">
        <v>16.36</v>
      </c>
      <c r="AJ867">
        <v>0</v>
      </c>
      <c r="AK867">
        <v>0.01</v>
      </c>
      <c r="AL867">
        <v>0.06</v>
      </c>
      <c r="AM867">
        <v>0.26</v>
      </c>
      <c r="AN867">
        <f t="shared" si="40"/>
        <v>2</v>
      </c>
      <c r="AO867" t="str">
        <f t="shared" si="41"/>
        <v>Monday</v>
      </c>
    </row>
    <row r="868" spans="1:41" x14ac:dyDescent="0.2">
      <c r="A868" t="s">
        <v>43</v>
      </c>
      <c r="B868" s="1">
        <v>45838</v>
      </c>
      <c r="C868" s="1">
        <f t="shared" si="39"/>
        <v>45838</v>
      </c>
      <c r="D868">
        <v>25</v>
      </c>
      <c r="E868">
        <v>52</v>
      </c>
      <c r="F868">
        <v>5</v>
      </c>
      <c r="G868">
        <v>8</v>
      </c>
      <c r="H868">
        <v>1</v>
      </c>
      <c r="I868">
        <v>0</v>
      </c>
      <c r="J868">
        <v>0</v>
      </c>
      <c r="K868">
        <v>28</v>
      </c>
      <c r="L868" t="s">
        <v>43</v>
      </c>
      <c r="M868" t="s">
        <v>38</v>
      </c>
      <c r="N868" s="1">
        <v>45838</v>
      </c>
      <c r="O868" s="2">
        <v>0.54144675925925922</v>
      </c>
      <c r="P868" s="2">
        <v>0.91738425925925926</v>
      </c>
      <c r="Q868">
        <v>9.0299999999999994</v>
      </c>
      <c r="R868">
        <v>9.02</v>
      </c>
      <c r="S868">
        <v>2.1800000000000002</v>
      </c>
      <c r="T868">
        <v>0.25</v>
      </c>
      <c r="U868">
        <v>0</v>
      </c>
      <c r="V868">
        <v>0.48</v>
      </c>
      <c r="W868">
        <v>4.8099999999999996</v>
      </c>
      <c r="X868">
        <v>1.3</v>
      </c>
      <c r="Y868">
        <v>0</v>
      </c>
      <c r="Z868">
        <v>0</v>
      </c>
      <c r="AA868">
        <v>0</v>
      </c>
      <c r="AB868">
        <v>0</v>
      </c>
      <c r="AC868">
        <v>9.02</v>
      </c>
      <c r="AD868">
        <v>24.15</v>
      </c>
      <c r="AE868">
        <v>2.82</v>
      </c>
      <c r="AF868">
        <v>0</v>
      </c>
      <c r="AG868">
        <v>5.32</v>
      </c>
      <c r="AH868">
        <v>53.27</v>
      </c>
      <c r="AI868">
        <v>14.39</v>
      </c>
      <c r="AJ868">
        <v>0</v>
      </c>
      <c r="AK868">
        <v>0</v>
      </c>
      <c r="AL868">
        <v>0</v>
      </c>
      <c r="AM868">
        <v>0.04</v>
      </c>
      <c r="AN868">
        <f t="shared" si="40"/>
        <v>2</v>
      </c>
      <c r="AO868" t="str">
        <f t="shared" si="41"/>
        <v>Monday</v>
      </c>
    </row>
    <row r="869" spans="1:41" x14ac:dyDescent="0.2">
      <c r="B869" s="1">
        <v>45838</v>
      </c>
      <c r="C869" s="1">
        <f t="shared" si="39"/>
        <v>45838</v>
      </c>
      <c r="D869">
        <v>512</v>
      </c>
      <c r="E869">
        <v>0</v>
      </c>
      <c r="F869">
        <v>0</v>
      </c>
      <c r="G869">
        <v>0</v>
      </c>
      <c r="H869">
        <v>0</v>
      </c>
      <c r="I869">
        <v>0</v>
      </c>
      <c r="J869">
        <v>0</v>
      </c>
      <c r="K869">
        <v>0</v>
      </c>
      <c r="AN869">
        <f t="shared" si="40"/>
        <v>2</v>
      </c>
      <c r="AO869" t="str">
        <f t="shared" si="41"/>
        <v>Monday</v>
      </c>
    </row>
    <row r="870" spans="1:41" x14ac:dyDescent="0.2">
      <c r="A870" t="s">
        <v>37</v>
      </c>
      <c r="B870" s="1">
        <v>45835</v>
      </c>
      <c r="C870" s="1">
        <f t="shared" si="39"/>
        <v>45838</v>
      </c>
      <c r="D870">
        <v>23</v>
      </c>
      <c r="E870">
        <v>59</v>
      </c>
      <c r="F870">
        <v>4</v>
      </c>
      <c r="G870">
        <v>0</v>
      </c>
      <c r="H870">
        <v>4</v>
      </c>
      <c r="I870">
        <v>0</v>
      </c>
      <c r="J870">
        <v>2</v>
      </c>
      <c r="K870">
        <v>40</v>
      </c>
      <c r="L870" t="s">
        <v>37</v>
      </c>
      <c r="M870" t="s">
        <v>38</v>
      </c>
      <c r="N870" s="1">
        <v>45835</v>
      </c>
      <c r="O870" s="2">
        <v>0.54218750000000004</v>
      </c>
      <c r="P870" s="2">
        <v>0.9167939814814815</v>
      </c>
      <c r="Q870">
        <v>9</v>
      </c>
      <c r="R870">
        <v>8.17</v>
      </c>
      <c r="S870">
        <v>0.76</v>
      </c>
      <c r="T870">
        <v>0.24</v>
      </c>
      <c r="U870">
        <v>0</v>
      </c>
      <c r="V870">
        <v>0.15</v>
      </c>
      <c r="W870">
        <v>6.22</v>
      </c>
      <c r="X870">
        <v>0.35</v>
      </c>
      <c r="Y870">
        <v>0.44</v>
      </c>
      <c r="Z870">
        <v>0</v>
      </c>
      <c r="AA870">
        <v>0</v>
      </c>
      <c r="AB870">
        <v>0.01</v>
      </c>
      <c r="AC870">
        <v>8.17</v>
      </c>
      <c r="AD870">
        <v>9.27</v>
      </c>
      <c r="AE870">
        <v>2.98</v>
      </c>
      <c r="AF870">
        <v>0</v>
      </c>
      <c r="AG870">
        <v>1.8</v>
      </c>
      <c r="AH870">
        <v>76.040000000000006</v>
      </c>
      <c r="AI870">
        <v>4.34</v>
      </c>
      <c r="AJ870">
        <v>5.43</v>
      </c>
      <c r="AK870">
        <v>0</v>
      </c>
      <c r="AL870">
        <v>0</v>
      </c>
      <c r="AM870">
        <v>0.15</v>
      </c>
      <c r="AN870">
        <f t="shared" si="40"/>
        <v>6</v>
      </c>
      <c r="AO870" t="str">
        <f t="shared" si="41"/>
        <v>Friday</v>
      </c>
    </row>
    <row r="871" spans="1:41" x14ac:dyDescent="0.2">
      <c r="A871" t="s">
        <v>52</v>
      </c>
      <c r="B871" s="1">
        <v>45835</v>
      </c>
      <c r="C871" s="1">
        <f t="shared" si="39"/>
        <v>45838</v>
      </c>
      <c r="D871">
        <v>15</v>
      </c>
      <c r="E871">
        <v>33</v>
      </c>
      <c r="F871">
        <v>3</v>
      </c>
      <c r="G871">
        <v>1</v>
      </c>
      <c r="H871">
        <v>1</v>
      </c>
      <c r="I871">
        <v>0</v>
      </c>
      <c r="J871">
        <v>0</v>
      </c>
      <c r="K871">
        <v>22</v>
      </c>
      <c r="L871" t="s">
        <v>52</v>
      </c>
      <c r="M871" t="s">
        <v>38</v>
      </c>
      <c r="N871" s="1">
        <v>45835</v>
      </c>
      <c r="O871" s="2">
        <v>0.5427777777777778</v>
      </c>
      <c r="P871" s="2">
        <v>0.91682870370370373</v>
      </c>
      <c r="Q871">
        <v>8.98</v>
      </c>
      <c r="R871">
        <v>8.1199999999999992</v>
      </c>
      <c r="S871">
        <v>0.45</v>
      </c>
      <c r="T871">
        <v>0.72</v>
      </c>
      <c r="U871">
        <v>0</v>
      </c>
      <c r="V871">
        <v>0.56000000000000005</v>
      </c>
      <c r="W871">
        <v>5.71</v>
      </c>
      <c r="X871">
        <v>0.64</v>
      </c>
      <c r="Y871">
        <v>0</v>
      </c>
      <c r="Z871">
        <v>0</v>
      </c>
      <c r="AA871">
        <v>0.01</v>
      </c>
      <c r="AB871">
        <v>0.01</v>
      </c>
      <c r="AC871">
        <v>8.1199999999999992</v>
      </c>
      <c r="AD871">
        <v>5.56</v>
      </c>
      <c r="AE871">
        <v>8.93</v>
      </c>
      <c r="AF871">
        <v>0</v>
      </c>
      <c r="AG871">
        <v>6.88</v>
      </c>
      <c r="AH871">
        <v>70.39</v>
      </c>
      <c r="AI871">
        <v>7.93</v>
      </c>
      <c r="AJ871">
        <v>0</v>
      </c>
      <c r="AK871">
        <v>0</v>
      </c>
      <c r="AL871">
        <v>0.16</v>
      </c>
      <c r="AM871">
        <v>0.16</v>
      </c>
      <c r="AN871">
        <f t="shared" si="40"/>
        <v>6</v>
      </c>
      <c r="AO871" t="str">
        <f t="shared" si="41"/>
        <v>Friday</v>
      </c>
    </row>
    <row r="872" spans="1:41" x14ac:dyDescent="0.2">
      <c r="A872" t="s">
        <v>41</v>
      </c>
      <c r="B872" s="1">
        <v>45835</v>
      </c>
      <c r="C872" s="1">
        <f t="shared" si="39"/>
        <v>45838</v>
      </c>
      <c r="D872">
        <v>21</v>
      </c>
      <c r="E872">
        <v>48</v>
      </c>
      <c r="F872">
        <v>5</v>
      </c>
      <c r="G872">
        <v>1</v>
      </c>
      <c r="H872">
        <v>3</v>
      </c>
      <c r="I872">
        <v>0</v>
      </c>
      <c r="J872">
        <v>1</v>
      </c>
      <c r="K872">
        <v>27</v>
      </c>
      <c r="L872" t="s">
        <v>41</v>
      </c>
      <c r="M872" t="s">
        <v>38</v>
      </c>
      <c r="N872" s="1">
        <v>45835</v>
      </c>
      <c r="O872" s="2">
        <v>0.54233796296296299</v>
      </c>
      <c r="P872" s="2">
        <v>0.91625000000000001</v>
      </c>
      <c r="Q872">
        <v>8.98</v>
      </c>
      <c r="R872">
        <v>8.9499999999999993</v>
      </c>
      <c r="S872">
        <v>1.35</v>
      </c>
      <c r="T872">
        <v>0.06</v>
      </c>
      <c r="U872">
        <v>0</v>
      </c>
      <c r="V872">
        <v>0.32</v>
      </c>
      <c r="W872">
        <v>5.76</v>
      </c>
      <c r="X872">
        <v>1.45</v>
      </c>
      <c r="Y872">
        <v>0</v>
      </c>
      <c r="Z872">
        <v>0</v>
      </c>
      <c r="AA872">
        <v>0</v>
      </c>
      <c r="AB872">
        <v>0.01</v>
      </c>
      <c r="AC872">
        <v>8.9499999999999993</v>
      </c>
      <c r="AD872">
        <v>15.03</v>
      </c>
      <c r="AE872">
        <v>0.7</v>
      </c>
      <c r="AF872">
        <v>0</v>
      </c>
      <c r="AG872">
        <v>3.57</v>
      </c>
      <c r="AH872">
        <v>64.36</v>
      </c>
      <c r="AI872">
        <v>16.239999999999998</v>
      </c>
      <c r="AJ872">
        <v>0</v>
      </c>
      <c r="AK872">
        <v>0</v>
      </c>
      <c r="AL872">
        <v>0</v>
      </c>
      <c r="AM872">
        <v>0.09</v>
      </c>
      <c r="AN872">
        <f t="shared" si="40"/>
        <v>6</v>
      </c>
      <c r="AO872" t="str">
        <f t="shared" si="41"/>
        <v>Friday</v>
      </c>
    </row>
    <row r="873" spans="1:41" x14ac:dyDescent="0.2">
      <c r="A873" t="s">
        <v>43</v>
      </c>
      <c r="B873" s="1">
        <v>45835</v>
      </c>
      <c r="C873" s="1">
        <f t="shared" si="39"/>
        <v>45838</v>
      </c>
      <c r="D873">
        <v>26</v>
      </c>
      <c r="E873">
        <v>73</v>
      </c>
      <c r="F873">
        <v>2</v>
      </c>
      <c r="G873">
        <v>1</v>
      </c>
      <c r="H873">
        <v>8</v>
      </c>
      <c r="I873">
        <v>0</v>
      </c>
      <c r="J873">
        <v>0</v>
      </c>
      <c r="K873">
        <v>38</v>
      </c>
      <c r="L873" t="s">
        <v>43</v>
      </c>
      <c r="M873" t="s">
        <v>38</v>
      </c>
      <c r="N873" s="1">
        <v>45835</v>
      </c>
      <c r="O873" s="2">
        <v>0.54177083333333331</v>
      </c>
      <c r="P873" s="2">
        <v>0.91788194444444449</v>
      </c>
      <c r="Q873">
        <v>9.02</v>
      </c>
      <c r="R873">
        <v>9</v>
      </c>
      <c r="S873">
        <v>0.87</v>
      </c>
      <c r="T873">
        <v>0.35</v>
      </c>
      <c r="U873">
        <v>0</v>
      </c>
      <c r="V873">
        <v>0.41</v>
      </c>
      <c r="W873">
        <v>5.07</v>
      </c>
      <c r="X873">
        <v>1.98</v>
      </c>
      <c r="Y873">
        <v>0.23</v>
      </c>
      <c r="Z873">
        <v>0</v>
      </c>
      <c r="AA873">
        <v>0.08</v>
      </c>
      <c r="AB873">
        <v>0.01</v>
      </c>
      <c r="AC873">
        <v>9</v>
      </c>
      <c r="AD873">
        <v>9.61</v>
      </c>
      <c r="AE873">
        <v>3.89</v>
      </c>
      <c r="AF873">
        <v>0</v>
      </c>
      <c r="AG873">
        <v>4.5599999999999996</v>
      </c>
      <c r="AH873">
        <v>56.33</v>
      </c>
      <c r="AI873">
        <v>22.03</v>
      </c>
      <c r="AJ873">
        <v>2.6</v>
      </c>
      <c r="AK873">
        <v>0</v>
      </c>
      <c r="AL873">
        <v>0.84</v>
      </c>
      <c r="AM873">
        <v>0.15</v>
      </c>
      <c r="AN873">
        <f t="shared" si="40"/>
        <v>6</v>
      </c>
      <c r="AO873" t="str">
        <f t="shared" si="41"/>
        <v>Friday</v>
      </c>
    </row>
    <row r="874" spans="1:41" x14ac:dyDescent="0.2">
      <c r="B874" s="1">
        <v>45835</v>
      </c>
      <c r="C874" s="1">
        <f t="shared" si="39"/>
        <v>45838</v>
      </c>
      <c r="D874">
        <v>524</v>
      </c>
      <c r="E874">
        <v>0</v>
      </c>
      <c r="F874">
        <v>0</v>
      </c>
      <c r="G874">
        <v>0</v>
      </c>
      <c r="H874">
        <v>0</v>
      </c>
      <c r="I874">
        <v>0</v>
      </c>
      <c r="J874">
        <v>0</v>
      </c>
      <c r="K874">
        <v>0</v>
      </c>
      <c r="AN874">
        <f t="shared" si="40"/>
        <v>6</v>
      </c>
      <c r="AO874" t="str">
        <f t="shared" si="41"/>
        <v>Friday</v>
      </c>
    </row>
    <row r="875" spans="1:41" x14ac:dyDescent="0.2">
      <c r="A875" t="s">
        <v>37</v>
      </c>
      <c r="B875" s="1">
        <v>45834</v>
      </c>
      <c r="C875" s="1">
        <f t="shared" si="39"/>
        <v>45838</v>
      </c>
      <c r="D875">
        <v>23</v>
      </c>
      <c r="E875">
        <v>57</v>
      </c>
      <c r="F875">
        <v>0</v>
      </c>
      <c r="G875">
        <v>8</v>
      </c>
      <c r="H875">
        <v>6</v>
      </c>
      <c r="I875">
        <v>0</v>
      </c>
      <c r="J875">
        <v>0</v>
      </c>
      <c r="K875">
        <v>28</v>
      </c>
      <c r="L875" t="s">
        <v>37</v>
      </c>
      <c r="M875" t="s">
        <v>38</v>
      </c>
      <c r="N875" s="1">
        <v>45834</v>
      </c>
      <c r="O875" s="2">
        <v>0.54207175925925921</v>
      </c>
      <c r="P875" s="2">
        <v>0.91737268518518522</v>
      </c>
      <c r="Q875">
        <v>9.02</v>
      </c>
      <c r="R875">
        <v>8.2100000000000009</v>
      </c>
      <c r="S875">
        <v>1.21</v>
      </c>
      <c r="T875">
        <v>0.19</v>
      </c>
      <c r="U875">
        <v>0</v>
      </c>
      <c r="V875">
        <v>0.17</v>
      </c>
      <c r="W875">
        <v>4.76</v>
      </c>
      <c r="X875">
        <v>0.63</v>
      </c>
      <c r="Y875">
        <v>1.22</v>
      </c>
      <c r="Z875">
        <v>0</v>
      </c>
      <c r="AA875">
        <v>0</v>
      </c>
      <c r="AB875">
        <v>0.03</v>
      </c>
      <c r="AC875">
        <v>8.2100000000000009</v>
      </c>
      <c r="AD875">
        <v>14.78</v>
      </c>
      <c r="AE875">
        <v>2.33</v>
      </c>
      <c r="AF875">
        <v>0</v>
      </c>
      <c r="AG875">
        <v>2.0099999999999998</v>
      </c>
      <c r="AH875">
        <v>57.96</v>
      </c>
      <c r="AI875">
        <v>7.68</v>
      </c>
      <c r="AJ875">
        <v>14.93</v>
      </c>
      <c r="AK875">
        <v>0</v>
      </c>
      <c r="AL875">
        <v>0</v>
      </c>
      <c r="AM875">
        <v>0.31</v>
      </c>
      <c r="AN875">
        <f t="shared" si="40"/>
        <v>5</v>
      </c>
      <c r="AO875" t="str">
        <f t="shared" si="41"/>
        <v>Thursday</v>
      </c>
    </row>
    <row r="876" spans="1:41" x14ac:dyDescent="0.2">
      <c r="A876" t="s">
        <v>52</v>
      </c>
      <c r="B876" s="1">
        <v>45834</v>
      </c>
      <c r="C876" s="1">
        <f t="shared" si="39"/>
        <v>45838</v>
      </c>
      <c r="D876">
        <v>20</v>
      </c>
      <c r="E876">
        <v>47</v>
      </c>
      <c r="F876">
        <v>5</v>
      </c>
      <c r="G876">
        <v>6</v>
      </c>
      <c r="H876">
        <v>2</v>
      </c>
      <c r="I876">
        <v>0</v>
      </c>
      <c r="J876">
        <v>4</v>
      </c>
      <c r="K876">
        <v>24</v>
      </c>
      <c r="L876" t="s">
        <v>52</v>
      </c>
      <c r="M876" t="s">
        <v>38</v>
      </c>
      <c r="N876" s="1">
        <v>45834</v>
      </c>
      <c r="O876" s="2">
        <v>0.54168981481481482</v>
      </c>
      <c r="P876" s="2">
        <v>0.91704861111111113</v>
      </c>
      <c r="Q876">
        <v>9</v>
      </c>
      <c r="R876">
        <v>8.1199999999999992</v>
      </c>
      <c r="S876">
        <v>1.1499999999999999</v>
      </c>
      <c r="T876">
        <v>0.18</v>
      </c>
      <c r="U876">
        <v>0</v>
      </c>
      <c r="V876">
        <v>0.61</v>
      </c>
      <c r="W876">
        <v>4.28</v>
      </c>
      <c r="X876">
        <v>0.6</v>
      </c>
      <c r="Y876">
        <v>1.29</v>
      </c>
      <c r="Z876">
        <v>0</v>
      </c>
      <c r="AA876">
        <v>0</v>
      </c>
      <c r="AB876">
        <v>0.01</v>
      </c>
      <c r="AC876">
        <v>8.1199999999999992</v>
      </c>
      <c r="AD876">
        <v>14.12</v>
      </c>
      <c r="AE876">
        <v>2.19</v>
      </c>
      <c r="AF876">
        <v>0</v>
      </c>
      <c r="AG876">
        <v>7.56</v>
      </c>
      <c r="AH876">
        <v>52.73</v>
      </c>
      <c r="AI876">
        <v>7.39</v>
      </c>
      <c r="AJ876">
        <v>15.9</v>
      </c>
      <c r="AK876">
        <v>0</v>
      </c>
      <c r="AL876">
        <v>0</v>
      </c>
      <c r="AM876">
        <v>0.11</v>
      </c>
      <c r="AN876">
        <f t="shared" si="40"/>
        <v>5</v>
      </c>
      <c r="AO876" t="str">
        <f t="shared" si="41"/>
        <v>Thursday</v>
      </c>
    </row>
    <row r="877" spans="1:41" x14ac:dyDescent="0.2">
      <c r="A877" t="s">
        <v>39</v>
      </c>
      <c r="B877" s="1">
        <v>45834</v>
      </c>
      <c r="C877" s="1">
        <f t="shared" si="39"/>
        <v>45838</v>
      </c>
      <c r="D877">
        <v>11</v>
      </c>
      <c r="E877">
        <v>27</v>
      </c>
      <c r="F877">
        <v>0</v>
      </c>
      <c r="G877">
        <v>2</v>
      </c>
      <c r="H877">
        <v>3</v>
      </c>
      <c r="I877">
        <v>2</v>
      </c>
      <c r="J877">
        <v>0</v>
      </c>
      <c r="K877">
        <v>11</v>
      </c>
      <c r="L877" t="s">
        <v>39</v>
      </c>
      <c r="M877" t="s">
        <v>38</v>
      </c>
      <c r="N877" s="1">
        <v>45834</v>
      </c>
      <c r="O877" s="2">
        <v>0.54188657407407403</v>
      </c>
      <c r="P877" s="2">
        <v>0.70837962962962964</v>
      </c>
      <c r="Q877">
        <v>4</v>
      </c>
      <c r="R877">
        <v>4</v>
      </c>
      <c r="S877">
        <v>0.7</v>
      </c>
      <c r="T877">
        <v>0.18</v>
      </c>
      <c r="U877">
        <v>0</v>
      </c>
      <c r="V877">
        <v>0.02</v>
      </c>
      <c r="W877">
        <v>1.65</v>
      </c>
      <c r="X877">
        <v>0.23</v>
      </c>
      <c r="Y877">
        <v>1.22</v>
      </c>
      <c r="Z877">
        <v>0</v>
      </c>
      <c r="AA877">
        <v>0</v>
      </c>
      <c r="AB877">
        <v>0</v>
      </c>
      <c r="AC877">
        <v>4</v>
      </c>
      <c r="AD877">
        <v>17.63</v>
      </c>
      <c r="AE877">
        <v>4.46</v>
      </c>
      <c r="AF877">
        <v>0</v>
      </c>
      <c r="AG877">
        <v>0.38</v>
      </c>
      <c r="AH877">
        <v>41.23</v>
      </c>
      <c r="AI877">
        <v>5.69</v>
      </c>
      <c r="AJ877">
        <v>30.5</v>
      </c>
      <c r="AK877">
        <v>0</v>
      </c>
      <c r="AL877">
        <v>0</v>
      </c>
      <c r="AM877">
        <v>0.12</v>
      </c>
      <c r="AN877">
        <f t="shared" si="40"/>
        <v>5</v>
      </c>
      <c r="AO877" t="str">
        <f t="shared" si="41"/>
        <v>Thursday</v>
      </c>
    </row>
    <row r="878" spans="1:41" x14ac:dyDescent="0.2">
      <c r="A878" t="s">
        <v>41</v>
      </c>
      <c r="B878" s="1">
        <v>45834</v>
      </c>
      <c r="C878" s="1">
        <f t="shared" si="39"/>
        <v>45838</v>
      </c>
      <c r="D878">
        <v>17</v>
      </c>
      <c r="E878">
        <v>30</v>
      </c>
      <c r="F878">
        <v>0</v>
      </c>
      <c r="G878">
        <v>6</v>
      </c>
      <c r="H878">
        <v>2</v>
      </c>
      <c r="I878">
        <v>0</v>
      </c>
      <c r="J878">
        <v>0</v>
      </c>
      <c r="K878">
        <v>13</v>
      </c>
      <c r="L878" t="s">
        <v>41</v>
      </c>
      <c r="M878" t="s">
        <v>38</v>
      </c>
      <c r="N878" s="1">
        <v>45834</v>
      </c>
      <c r="O878" s="2">
        <v>0.54190972222222222</v>
      </c>
      <c r="P878" s="2">
        <v>0.9163310185185185</v>
      </c>
      <c r="Q878">
        <v>8.98</v>
      </c>
      <c r="R878">
        <v>8.99</v>
      </c>
      <c r="S878">
        <v>0.68</v>
      </c>
      <c r="T878">
        <v>0.13</v>
      </c>
      <c r="U878">
        <v>0</v>
      </c>
      <c r="V878">
        <v>0.31</v>
      </c>
      <c r="W878">
        <v>4.8600000000000003</v>
      </c>
      <c r="X878">
        <v>1.47</v>
      </c>
      <c r="Y878">
        <v>1.45</v>
      </c>
      <c r="Z878">
        <v>0</v>
      </c>
      <c r="AA878">
        <v>0.08</v>
      </c>
      <c r="AB878">
        <v>0.01</v>
      </c>
      <c r="AC878">
        <v>8.99</v>
      </c>
      <c r="AD878">
        <v>7.62</v>
      </c>
      <c r="AE878">
        <v>1.43</v>
      </c>
      <c r="AF878">
        <v>0</v>
      </c>
      <c r="AG878">
        <v>3.42</v>
      </c>
      <c r="AH878">
        <v>54.09</v>
      </c>
      <c r="AI878">
        <v>16.32</v>
      </c>
      <c r="AJ878">
        <v>16.079999999999998</v>
      </c>
      <c r="AK878">
        <v>0</v>
      </c>
      <c r="AL878">
        <v>0.94</v>
      </c>
      <c r="AM878">
        <v>0.1</v>
      </c>
      <c r="AN878">
        <f t="shared" si="40"/>
        <v>5</v>
      </c>
      <c r="AO878" t="str">
        <f t="shared" si="41"/>
        <v>Thursday</v>
      </c>
    </row>
    <row r="879" spans="1:41" x14ac:dyDescent="0.2">
      <c r="A879" t="s">
        <v>43</v>
      </c>
      <c r="B879" s="1">
        <v>45834</v>
      </c>
      <c r="C879" s="1">
        <f t="shared" si="39"/>
        <v>45838</v>
      </c>
      <c r="D879">
        <v>25</v>
      </c>
      <c r="E879">
        <v>60</v>
      </c>
      <c r="F879">
        <v>1</v>
      </c>
      <c r="G879">
        <v>2</v>
      </c>
      <c r="H879">
        <v>2</v>
      </c>
      <c r="I879">
        <v>0</v>
      </c>
      <c r="J879">
        <v>0</v>
      </c>
      <c r="K879">
        <v>42</v>
      </c>
      <c r="L879" t="s">
        <v>43</v>
      </c>
      <c r="M879" t="s">
        <v>38</v>
      </c>
      <c r="N879" s="1">
        <v>45834</v>
      </c>
      <c r="O879" s="2">
        <v>0.54159722222222217</v>
      </c>
      <c r="P879" s="2">
        <v>0.91793981481481479</v>
      </c>
      <c r="Q879">
        <v>9.0299999999999994</v>
      </c>
      <c r="R879">
        <v>9.0299999999999994</v>
      </c>
      <c r="S879">
        <v>0.76</v>
      </c>
      <c r="T879">
        <v>0.18</v>
      </c>
      <c r="U879">
        <v>0</v>
      </c>
      <c r="V879">
        <v>0.42</v>
      </c>
      <c r="W879">
        <v>4.34</v>
      </c>
      <c r="X879">
        <v>1.47</v>
      </c>
      <c r="Y879">
        <v>1.8</v>
      </c>
      <c r="Z879">
        <v>0</v>
      </c>
      <c r="AA879">
        <v>0.05</v>
      </c>
      <c r="AB879">
        <v>0.01</v>
      </c>
      <c r="AC879">
        <v>9.0299999999999994</v>
      </c>
      <c r="AD879">
        <v>8.41</v>
      </c>
      <c r="AE879">
        <v>1.97</v>
      </c>
      <c r="AF879">
        <v>0</v>
      </c>
      <c r="AG879">
        <v>4.62</v>
      </c>
      <c r="AH879">
        <v>48.06</v>
      </c>
      <c r="AI879">
        <v>16.29</v>
      </c>
      <c r="AJ879">
        <v>19.920000000000002</v>
      </c>
      <c r="AK879">
        <v>0</v>
      </c>
      <c r="AL879">
        <v>0.59</v>
      </c>
      <c r="AM879">
        <v>0.14000000000000001</v>
      </c>
      <c r="AN879">
        <f t="shared" si="40"/>
        <v>5</v>
      </c>
      <c r="AO879" t="str">
        <f t="shared" si="41"/>
        <v>Thursday</v>
      </c>
    </row>
    <row r="880" spans="1:41" x14ac:dyDescent="0.2">
      <c r="B880" s="1">
        <v>45834</v>
      </c>
      <c r="C880" s="1">
        <f t="shared" si="39"/>
        <v>45838</v>
      </c>
      <c r="D880">
        <v>535</v>
      </c>
      <c r="E880">
        <v>0</v>
      </c>
      <c r="F880">
        <v>0</v>
      </c>
      <c r="G880">
        <v>0</v>
      </c>
      <c r="H880">
        <v>0</v>
      </c>
      <c r="I880">
        <v>0</v>
      </c>
      <c r="J880">
        <v>0</v>
      </c>
      <c r="K880">
        <v>0</v>
      </c>
      <c r="AN880">
        <f t="shared" si="40"/>
        <v>5</v>
      </c>
      <c r="AO880" t="str">
        <f t="shared" si="41"/>
        <v>Thursday</v>
      </c>
    </row>
    <row r="881" spans="1:41" x14ac:dyDescent="0.2">
      <c r="A881" t="s">
        <v>37</v>
      </c>
      <c r="B881" s="1">
        <v>45833</v>
      </c>
      <c r="C881" s="1">
        <f t="shared" si="39"/>
        <v>45838</v>
      </c>
      <c r="D881">
        <v>24</v>
      </c>
      <c r="E881">
        <v>60</v>
      </c>
      <c r="F881">
        <v>5</v>
      </c>
      <c r="G881">
        <v>2</v>
      </c>
      <c r="H881">
        <v>2</v>
      </c>
      <c r="I881">
        <v>0</v>
      </c>
      <c r="J881">
        <v>0</v>
      </c>
      <c r="K881">
        <v>41</v>
      </c>
      <c r="L881" t="s">
        <v>37</v>
      </c>
      <c r="M881" t="s">
        <v>38</v>
      </c>
      <c r="N881" s="1">
        <v>45833</v>
      </c>
      <c r="O881" s="2">
        <v>0.54248842592592594</v>
      </c>
      <c r="P881" s="2">
        <v>0.91690972222222222</v>
      </c>
      <c r="Q881">
        <v>8.98</v>
      </c>
      <c r="R881">
        <v>8.09</v>
      </c>
      <c r="S881">
        <v>1.45</v>
      </c>
      <c r="T881">
        <v>0.24</v>
      </c>
      <c r="U881">
        <v>0</v>
      </c>
      <c r="V881">
        <v>0.41</v>
      </c>
      <c r="W881">
        <v>5.38</v>
      </c>
      <c r="X881">
        <v>0.6</v>
      </c>
      <c r="Y881">
        <v>0</v>
      </c>
      <c r="Z881">
        <v>0</v>
      </c>
      <c r="AA881">
        <v>0</v>
      </c>
      <c r="AB881">
        <v>0.01</v>
      </c>
      <c r="AC881">
        <v>8.09</v>
      </c>
      <c r="AD881">
        <v>17.87</v>
      </c>
      <c r="AE881">
        <v>2.98</v>
      </c>
      <c r="AF881">
        <v>0</v>
      </c>
      <c r="AG881">
        <v>5.0999999999999996</v>
      </c>
      <c r="AH881">
        <v>66.510000000000005</v>
      </c>
      <c r="AI881">
        <v>7.39</v>
      </c>
      <c r="AJ881">
        <v>0</v>
      </c>
      <c r="AK881">
        <v>0</v>
      </c>
      <c r="AL881">
        <v>0</v>
      </c>
      <c r="AM881">
        <v>0.15</v>
      </c>
      <c r="AN881">
        <f t="shared" si="40"/>
        <v>4</v>
      </c>
      <c r="AO881" t="str">
        <f t="shared" si="41"/>
        <v>Wednesday</v>
      </c>
    </row>
    <row r="882" spans="1:41" x14ac:dyDescent="0.2">
      <c r="A882" t="s">
        <v>52</v>
      </c>
      <c r="B882" s="1">
        <v>45833</v>
      </c>
      <c r="C882" s="1">
        <f t="shared" si="39"/>
        <v>45838</v>
      </c>
      <c r="D882">
        <v>28</v>
      </c>
      <c r="E882">
        <v>57</v>
      </c>
      <c r="F882">
        <v>6</v>
      </c>
      <c r="G882">
        <v>4</v>
      </c>
      <c r="H882">
        <v>1</v>
      </c>
      <c r="I882">
        <v>0</v>
      </c>
      <c r="J882">
        <v>6</v>
      </c>
      <c r="K882">
        <v>32</v>
      </c>
      <c r="L882" t="s">
        <v>52</v>
      </c>
      <c r="M882" t="s">
        <v>38</v>
      </c>
      <c r="N882" s="1">
        <v>45833</v>
      </c>
      <c r="O882" s="2">
        <v>0.54241898148148149</v>
      </c>
      <c r="P882" s="2">
        <v>0.91734953703703703</v>
      </c>
      <c r="Q882">
        <v>8.98</v>
      </c>
      <c r="R882">
        <v>8.07</v>
      </c>
      <c r="S882">
        <v>0.94</v>
      </c>
      <c r="T882">
        <v>0.39</v>
      </c>
      <c r="U882">
        <v>0</v>
      </c>
      <c r="V882">
        <v>0.68</v>
      </c>
      <c r="W882">
        <v>5.33</v>
      </c>
      <c r="X882">
        <v>0.71</v>
      </c>
      <c r="Y882">
        <v>0</v>
      </c>
      <c r="Z882">
        <v>0</v>
      </c>
      <c r="AA882">
        <v>0</v>
      </c>
      <c r="AB882">
        <v>0.02</v>
      </c>
      <c r="AC882">
        <v>8.07</v>
      </c>
      <c r="AD882">
        <v>11.68</v>
      </c>
      <c r="AE882">
        <v>4.8</v>
      </c>
      <c r="AF882">
        <v>0</v>
      </c>
      <c r="AG882">
        <v>8.42</v>
      </c>
      <c r="AH882">
        <v>66.09</v>
      </c>
      <c r="AI882">
        <v>8.81</v>
      </c>
      <c r="AJ882">
        <v>0</v>
      </c>
      <c r="AK882">
        <v>0</v>
      </c>
      <c r="AL882">
        <v>0</v>
      </c>
      <c r="AM882">
        <v>0.2</v>
      </c>
      <c r="AN882">
        <f t="shared" si="40"/>
        <v>4</v>
      </c>
      <c r="AO882" t="str">
        <f t="shared" si="41"/>
        <v>Wednesday</v>
      </c>
    </row>
    <row r="883" spans="1:41" x14ac:dyDescent="0.2">
      <c r="A883" t="s">
        <v>39</v>
      </c>
      <c r="B883" s="1">
        <v>45833</v>
      </c>
      <c r="C883" s="1">
        <f t="shared" si="39"/>
        <v>45838</v>
      </c>
      <c r="D883">
        <v>34</v>
      </c>
      <c r="E883">
        <v>79</v>
      </c>
      <c r="F883">
        <v>4</v>
      </c>
      <c r="G883">
        <v>3</v>
      </c>
      <c r="H883">
        <v>5</v>
      </c>
      <c r="I883">
        <v>0</v>
      </c>
      <c r="J883">
        <v>1</v>
      </c>
      <c r="K883">
        <v>36</v>
      </c>
      <c r="L883" t="s">
        <v>39</v>
      </c>
      <c r="M883" t="s">
        <v>38</v>
      </c>
      <c r="N883" s="1">
        <v>45833</v>
      </c>
      <c r="O883" s="2">
        <v>0.54222222222222227</v>
      </c>
      <c r="P883" s="2">
        <v>0.91672453703703705</v>
      </c>
      <c r="Q883">
        <v>9</v>
      </c>
      <c r="R883">
        <v>8.99</v>
      </c>
      <c r="S883">
        <v>1.49</v>
      </c>
      <c r="T883">
        <v>0.18</v>
      </c>
      <c r="U883">
        <v>0</v>
      </c>
      <c r="V883">
        <v>0.03</v>
      </c>
      <c r="W883">
        <v>5.23</v>
      </c>
      <c r="X883">
        <v>1.5</v>
      </c>
      <c r="Y883">
        <v>0.56000000000000005</v>
      </c>
      <c r="Z883">
        <v>0</v>
      </c>
      <c r="AA883">
        <v>0</v>
      </c>
      <c r="AB883">
        <v>0</v>
      </c>
      <c r="AC883">
        <v>8.99</v>
      </c>
      <c r="AD883">
        <v>16.54</v>
      </c>
      <c r="AE883">
        <v>1.98</v>
      </c>
      <c r="AF883">
        <v>0</v>
      </c>
      <c r="AG883">
        <v>0.36</v>
      </c>
      <c r="AH883">
        <v>58.17</v>
      </c>
      <c r="AI883">
        <v>16.64</v>
      </c>
      <c r="AJ883">
        <v>6.28</v>
      </c>
      <c r="AK883">
        <v>0</v>
      </c>
      <c r="AL883">
        <v>0</v>
      </c>
      <c r="AM883">
        <v>0.04</v>
      </c>
      <c r="AN883">
        <f t="shared" si="40"/>
        <v>4</v>
      </c>
      <c r="AO883" t="str">
        <f t="shared" si="41"/>
        <v>Wednesday</v>
      </c>
    </row>
    <row r="884" spans="1:41" x14ac:dyDescent="0.2">
      <c r="A884" t="s">
        <v>41</v>
      </c>
      <c r="B884" s="1">
        <v>45833</v>
      </c>
      <c r="C884" s="1">
        <f t="shared" si="39"/>
        <v>45838</v>
      </c>
      <c r="D884">
        <v>31</v>
      </c>
      <c r="E884">
        <v>90</v>
      </c>
      <c r="F884">
        <v>6</v>
      </c>
      <c r="G884">
        <v>15</v>
      </c>
      <c r="H884">
        <v>20</v>
      </c>
      <c r="I884">
        <v>4</v>
      </c>
      <c r="J884">
        <v>0</v>
      </c>
      <c r="K884">
        <v>38</v>
      </c>
      <c r="L884" t="s">
        <v>41</v>
      </c>
      <c r="M884" t="s">
        <v>38</v>
      </c>
      <c r="N884" s="1">
        <v>45833</v>
      </c>
      <c r="O884" s="2">
        <v>0.54196759259259264</v>
      </c>
      <c r="P884" s="2">
        <v>0.91637731481481477</v>
      </c>
      <c r="Q884">
        <v>8.98</v>
      </c>
      <c r="R884">
        <v>8.99</v>
      </c>
      <c r="S884">
        <v>1.85</v>
      </c>
      <c r="T884">
        <v>0.19</v>
      </c>
      <c r="U884">
        <v>0</v>
      </c>
      <c r="V884">
        <v>0.34</v>
      </c>
      <c r="W884">
        <v>5.19</v>
      </c>
      <c r="X884">
        <v>1.42</v>
      </c>
      <c r="Y884">
        <v>0</v>
      </c>
      <c r="Z884">
        <v>0</v>
      </c>
      <c r="AA884">
        <v>0</v>
      </c>
      <c r="AB884">
        <v>0</v>
      </c>
      <c r="AC884">
        <v>8.99</v>
      </c>
      <c r="AD884">
        <v>20.56</v>
      </c>
      <c r="AE884">
        <v>2.06</v>
      </c>
      <c r="AF884">
        <v>0</v>
      </c>
      <c r="AG884">
        <v>3.82</v>
      </c>
      <c r="AH884">
        <v>57.72</v>
      </c>
      <c r="AI884">
        <v>15.78</v>
      </c>
      <c r="AJ884">
        <v>0</v>
      </c>
      <c r="AK884">
        <v>0</v>
      </c>
      <c r="AL884">
        <v>0</v>
      </c>
      <c r="AM884">
        <v>0.05</v>
      </c>
      <c r="AN884">
        <f t="shared" si="40"/>
        <v>4</v>
      </c>
      <c r="AO884" t="str">
        <f t="shared" si="41"/>
        <v>Wednesday</v>
      </c>
    </row>
    <row r="885" spans="1:41" x14ac:dyDescent="0.2">
      <c r="A885" t="s">
        <v>43</v>
      </c>
      <c r="B885" s="1">
        <v>45833</v>
      </c>
      <c r="C885" s="1">
        <f t="shared" si="39"/>
        <v>45838</v>
      </c>
      <c r="D885">
        <v>27</v>
      </c>
      <c r="E885">
        <v>70</v>
      </c>
      <c r="F885">
        <v>3</v>
      </c>
      <c r="G885">
        <v>2</v>
      </c>
      <c r="H885">
        <v>9</v>
      </c>
      <c r="I885">
        <v>0</v>
      </c>
      <c r="J885">
        <v>1</v>
      </c>
      <c r="K885">
        <v>35</v>
      </c>
      <c r="L885" t="s">
        <v>43</v>
      </c>
      <c r="M885" t="s">
        <v>38</v>
      </c>
      <c r="N885" s="1">
        <v>45833</v>
      </c>
      <c r="O885" s="2">
        <v>0.54116898148148151</v>
      </c>
      <c r="P885" s="2">
        <v>0.91681712962962958</v>
      </c>
      <c r="Q885">
        <v>9.02</v>
      </c>
      <c r="R885">
        <v>9.02</v>
      </c>
      <c r="S885">
        <v>2.14</v>
      </c>
      <c r="T885">
        <v>0.3</v>
      </c>
      <c r="U885">
        <v>0</v>
      </c>
      <c r="V885">
        <v>0.65</v>
      </c>
      <c r="W885">
        <v>3.81</v>
      </c>
      <c r="X885">
        <v>1.45</v>
      </c>
      <c r="Y885">
        <v>0.66</v>
      </c>
      <c r="Z885">
        <v>0</v>
      </c>
      <c r="AA885">
        <v>0</v>
      </c>
      <c r="AB885">
        <v>0</v>
      </c>
      <c r="AC885">
        <v>9.02</v>
      </c>
      <c r="AD885">
        <v>23.79</v>
      </c>
      <c r="AE885">
        <v>3.36</v>
      </c>
      <c r="AF885">
        <v>0</v>
      </c>
      <c r="AG885">
        <v>7.19</v>
      </c>
      <c r="AH885">
        <v>42.22</v>
      </c>
      <c r="AI885">
        <v>16.09</v>
      </c>
      <c r="AJ885">
        <v>7.29</v>
      </c>
      <c r="AK885">
        <v>0</v>
      </c>
      <c r="AL885">
        <v>0</v>
      </c>
      <c r="AM885">
        <v>0.05</v>
      </c>
      <c r="AN885">
        <f t="shared" si="40"/>
        <v>4</v>
      </c>
      <c r="AO885" t="str">
        <f t="shared" si="41"/>
        <v>Wednesday</v>
      </c>
    </row>
    <row r="886" spans="1:41" x14ac:dyDescent="0.2">
      <c r="B886" s="1">
        <v>45833</v>
      </c>
      <c r="C886" s="1">
        <f t="shared" si="39"/>
        <v>45838</v>
      </c>
      <c r="D886">
        <v>542</v>
      </c>
      <c r="E886">
        <v>0</v>
      </c>
      <c r="F886">
        <v>0</v>
      </c>
      <c r="G886">
        <v>0</v>
      </c>
      <c r="H886">
        <v>0</v>
      </c>
      <c r="I886">
        <v>0</v>
      </c>
      <c r="J886">
        <v>0</v>
      </c>
      <c r="K886">
        <v>0</v>
      </c>
      <c r="AN886">
        <f t="shared" si="40"/>
        <v>4</v>
      </c>
      <c r="AO886" t="str">
        <f t="shared" si="41"/>
        <v>Wednesday</v>
      </c>
    </row>
    <row r="887" spans="1:41" x14ac:dyDescent="0.2">
      <c r="A887" t="s">
        <v>37</v>
      </c>
      <c r="B887" s="1">
        <v>45832</v>
      </c>
      <c r="C887" s="1">
        <f t="shared" si="39"/>
        <v>45838</v>
      </c>
      <c r="D887">
        <v>27</v>
      </c>
      <c r="E887">
        <v>88</v>
      </c>
      <c r="F887">
        <v>3</v>
      </c>
      <c r="G887">
        <v>10</v>
      </c>
      <c r="H887">
        <v>8</v>
      </c>
      <c r="I887">
        <v>0</v>
      </c>
      <c r="J887">
        <v>5</v>
      </c>
      <c r="K887">
        <v>54</v>
      </c>
      <c r="L887" t="s">
        <v>37</v>
      </c>
      <c r="M887" t="s">
        <v>38</v>
      </c>
      <c r="N887" s="1">
        <v>45832</v>
      </c>
      <c r="O887" s="2">
        <v>0.54105324074074079</v>
      </c>
      <c r="P887" s="2">
        <v>0.91677083333333331</v>
      </c>
      <c r="Q887">
        <v>9.02</v>
      </c>
      <c r="R887">
        <v>8.14</v>
      </c>
      <c r="S887">
        <v>1.45</v>
      </c>
      <c r="T887">
        <v>0.18</v>
      </c>
      <c r="U887">
        <v>0</v>
      </c>
      <c r="V887">
        <v>0.34</v>
      </c>
      <c r="W887">
        <v>5.54</v>
      </c>
      <c r="X887">
        <v>0.53</v>
      </c>
      <c r="Y887">
        <v>0</v>
      </c>
      <c r="Z887">
        <v>0</v>
      </c>
      <c r="AA887">
        <v>0</v>
      </c>
      <c r="AB887">
        <v>0.1</v>
      </c>
      <c r="AC887">
        <v>8.14</v>
      </c>
      <c r="AD887">
        <v>17.84</v>
      </c>
      <c r="AE887">
        <v>2.23</v>
      </c>
      <c r="AF887">
        <v>0</v>
      </c>
      <c r="AG887">
        <v>4.12</v>
      </c>
      <c r="AH887">
        <v>68.08</v>
      </c>
      <c r="AI887">
        <v>6.5</v>
      </c>
      <c r="AJ887">
        <v>0</v>
      </c>
      <c r="AK887">
        <v>0</v>
      </c>
      <c r="AL887">
        <v>0</v>
      </c>
      <c r="AM887">
        <v>1.24</v>
      </c>
      <c r="AN887">
        <f t="shared" si="40"/>
        <v>3</v>
      </c>
      <c r="AO887" t="str">
        <f t="shared" si="41"/>
        <v>Tuesday</v>
      </c>
    </row>
    <row r="888" spans="1:41" x14ac:dyDescent="0.2">
      <c r="A888" t="s">
        <v>52</v>
      </c>
      <c r="B888" s="1">
        <v>45832</v>
      </c>
      <c r="C888" s="1">
        <f t="shared" si="39"/>
        <v>45838</v>
      </c>
      <c r="D888">
        <v>16</v>
      </c>
      <c r="E888">
        <v>35</v>
      </c>
      <c r="F888">
        <v>3</v>
      </c>
      <c r="G888">
        <v>2</v>
      </c>
      <c r="H888">
        <v>4</v>
      </c>
      <c r="I888">
        <v>0</v>
      </c>
      <c r="J888">
        <v>1</v>
      </c>
      <c r="K888">
        <v>20</v>
      </c>
      <c r="L888" t="s">
        <v>52</v>
      </c>
      <c r="M888" t="s">
        <v>38</v>
      </c>
      <c r="N888" s="1">
        <v>45832</v>
      </c>
      <c r="O888" s="2">
        <v>0.54303240740740744</v>
      </c>
      <c r="P888" s="2">
        <v>0.91605324074074079</v>
      </c>
      <c r="Q888">
        <v>8.9700000000000006</v>
      </c>
      <c r="R888">
        <v>8.9499999999999993</v>
      </c>
      <c r="S888">
        <v>0.86</v>
      </c>
      <c r="T888">
        <v>0.45</v>
      </c>
      <c r="U888">
        <v>0</v>
      </c>
      <c r="V888">
        <v>0.61</v>
      </c>
      <c r="W888">
        <v>5.13</v>
      </c>
      <c r="X888">
        <v>1.5</v>
      </c>
      <c r="Y888">
        <v>0.35</v>
      </c>
      <c r="Z888">
        <v>0</v>
      </c>
      <c r="AA888">
        <v>0.03</v>
      </c>
      <c r="AB888">
        <v>0.02</v>
      </c>
      <c r="AC888">
        <v>8.9499999999999993</v>
      </c>
      <c r="AD888">
        <v>9.61</v>
      </c>
      <c r="AE888">
        <v>5.04</v>
      </c>
      <c r="AF888">
        <v>0</v>
      </c>
      <c r="AG888">
        <v>6.81</v>
      </c>
      <c r="AH888">
        <v>57.26</v>
      </c>
      <c r="AI888">
        <v>16.8</v>
      </c>
      <c r="AJ888">
        <v>3.91</v>
      </c>
      <c r="AK888">
        <v>0</v>
      </c>
      <c r="AL888">
        <v>0.31</v>
      </c>
      <c r="AM888">
        <v>0.27</v>
      </c>
      <c r="AN888">
        <f t="shared" si="40"/>
        <v>3</v>
      </c>
      <c r="AO888" t="str">
        <f t="shared" si="41"/>
        <v>Tuesday</v>
      </c>
    </row>
    <row r="889" spans="1:41" x14ac:dyDescent="0.2">
      <c r="A889" t="s">
        <v>39</v>
      </c>
      <c r="B889" s="1">
        <v>45832</v>
      </c>
      <c r="C889" s="1">
        <f t="shared" si="39"/>
        <v>45838</v>
      </c>
      <c r="D889">
        <v>18</v>
      </c>
      <c r="E889">
        <v>45</v>
      </c>
      <c r="F889">
        <v>6</v>
      </c>
      <c r="G889">
        <v>2</v>
      </c>
      <c r="H889">
        <v>0</v>
      </c>
      <c r="I889">
        <v>1</v>
      </c>
      <c r="J889">
        <v>4</v>
      </c>
      <c r="K889">
        <v>28</v>
      </c>
      <c r="L889" t="s">
        <v>39</v>
      </c>
      <c r="M889" t="s">
        <v>38</v>
      </c>
      <c r="N889" s="1">
        <v>45832</v>
      </c>
      <c r="O889" s="2">
        <v>0.54199074074074072</v>
      </c>
      <c r="P889" s="2">
        <v>0.9167939814814815</v>
      </c>
      <c r="Q889">
        <v>9</v>
      </c>
      <c r="R889">
        <v>8.93</v>
      </c>
      <c r="S889">
        <v>1.4</v>
      </c>
      <c r="T889">
        <v>0.12</v>
      </c>
      <c r="U889">
        <v>0</v>
      </c>
      <c r="V889">
        <v>0.01</v>
      </c>
      <c r="W889">
        <v>5.92</v>
      </c>
      <c r="X889">
        <v>1.47</v>
      </c>
      <c r="Y889">
        <v>0</v>
      </c>
      <c r="Z889">
        <v>0</v>
      </c>
      <c r="AA889">
        <v>0</v>
      </c>
      <c r="AB889">
        <v>0.01</v>
      </c>
      <c r="AC889">
        <v>8.93</v>
      </c>
      <c r="AD889">
        <v>15.64</v>
      </c>
      <c r="AE889">
        <v>1.34</v>
      </c>
      <c r="AF889">
        <v>0</v>
      </c>
      <c r="AG889">
        <v>0.16</v>
      </c>
      <c r="AH889">
        <v>66.260000000000005</v>
      </c>
      <c r="AI889">
        <v>16.510000000000002</v>
      </c>
      <c r="AJ889">
        <v>0</v>
      </c>
      <c r="AK889">
        <v>0</v>
      </c>
      <c r="AL889">
        <v>0</v>
      </c>
      <c r="AM889">
        <v>0.08</v>
      </c>
      <c r="AN889">
        <f t="shared" si="40"/>
        <v>3</v>
      </c>
      <c r="AO889" t="str">
        <f t="shared" si="41"/>
        <v>Tuesday</v>
      </c>
    </row>
    <row r="890" spans="1:41" x14ac:dyDescent="0.2">
      <c r="A890" t="s">
        <v>41</v>
      </c>
      <c r="B890" s="1">
        <v>45832</v>
      </c>
      <c r="C890" s="1">
        <f t="shared" si="39"/>
        <v>45838</v>
      </c>
      <c r="D890">
        <v>26</v>
      </c>
      <c r="E890">
        <v>66</v>
      </c>
      <c r="F890">
        <v>3</v>
      </c>
      <c r="G890">
        <v>8</v>
      </c>
      <c r="H890">
        <v>9</v>
      </c>
      <c r="I890">
        <v>0</v>
      </c>
      <c r="J890">
        <v>1</v>
      </c>
      <c r="K890">
        <v>35</v>
      </c>
      <c r="L890" t="s">
        <v>41</v>
      </c>
      <c r="M890" t="s">
        <v>38</v>
      </c>
      <c r="N890" s="1">
        <v>45832</v>
      </c>
      <c r="O890" s="2">
        <v>0.54166666666666663</v>
      </c>
      <c r="P890" s="2">
        <v>0.91692129629629626</v>
      </c>
      <c r="Q890">
        <v>9</v>
      </c>
      <c r="R890">
        <v>9.01</v>
      </c>
      <c r="S890">
        <v>1.42</v>
      </c>
      <c r="T890">
        <v>0.3</v>
      </c>
      <c r="U890">
        <v>0</v>
      </c>
      <c r="V890">
        <v>0.31</v>
      </c>
      <c r="W890">
        <v>5.5</v>
      </c>
      <c r="X890">
        <v>1.47</v>
      </c>
      <c r="Y890">
        <v>0</v>
      </c>
      <c r="Z890">
        <v>0</v>
      </c>
      <c r="AA890">
        <v>0</v>
      </c>
      <c r="AB890">
        <v>0.01</v>
      </c>
      <c r="AC890">
        <v>9.01</v>
      </c>
      <c r="AD890">
        <v>15.77</v>
      </c>
      <c r="AE890">
        <v>3.34</v>
      </c>
      <c r="AF890">
        <v>0</v>
      </c>
      <c r="AG890">
        <v>3.46</v>
      </c>
      <c r="AH890">
        <v>61.07</v>
      </c>
      <c r="AI890">
        <v>16.28</v>
      </c>
      <c r="AJ890">
        <v>0</v>
      </c>
      <c r="AK890">
        <v>0</v>
      </c>
      <c r="AL890">
        <v>0</v>
      </c>
      <c r="AM890">
        <v>0.08</v>
      </c>
      <c r="AN890">
        <f t="shared" si="40"/>
        <v>3</v>
      </c>
      <c r="AO890" t="str">
        <f t="shared" si="41"/>
        <v>Tuesday</v>
      </c>
    </row>
    <row r="891" spans="1:41" x14ac:dyDescent="0.2">
      <c r="A891" t="s">
        <v>51</v>
      </c>
      <c r="B891" s="1">
        <v>45832</v>
      </c>
      <c r="C891" s="1">
        <f t="shared" si="39"/>
        <v>45838</v>
      </c>
      <c r="D891">
        <v>1</v>
      </c>
      <c r="E891">
        <v>1</v>
      </c>
      <c r="F891">
        <v>0</v>
      </c>
      <c r="G891">
        <v>0</v>
      </c>
      <c r="H891">
        <v>0</v>
      </c>
      <c r="I891">
        <v>0</v>
      </c>
      <c r="J891">
        <v>0</v>
      </c>
      <c r="K891">
        <v>0</v>
      </c>
      <c r="AN891">
        <f t="shared" si="40"/>
        <v>3</v>
      </c>
      <c r="AO891" t="str">
        <f t="shared" si="41"/>
        <v>Tuesday</v>
      </c>
    </row>
    <row r="892" spans="1:41" x14ac:dyDescent="0.2">
      <c r="A892" t="s">
        <v>43</v>
      </c>
      <c r="B892" s="1">
        <v>45832</v>
      </c>
      <c r="C892" s="1">
        <f t="shared" si="39"/>
        <v>45838</v>
      </c>
      <c r="D892">
        <v>31</v>
      </c>
      <c r="E892">
        <v>89</v>
      </c>
      <c r="F892">
        <v>3</v>
      </c>
      <c r="G892">
        <v>7</v>
      </c>
      <c r="H892">
        <v>11</v>
      </c>
      <c r="I892">
        <v>3</v>
      </c>
      <c r="J892">
        <v>1</v>
      </c>
      <c r="K892">
        <v>49</v>
      </c>
      <c r="L892" t="s">
        <v>43</v>
      </c>
      <c r="M892" t="s">
        <v>38</v>
      </c>
      <c r="N892" s="1">
        <v>45832</v>
      </c>
      <c r="O892" s="2">
        <v>0.54152777777777783</v>
      </c>
      <c r="P892" s="2">
        <v>0.91905092592592597</v>
      </c>
      <c r="Q892">
        <v>9.07</v>
      </c>
      <c r="R892">
        <v>9.06</v>
      </c>
      <c r="S892">
        <v>1.52</v>
      </c>
      <c r="T892">
        <v>0.26</v>
      </c>
      <c r="U892">
        <v>0</v>
      </c>
      <c r="V892">
        <v>0.59</v>
      </c>
      <c r="W892">
        <v>5.2</v>
      </c>
      <c r="X892">
        <v>1.49</v>
      </c>
      <c r="Y892">
        <v>0</v>
      </c>
      <c r="Z892">
        <v>0</v>
      </c>
      <c r="AA892">
        <v>0</v>
      </c>
      <c r="AB892">
        <v>0</v>
      </c>
      <c r="AC892">
        <v>9.06</v>
      </c>
      <c r="AD892">
        <v>16.8</v>
      </c>
      <c r="AE892">
        <v>2.85</v>
      </c>
      <c r="AF892">
        <v>0</v>
      </c>
      <c r="AG892">
        <v>6.53</v>
      </c>
      <c r="AH892">
        <v>57.36</v>
      </c>
      <c r="AI892">
        <v>16.43</v>
      </c>
      <c r="AJ892">
        <v>0</v>
      </c>
      <c r="AK892">
        <v>0</v>
      </c>
      <c r="AL892">
        <v>0</v>
      </c>
      <c r="AM892">
        <v>0.04</v>
      </c>
      <c r="AN892">
        <f t="shared" si="40"/>
        <v>3</v>
      </c>
      <c r="AO892" t="str">
        <f t="shared" si="41"/>
        <v>Tuesday</v>
      </c>
    </row>
    <row r="893" spans="1:41" x14ac:dyDescent="0.2">
      <c r="B893" s="1">
        <v>45832</v>
      </c>
      <c r="C893" s="1">
        <f t="shared" si="39"/>
        <v>45838</v>
      </c>
      <c r="D893">
        <v>514</v>
      </c>
      <c r="E893">
        <v>0</v>
      </c>
      <c r="F893">
        <v>0</v>
      </c>
      <c r="G893">
        <v>0</v>
      </c>
      <c r="H893">
        <v>0</v>
      </c>
      <c r="I893">
        <v>0</v>
      </c>
      <c r="J893">
        <v>0</v>
      </c>
      <c r="K893">
        <v>0</v>
      </c>
      <c r="AN893">
        <f t="shared" si="40"/>
        <v>3</v>
      </c>
      <c r="AO893" t="str">
        <f t="shared" si="41"/>
        <v>Tuesday</v>
      </c>
    </row>
    <row r="894" spans="1:41" x14ac:dyDescent="0.2">
      <c r="A894" t="s">
        <v>37</v>
      </c>
      <c r="B894" s="1">
        <v>45831</v>
      </c>
      <c r="C894" s="1">
        <f t="shared" si="39"/>
        <v>45838</v>
      </c>
      <c r="D894">
        <v>16</v>
      </c>
      <c r="E894">
        <v>43</v>
      </c>
      <c r="F894">
        <v>2</v>
      </c>
      <c r="G894">
        <v>3</v>
      </c>
      <c r="H894">
        <v>3</v>
      </c>
      <c r="I894">
        <v>0</v>
      </c>
      <c r="J894">
        <v>0</v>
      </c>
      <c r="K894">
        <v>32</v>
      </c>
      <c r="L894" t="s">
        <v>37</v>
      </c>
      <c r="M894" t="s">
        <v>38</v>
      </c>
      <c r="N894" s="1">
        <v>45831</v>
      </c>
      <c r="O894" s="2">
        <v>0.54219907407407408</v>
      </c>
      <c r="P894" s="2">
        <v>0.91680555555555554</v>
      </c>
      <c r="Q894">
        <v>9</v>
      </c>
      <c r="R894">
        <v>8.1</v>
      </c>
      <c r="S894">
        <v>0.66</v>
      </c>
      <c r="T894">
        <v>0.2</v>
      </c>
      <c r="U894">
        <v>0</v>
      </c>
      <c r="V894">
        <v>0.19</v>
      </c>
      <c r="W894">
        <v>6.45</v>
      </c>
      <c r="X894">
        <v>0.59</v>
      </c>
      <c r="Y894">
        <v>0</v>
      </c>
      <c r="Z894">
        <v>0</v>
      </c>
      <c r="AA894">
        <v>0</v>
      </c>
      <c r="AB894">
        <v>0.02</v>
      </c>
      <c r="AC894">
        <v>8.1</v>
      </c>
      <c r="AD894">
        <v>8.14</v>
      </c>
      <c r="AE894">
        <v>2.44</v>
      </c>
      <c r="AF894">
        <v>0</v>
      </c>
      <c r="AG894">
        <v>2.29</v>
      </c>
      <c r="AH894">
        <v>79.61</v>
      </c>
      <c r="AI894">
        <v>7.24</v>
      </c>
      <c r="AJ894">
        <v>0</v>
      </c>
      <c r="AK894">
        <v>0</v>
      </c>
      <c r="AL894">
        <v>0</v>
      </c>
      <c r="AM894">
        <v>0.28000000000000003</v>
      </c>
      <c r="AN894">
        <f t="shared" si="40"/>
        <v>2</v>
      </c>
      <c r="AO894" t="str">
        <f t="shared" si="41"/>
        <v>Monday</v>
      </c>
    </row>
    <row r="895" spans="1:41" x14ac:dyDescent="0.2">
      <c r="A895" t="s">
        <v>52</v>
      </c>
      <c r="B895" s="1">
        <v>45831</v>
      </c>
      <c r="C895" s="1">
        <f t="shared" si="39"/>
        <v>45838</v>
      </c>
      <c r="D895">
        <v>15</v>
      </c>
      <c r="E895">
        <v>39</v>
      </c>
      <c r="F895">
        <v>1</v>
      </c>
      <c r="G895">
        <v>0</v>
      </c>
      <c r="H895">
        <v>3</v>
      </c>
      <c r="I895">
        <v>1</v>
      </c>
      <c r="J895">
        <v>1</v>
      </c>
      <c r="K895">
        <v>30</v>
      </c>
      <c r="L895" t="s">
        <v>52</v>
      </c>
      <c r="M895" t="s">
        <v>38</v>
      </c>
      <c r="N895" s="1">
        <v>45831</v>
      </c>
      <c r="O895" s="2">
        <v>0.54760416666666667</v>
      </c>
      <c r="P895" s="2">
        <v>0.91585648148148147</v>
      </c>
      <c r="Q895">
        <v>8.83</v>
      </c>
      <c r="R895">
        <v>7.93</v>
      </c>
      <c r="S895">
        <v>0.43</v>
      </c>
      <c r="T895">
        <v>0.49</v>
      </c>
      <c r="U895">
        <v>0</v>
      </c>
      <c r="V895">
        <v>0.49</v>
      </c>
      <c r="W895">
        <v>5.44</v>
      </c>
      <c r="X895">
        <v>0.6</v>
      </c>
      <c r="Y895">
        <v>0.46</v>
      </c>
      <c r="Z895">
        <v>0</v>
      </c>
      <c r="AA895">
        <v>0</v>
      </c>
      <c r="AB895">
        <v>0.02</v>
      </c>
      <c r="AC895">
        <v>7.93</v>
      </c>
      <c r="AD895">
        <v>5.48</v>
      </c>
      <c r="AE895">
        <v>6.13</v>
      </c>
      <c r="AF895">
        <v>0</v>
      </c>
      <c r="AG895">
        <v>6.15</v>
      </c>
      <c r="AH895">
        <v>68.67</v>
      </c>
      <c r="AI895">
        <v>7.55</v>
      </c>
      <c r="AJ895">
        <v>5.75</v>
      </c>
      <c r="AK895">
        <v>0</v>
      </c>
      <c r="AL895">
        <v>0</v>
      </c>
      <c r="AM895">
        <v>0.26</v>
      </c>
      <c r="AN895">
        <f t="shared" si="40"/>
        <v>2</v>
      </c>
      <c r="AO895" t="str">
        <f t="shared" si="41"/>
        <v>Monday</v>
      </c>
    </row>
    <row r="896" spans="1:41" x14ac:dyDescent="0.2">
      <c r="A896" t="s">
        <v>39</v>
      </c>
      <c r="B896" s="1">
        <v>45831</v>
      </c>
      <c r="C896" s="1">
        <f t="shared" si="39"/>
        <v>45838</v>
      </c>
      <c r="D896">
        <v>24</v>
      </c>
      <c r="E896">
        <v>58</v>
      </c>
      <c r="F896">
        <v>1</v>
      </c>
      <c r="G896">
        <v>1</v>
      </c>
      <c r="H896">
        <v>7</v>
      </c>
      <c r="I896">
        <v>0</v>
      </c>
      <c r="J896">
        <v>0</v>
      </c>
      <c r="K896">
        <v>43</v>
      </c>
      <c r="L896" t="s">
        <v>39</v>
      </c>
      <c r="M896" t="s">
        <v>38</v>
      </c>
      <c r="N896" s="1">
        <v>45831</v>
      </c>
      <c r="O896" s="2">
        <v>0.54177083333333331</v>
      </c>
      <c r="P896" s="2">
        <v>0.91672453703703705</v>
      </c>
      <c r="Q896">
        <v>9</v>
      </c>
      <c r="R896">
        <v>9</v>
      </c>
      <c r="S896">
        <v>1.42</v>
      </c>
      <c r="T896">
        <v>0.13</v>
      </c>
      <c r="U896">
        <v>0</v>
      </c>
      <c r="V896">
        <v>0.01</v>
      </c>
      <c r="W896">
        <v>5.94</v>
      </c>
      <c r="X896">
        <v>1.49</v>
      </c>
      <c r="Y896">
        <v>0</v>
      </c>
      <c r="Z896">
        <v>0</v>
      </c>
      <c r="AA896">
        <v>0</v>
      </c>
      <c r="AB896">
        <v>0</v>
      </c>
      <c r="AC896">
        <v>9</v>
      </c>
      <c r="AD896">
        <v>15.83</v>
      </c>
      <c r="AE896">
        <v>1.48</v>
      </c>
      <c r="AF896">
        <v>0</v>
      </c>
      <c r="AG896">
        <v>0.13</v>
      </c>
      <c r="AH896">
        <v>65.98</v>
      </c>
      <c r="AI896">
        <v>16.53</v>
      </c>
      <c r="AJ896">
        <v>0</v>
      </c>
      <c r="AK896">
        <v>0</v>
      </c>
      <c r="AL896">
        <v>0</v>
      </c>
      <c r="AM896">
        <v>0.05</v>
      </c>
      <c r="AN896">
        <f t="shared" si="40"/>
        <v>2</v>
      </c>
      <c r="AO896" t="str">
        <f t="shared" si="41"/>
        <v>Monday</v>
      </c>
    </row>
    <row r="897" spans="1:41" x14ac:dyDescent="0.2">
      <c r="A897" t="s">
        <v>41</v>
      </c>
      <c r="B897" s="1">
        <v>45831</v>
      </c>
      <c r="C897" s="1">
        <f t="shared" si="39"/>
        <v>45838</v>
      </c>
      <c r="D897">
        <v>31</v>
      </c>
      <c r="E897">
        <v>76</v>
      </c>
      <c r="F897">
        <v>0</v>
      </c>
      <c r="G897">
        <v>4</v>
      </c>
      <c r="H897">
        <v>9</v>
      </c>
      <c r="I897">
        <v>0</v>
      </c>
      <c r="J897">
        <v>0</v>
      </c>
      <c r="K897">
        <v>54</v>
      </c>
      <c r="L897" t="s">
        <v>41</v>
      </c>
      <c r="M897" t="s">
        <v>38</v>
      </c>
      <c r="N897" s="1">
        <v>45831</v>
      </c>
      <c r="O897" s="2">
        <v>0.5420949074074074</v>
      </c>
      <c r="P897" s="2">
        <v>0.91608796296296291</v>
      </c>
      <c r="Q897">
        <v>8.98</v>
      </c>
      <c r="R897">
        <v>8.98</v>
      </c>
      <c r="S897">
        <v>0.81</v>
      </c>
      <c r="T897">
        <v>0.1</v>
      </c>
      <c r="U897">
        <v>0</v>
      </c>
      <c r="V897">
        <v>0.22</v>
      </c>
      <c r="W897">
        <v>6.41</v>
      </c>
      <c r="X897">
        <v>1.43</v>
      </c>
      <c r="Y897">
        <v>0</v>
      </c>
      <c r="Z897">
        <v>0</v>
      </c>
      <c r="AA897">
        <v>0</v>
      </c>
      <c r="AB897">
        <v>0</v>
      </c>
      <c r="AC897">
        <v>8.98</v>
      </c>
      <c r="AD897">
        <v>9.0299999999999994</v>
      </c>
      <c r="AE897">
        <v>1.1100000000000001</v>
      </c>
      <c r="AF897">
        <v>0</v>
      </c>
      <c r="AG897">
        <v>2.4300000000000002</v>
      </c>
      <c r="AH897">
        <v>71.45</v>
      </c>
      <c r="AI897">
        <v>15.94</v>
      </c>
      <c r="AJ897">
        <v>0</v>
      </c>
      <c r="AK897">
        <v>0</v>
      </c>
      <c r="AL897">
        <v>0</v>
      </c>
      <c r="AM897">
        <v>0.04</v>
      </c>
      <c r="AN897">
        <f t="shared" si="40"/>
        <v>2</v>
      </c>
      <c r="AO897" t="str">
        <f t="shared" si="41"/>
        <v>Monday</v>
      </c>
    </row>
    <row r="898" spans="1:41" x14ac:dyDescent="0.2">
      <c r="A898" t="s">
        <v>43</v>
      </c>
      <c r="B898" s="1">
        <v>45831</v>
      </c>
      <c r="C898" s="1">
        <f t="shared" si="39"/>
        <v>45838</v>
      </c>
      <c r="D898">
        <v>23</v>
      </c>
      <c r="E898">
        <v>61</v>
      </c>
      <c r="F898">
        <v>1</v>
      </c>
      <c r="G898">
        <v>4</v>
      </c>
      <c r="H898">
        <v>5</v>
      </c>
      <c r="I898">
        <v>0</v>
      </c>
      <c r="J898">
        <v>0</v>
      </c>
      <c r="K898">
        <v>47</v>
      </c>
      <c r="L898" t="s">
        <v>43</v>
      </c>
      <c r="M898" t="s">
        <v>38</v>
      </c>
      <c r="N898" s="1">
        <v>45831</v>
      </c>
      <c r="O898" s="2">
        <v>0.54201388888888891</v>
      </c>
      <c r="P898" s="2">
        <v>0.91935185185185186</v>
      </c>
      <c r="Q898">
        <v>9.0500000000000007</v>
      </c>
      <c r="R898">
        <v>9.06</v>
      </c>
      <c r="S898">
        <v>0.91</v>
      </c>
      <c r="T898">
        <v>0.14000000000000001</v>
      </c>
      <c r="U898">
        <v>0</v>
      </c>
      <c r="V898">
        <v>0.3</v>
      </c>
      <c r="W898">
        <v>6.19</v>
      </c>
      <c r="X898">
        <v>1.51</v>
      </c>
      <c r="Y898">
        <v>0</v>
      </c>
      <c r="Z898">
        <v>0</v>
      </c>
      <c r="AA898">
        <v>0</v>
      </c>
      <c r="AB898">
        <v>0.01</v>
      </c>
      <c r="AC898">
        <v>9.06</v>
      </c>
      <c r="AD898">
        <v>10.050000000000001</v>
      </c>
      <c r="AE898">
        <v>1.51</v>
      </c>
      <c r="AF898">
        <v>0</v>
      </c>
      <c r="AG898">
        <v>3.31</v>
      </c>
      <c r="AH898">
        <v>68.33</v>
      </c>
      <c r="AI898">
        <v>16.66</v>
      </c>
      <c r="AJ898">
        <v>0</v>
      </c>
      <c r="AK898">
        <v>0</v>
      </c>
      <c r="AL898">
        <v>0</v>
      </c>
      <c r="AM898">
        <v>0.14000000000000001</v>
      </c>
      <c r="AN898">
        <f t="shared" si="40"/>
        <v>2</v>
      </c>
      <c r="AO898" t="str">
        <f t="shared" si="41"/>
        <v>Monday</v>
      </c>
    </row>
    <row r="899" spans="1:41" x14ac:dyDescent="0.2">
      <c r="B899" s="1">
        <v>45831</v>
      </c>
      <c r="C899" s="1">
        <f t="shared" ref="C899:C962" si="42">EOMONTH(B899,0)</f>
        <v>45838</v>
      </c>
      <c r="D899">
        <v>521</v>
      </c>
      <c r="E899">
        <v>0</v>
      </c>
      <c r="F899">
        <v>0</v>
      </c>
      <c r="G899">
        <v>0</v>
      </c>
      <c r="H899">
        <v>0</v>
      </c>
      <c r="I899">
        <v>0</v>
      </c>
      <c r="J899">
        <v>0</v>
      </c>
      <c r="K899">
        <v>0</v>
      </c>
      <c r="AN899">
        <f t="shared" ref="AN899:AN962" si="43">WEEKDAY(B899,1)</f>
        <v>2</v>
      </c>
      <c r="AO899" t="str">
        <f t="shared" ref="AO899:AO962" si="44">VLOOKUP(AN899,$AY$2:$AZ$8,2,FALSE)</f>
        <v>Monday</v>
      </c>
    </row>
    <row r="900" spans="1:41" x14ac:dyDescent="0.2">
      <c r="A900" t="s">
        <v>37</v>
      </c>
      <c r="B900" s="1">
        <v>45828</v>
      </c>
      <c r="C900" s="1">
        <f t="shared" si="42"/>
        <v>45838</v>
      </c>
      <c r="D900">
        <v>30</v>
      </c>
      <c r="E900">
        <v>51</v>
      </c>
      <c r="F900">
        <v>7</v>
      </c>
      <c r="G900">
        <v>6</v>
      </c>
      <c r="H900">
        <v>4</v>
      </c>
      <c r="I900">
        <v>0</v>
      </c>
      <c r="J900">
        <v>0</v>
      </c>
      <c r="K900">
        <v>23</v>
      </c>
      <c r="L900" t="s">
        <v>37</v>
      </c>
      <c r="M900" t="s">
        <v>38</v>
      </c>
      <c r="N900" s="1">
        <v>45828</v>
      </c>
      <c r="O900" s="2">
        <v>0.54207175925925921</v>
      </c>
      <c r="P900" s="2">
        <v>0.91675925925925927</v>
      </c>
      <c r="Q900">
        <v>9</v>
      </c>
      <c r="R900">
        <v>8.08</v>
      </c>
      <c r="S900">
        <v>1.32</v>
      </c>
      <c r="T900">
        <v>0.22</v>
      </c>
      <c r="U900">
        <v>0</v>
      </c>
      <c r="V900">
        <v>0.39</v>
      </c>
      <c r="W900">
        <v>5.12</v>
      </c>
      <c r="X900">
        <v>0.56000000000000005</v>
      </c>
      <c r="Y900">
        <v>0.48</v>
      </c>
      <c r="Z900">
        <v>0</v>
      </c>
      <c r="AA900">
        <v>0</v>
      </c>
      <c r="AB900">
        <v>0.01</v>
      </c>
      <c r="AC900">
        <v>8.08</v>
      </c>
      <c r="AD900">
        <v>16.32</v>
      </c>
      <c r="AE900">
        <v>2.66</v>
      </c>
      <c r="AF900">
        <v>0</v>
      </c>
      <c r="AG900">
        <v>4.8099999999999996</v>
      </c>
      <c r="AH900">
        <v>63.29</v>
      </c>
      <c r="AI900">
        <v>6.9</v>
      </c>
      <c r="AJ900">
        <v>5.88</v>
      </c>
      <c r="AK900">
        <v>0</v>
      </c>
      <c r="AL900">
        <v>0</v>
      </c>
      <c r="AM900">
        <v>0.13</v>
      </c>
      <c r="AN900">
        <f t="shared" si="43"/>
        <v>6</v>
      </c>
      <c r="AO900" t="str">
        <f t="shared" si="44"/>
        <v>Friday</v>
      </c>
    </row>
    <row r="901" spans="1:41" x14ac:dyDescent="0.2">
      <c r="A901" t="s">
        <v>52</v>
      </c>
      <c r="B901" s="1">
        <v>45828</v>
      </c>
      <c r="C901" s="1">
        <f t="shared" si="42"/>
        <v>45838</v>
      </c>
      <c r="D901">
        <v>30</v>
      </c>
      <c r="E901">
        <v>67</v>
      </c>
      <c r="F901">
        <v>2</v>
      </c>
      <c r="G901">
        <v>0</v>
      </c>
      <c r="H901">
        <v>13</v>
      </c>
      <c r="I901">
        <v>0</v>
      </c>
      <c r="J901">
        <v>1</v>
      </c>
      <c r="K901">
        <v>36</v>
      </c>
      <c r="L901" t="s">
        <v>52</v>
      </c>
      <c r="M901" t="s">
        <v>38</v>
      </c>
      <c r="N901" s="1">
        <v>45828</v>
      </c>
      <c r="O901" s="2">
        <v>0.54266203703703708</v>
      </c>
      <c r="P901" s="2">
        <v>0.91719907407407408</v>
      </c>
      <c r="Q901">
        <v>8.98</v>
      </c>
      <c r="R901">
        <v>8.99</v>
      </c>
      <c r="S901">
        <v>1.1100000000000001</v>
      </c>
      <c r="T901">
        <v>0.32</v>
      </c>
      <c r="U901">
        <v>0</v>
      </c>
      <c r="V901">
        <v>0.64</v>
      </c>
      <c r="W901">
        <v>5.39</v>
      </c>
      <c r="X901">
        <v>1.52</v>
      </c>
      <c r="Y901">
        <v>0</v>
      </c>
      <c r="Z901">
        <v>0</v>
      </c>
      <c r="AA901">
        <v>0</v>
      </c>
      <c r="AB901">
        <v>0.01</v>
      </c>
      <c r="AC901">
        <v>8.99</v>
      </c>
      <c r="AD901">
        <v>12.36</v>
      </c>
      <c r="AE901">
        <v>3.55</v>
      </c>
      <c r="AF901">
        <v>0</v>
      </c>
      <c r="AG901">
        <v>7.17</v>
      </c>
      <c r="AH901">
        <v>59.93</v>
      </c>
      <c r="AI901">
        <v>16.88</v>
      </c>
      <c r="AJ901">
        <v>0</v>
      </c>
      <c r="AK901">
        <v>0</v>
      </c>
      <c r="AL901">
        <v>0</v>
      </c>
      <c r="AM901">
        <v>0.11</v>
      </c>
      <c r="AN901">
        <f t="shared" si="43"/>
        <v>6</v>
      </c>
      <c r="AO901" t="str">
        <f t="shared" si="44"/>
        <v>Friday</v>
      </c>
    </row>
    <row r="902" spans="1:41" x14ac:dyDescent="0.2">
      <c r="A902" t="s">
        <v>39</v>
      </c>
      <c r="B902" s="1">
        <v>45828</v>
      </c>
      <c r="C902" s="1">
        <f t="shared" si="42"/>
        <v>45838</v>
      </c>
      <c r="D902">
        <v>37</v>
      </c>
      <c r="E902">
        <v>100</v>
      </c>
      <c r="F902">
        <v>7</v>
      </c>
      <c r="G902">
        <v>3</v>
      </c>
      <c r="H902">
        <v>7</v>
      </c>
      <c r="I902">
        <v>2</v>
      </c>
      <c r="J902">
        <v>3</v>
      </c>
      <c r="K902">
        <v>62</v>
      </c>
      <c r="L902" t="s">
        <v>39</v>
      </c>
      <c r="M902" t="s">
        <v>38</v>
      </c>
      <c r="N902" s="1">
        <v>45828</v>
      </c>
      <c r="O902" s="2">
        <v>0.54201388888888891</v>
      </c>
      <c r="P902" s="2">
        <v>0.91670138888888886</v>
      </c>
      <c r="Q902">
        <v>9</v>
      </c>
      <c r="R902">
        <v>8.99</v>
      </c>
      <c r="S902">
        <v>1.54</v>
      </c>
      <c r="T902">
        <v>0.02</v>
      </c>
      <c r="U902">
        <v>0</v>
      </c>
      <c r="V902">
        <v>0.04</v>
      </c>
      <c r="W902">
        <v>5.68</v>
      </c>
      <c r="X902">
        <v>1.49</v>
      </c>
      <c r="Y902">
        <v>0.22</v>
      </c>
      <c r="Z902">
        <v>0</v>
      </c>
      <c r="AA902">
        <v>0</v>
      </c>
      <c r="AB902">
        <v>0</v>
      </c>
      <c r="AC902">
        <v>8.99</v>
      </c>
      <c r="AD902">
        <v>17.09</v>
      </c>
      <c r="AE902">
        <v>0.25</v>
      </c>
      <c r="AF902">
        <v>0</v>
      </c>
      <c r="AG902">
        <v>0.45</v>
      </c>
      <c r="AH902">
        <v>63.17</v>
      </c>
      <c r="AI902">
        <v>16.54</v>
      </c>
      <c r="AJ902">
        <v>2.44</v>
      </c>
      <c r="AK902">
        <v>0</v>
      </c>
      <c r="AL902">
        <v>0</v>
      </c>
      <c r="AM902">
        <v>0.05</v>
      </c>
      <c r="AN902">
        <f t="shared" si="43"/>
        <v>6</v>
      </c>
      <c r="AO902" t="str">
        <f t="shared" si="44"/>
        <v>Friday</v>
      </c>
    </row>
    <row r="903" spans="1:41" x14ac:dyDescent="0.2">
      <c r="B903" s="1">
        <v>45828</v>
      </c>
      <c r="C903" s="1">
        <f t="shared" si="42"/>
        <v>45838</v>
      </c>
      <c r="D903">
        <v>527</v>
      </c>
      <c r="E903">
        <v>0</v>
      </c>
      <c r="F903">
        <v>0</v>
      </c>
      <c r="G903">
        <v>0</v>
      </c>
      <c r="H903">
        <v>0</v>
      </c>
      <c r="I903">
        <v>0</v>
      </c>
      <c r="J903">
        <v>0</v>
      </c>
      <c r="K903">
        <v>0</v>
      </c>
      <c r="AN903">
        <f t="shared" si="43"/>
        <v>6</v>
      </c>
      <c r="AO903" t="str">
        <f t="shared" si="44"/>
        <v>Friday</v>
      </c>
    </row>
    <row r="904" spans="1:41" x14ac:dyDescent="0.2">
      <c r="A904" t="s">
        <v>37</v>
      </c>
      <c r="B904" s="1">
        <v>45826</v>
      </c>
      <c r="C904" s="1">
        <f t="shared" si="42"/>
        <v>45838</v>
      </c>
      <c r="D904">
        <v>30</v>
      </c>
      <c r="E904">
        <v>75</v>
      </c>
      <c r="F904">
        <v>2</v>
      </c>
      <c r="G904">
        <v>5</v>
      </c>
      <c r="H904">
        <v>3</v>
      </c>
      <c r="I904">
        <v>0</v>
      </c>
      <c r="J904">
        <v>0</v>
      </c>
      <c r="K904">
        <v>48</v>
      </c>
      <c r="L904" t="s">
        <v>37</v>
      </c>
      <c r="M904" t="s">
        <v>38</v>
      </c>
      <c r="N904" s="1">
        <v>45826</v>
      </c>
      <c r="O904" s="2">
        <v>0.54043981481481485</v>
      </c>
      <c r="P904" s="2">
        <v>0.91685185185185181</v>
      </c>
      <c r="Q904">
        <v>9.0299999999999994</v>
      </c>
      <c r="R904">
        <v>8.1</v>
      </c>
      <c r="S904">
        <v>1.26</v>
      </c>
      <c r="T904">
        <v>0.5</v>
      </c>
      <c r="U904">
        <v>0</v>
      </c>
      <c r="V904">
        <v>0.31</v>
      </c>
      <c r="W904">
        <v>5.43</v>
      </c>
      <c r="X904">
        <v>0.55000000000000004</v>
      </c>
      <c r="Y904">
        <v>0</v>
      </c>
      <c r="Z904">
        <v>0</v>
      </c>
      <c r="AA904">
        <v>0</v>
      </c>
      <c r="AB904">
        <v>0.05</v>
      </c>
      <c r="AC904">
        <v>8.1</v>
      </c>
      <c r="AD904">
        <v>15.58</v>
      </c>
      <c r="AE904">
        <v>6.18</v>
      </c>
      <c r="AF904">
        <v>0</v>
      </c>
      <c r="AG904">
        <v>3.85</v>
      </c>
      <c r="AH904">
        <v>66.959999999999994</v>
      </c>
      <c r="AI904">
        <v>6.78</v>
      </c>
      <c r="AJ904">
        <v>0</v>
      </c>
      <c r="AK904">
        <v>0</v>
      </c>
      <c r="AL904">
        <v>0</v>
      </c>
      <c r="AM904">
        <v>0.65</v>
      </c>
      <c r="AN904">
        <f t="shared" si="43"/>
        <v>4</v>
      </c>
      <c r="AO904" t="str">
        <f t="shared" si="44"/>
        <v>Wednesday</v>
      </c>
    </row>
    <row r="905" spans="1:41" x14ac:dyDescent="0.2">
      <c r="A905" t="s">
        <v>52</v>
      </c>
      <c r="B905" s="1">
        <v>45826</v>
      </c>
      <c r="C905" s="1">
        <f t="shared" si="42"/>
        <v>45838</v>
      </c>
      <c r="D905">
        <v>22</v>
      </c>
      <c r="E905">
        <v>60</v>
      </c>
      <c r="F905">
        <v>5</v>
      </c>
      <c r="G905">
        <v>0</v>
      </c>
      <c r="H905">
        <v>3</v>
      </c>
      <c r="I905">
        <v>0</v>
      </c>
      <c r="J905">
        <v>1</v>
      </c>
      <c r="K905">
        <v>40</v>
      </c>
      <c r="L905" t="s">
        <v>52</v>
      </c>
      <c r="M905" t="s">
        <v>38</v>
      </c>
      <c r="N905" s="1">
        <v>45826</v>
      </c>
      <c r="O905" s="2">
        <v>0.54267361111111112</v>
      </c>
      <c r="P905" s="2">
        <v>0.9167939814814815</v>
      </c>
      <c r="Q905">
        <v>8.98</v>
      </c>
      <c r="R905">
        <v>8.98</v>
      </c>
      <c r="S905">
        <v>1.06</v>
      </c>
      <c r="T905">
        <v>0.45</v>
      </c>
      <c r="U905">
        <v>0</v>
      </c>
      <c r="V905">
        <v>0.38</v>
      </c>
      <c r="W905">
        <v>5.5</v>
      </c>
      <c r="X905">
        <v>1.53</v>
      </c>
      <c r="Y905">
        <v>0</v>
      </c>
      <c r="Z905">
        <v>0</v>
      </c>
      <c r="AA905">
        <v>0</v>
      </c>
      <c r="AB905">
        <v>0.05</v>
      </c>
      <c r="AC905">
        <v>8.98</v>
      </c>
      <c r="AD905">
        <v>11.85</v>
      </c>
      <c r="AE905">
        <v>5.05</v>
      </c>
      <c r="AF905">
        <v>0</v>
      </c>
      <c r="AG905">
        <v>4.21</v>
      </c>
      <c r="AH905">
        <v>61.28</v>
      </c>
      <c r="AI905">
        <v>17.02</v>
      </c>
      <c r="AJ905">
        <v>0</v>
      </c>
      <c r="AK905">
        <v>0</v>
      </c>
      <c r="AL905">
        <v>0</v>
      </c>
      <c r="AM905">
        <v>0.59</v>
      </c>
      <c r="AN905">
        <f t="shared" si="43"/>
        <v>4</v>
      </c>
      <c r="AO905" t="str">
        <f t="shared" si="44"/>
        <v>Wednesday</v>
      </c>
    </row>
    <row r="906" spans="1:41" x14ac:dyDescent="0.2">
      <c r="A906" t="s">
        <v>39</v>
      </c>
      <c r="B906" s="1">
        <v>45826</v>
      </c>
      <c r="C906" s="1">
        <f t="shared" si="42"/>
        <v>45838</v>
      </c>
      <c r="D906">
        <v>37</v>
      </c>
      <c r="E906">
        <v>95</v>
      </c>
      <c r="F906">
        <v>8</v>
      </c>
      <c r="G906">
        <v>6</v>
      </c>
      <c r="H906">
        <v>6</v>
      </c>
      <c r="I906">
        <v>0</v>
      </c>
      <c r="J906">
        <v>1</v>
      </c>
      <c r="K906">
        <v>56</v>
      </c>
      <c r="L906" t="s">
        <v>39</v>
      </c>
      <c r="M906" t="s">
        <v>38</v>
      </c>
      <c r="N906" s="1">
        <v>45826</v>
      </c>
      <c r="O906" s="2">
        <v>0.5417939814814815</v>
      </c>
      <c r="P906" s="2">
        <v>0.916875</v>
      </c>
      <c r="Q906">
        <v>9</v>
      </c>
      <c r="R906">
        <v>9</v>
      </c>
      <c r="S906">
        <v>1.98</v>
      </c>
      <c r="T906">
        <v>0</v>
      </c>
      <c r="U906">
        <v>0</v>
      </c>
      <c r="V906">
        <v>0.04</v>
      </c>
      <c r="W906">
        <v>5.49</v>
      </c>
      <c r="X906">
        <v>1.48</v>
      </c>
      <c r="Y906">
        <v>0</v>
      </c>
      <c r="Z906">
        <v>0</v>
      </c>
      <c r="AA906">
        <v>0</v>
      </c>
      <c r="AB906">
        <v>0.01</v>
      </c>
      <c r="AC906">
        <v>9</v>
      </c>
      <c r="AD906">
        <v>22</v>
      </c>
      <c r="AE906">
        <v>0</v>
      </c>
      <c r="AF906">
        <v>0</v>
      </c>
      <c r="AG906">
        <v>0.42</v>
      </c>
      <c r="AH906">
        <v>61.02</v>
      </c>
      <c r="AI906">
        <v>16.489999999999998</v>
      </c>
      <c r="AJ906">
        <v>0</v>
      </c>
      <c r="AK906">
        <v>0</v>
      </c>
      <c r="AL906">
        <v>0</v>
      </c>
      <c r="AM906">
        <v>0.06</v>
      </c>
      <c r="AN906">
        <f t="shared" si="43"/>
        <v>4</v>
      </c>
      <c r="AO906" t="str">
        <f t="shared" si="44"/>
        <v>Wednesday</v>
      </c>
    </row>
    <row r="907" spans="1:41" x14ac:dyDescent="0.2">
      <c r="A907" t="s">
        <v>41</v>
      </c>
      <c r="B907" s="1">
        <v>45826</v>
      </c>
      <c r="C907" s="1">
        <f t="shared" si="42"/>
        <v>45838</v>
      </c>
      <c r="D907">
        <v>25</v>
      </c>
      <c r="E907">
        <v>49</v>
      </c>
      <c r="F907">
        <v>2</v>
      </c>
      <c r="G907">
        <v>4</v>
      </c>
      <c r="H907">
        <v>8</v>
      </c>
      <c r="I907">
        <v>1</v>
      </c>
      <c r="J907">
        <v>0</v>
      </c>
      <c r="K907">
        <v>24</v>
      </c>
      <c r="L907" t="s">
        <v>41</v>
      </c>
      <c r="M907" t="s">
        <v>38</v>
      </c>
      <c r="N907" s="1">
        <v>45826</v>
      </c>
      <c r="O907" s="2">
        <v>0.54174768518518523</v>
      </c>
      <c r="P907" s="2">
        <v>0.79106481481481483</v>
      </c>
      <c r="Q907">
        <v>5.98</v>
      </c>
      <c r="R907">
        <v>5.99</v>
      </c>
      <c r="S907">
        <v>1.08</v>
      </c>
      <c r="T907">
        <v>0.1</v>
      </c>
      <c r="U907">
        <v>0</v>
      </c>
      <c r="V907">
        <v>0.19</v>
      </c>
      <c r="W907">
        <v>3.31</v>
      </c>
      <c r="X907">
        <v>1.29</v>
      </c>
      <c r="Y907">
        <v>0</v>
      </c>
      <c r="Z907">
        <v>0</v>
      </c>
      <c r="AA907">
        <v>0</v>
      </c>
      <c r="AB907">
        <v>0</v>
      </c>
      <c r="AC907">
        <v>5.99</v>
      </c>
      <c r="AD907">
        <v>18.11</v>
      </c>
      <c r="AE907">
        <v>1.73</v>
      </c>
      <c r="AF907">
        <v>0</v>
      </c>
      <c r="AG907">
        <v>3.22</v>
      </c>
      <c r="AH907">
        <v>55.36</v>
      </c>
      <c r="AI907">
        <v>21.52</v>
      </c>
      <c r="AJ907">
        <v>0</v>
      </c>
      <c r="AK907">
        <v>0</v>
      </c>
      <c r="AL907">
        <v>0</v>
      </c>
      <c r="AM907">
        <v>0.06</v>
      </c>
      <c r="AN907">
        <f t="shared" si="43"/>
        <v>4</v>
      </c>
      <c r="AO907" t="str">
        <f t="shared" si="44"/>
        <v>Wednesday</v>
      </c>
    </row>
    <row r="908" spans="1:41" x14ac:dyDescent="0.2">
      <c r="A908" t="s">
        <v>43</v>
      </c>
      <c r="B908" s="1">
        <v>45826</v>
      </c>
      <c r="C908" s="1">
        <f t="shared" si="42"/>
        <v>45838</v>
      </c>
      <c r="D908">
        <v>29</v>
      </c>
      <c r="E908">
        <v>85</v>
      </c>
      <c r="F908">
        <v>3</v>
      </c>
      <c r="G908">
        <v>6</v>
      </c>
      <c r="H908">
        <v>9</v>
      </c>
      <c r="I908">
        <v>0</v>
      </c>
      <c r="J908">
        <v>0</v>
      </c>
      <c r="K908">
        <v>47</v>
      </c>
      <c r="L908" t="s">
        <v>43</v>
      </c>
      <c r="M908" t="s">
        <v>38</v>
      </c>
      <c r="N908" s="1">
        <v>45826</v>
      </c>
      <c r="O908" s="2">
        <v>0.54138888888888892</v>
      </c>
      <c r="P908" s="2">
        <v>0.91800925925925925</v>
      </c>
      <c r="Q908">
        <v>9.0299999999999994</v>
      </c>
      <c r="R908">
        <v>9.01</v>
      </c>
      <c r="S908">
        <v>1.68</v>
      </c>
      <c r="T908">
        <v>0.25</v>
      </c>
      <c r="U908">
        <v>0</v>
      </c>
      <c r="V908">
        <v>0.44</v>
      </c>
      <c r="W908">
        <v>4.96</v>
      </c>
      <c r="X908">
        <v>1.45</v>
      </c>
      <c r="Y908">
        <v>0.16</v>
      </c>
      <c r="Z908">
        <v>0</v>
      </c>
      <c r="AA908">
        <v>7.0000000000000007E-2</v>
      </c>
      <c r="AB908">
        <v>0.01</v>
      </c>
      <c r="AC908">
        <v>9.01</v>
      </c>
      <c r="AD908">
        <v>18.61</v>
      </c>
      <c r="AE908">
        <v>2.75</v>
      </c>
      <c r="AF908">
        <v>0</v>
      </c>
      <c r="AG908">
        <v>4.8600000000000003</v>
      </c>
      <c r="AH908">
        <v>54.99</v>
      </c>
      <c r="AI908">
        <v>16.13</v>
      </c>
      <c r="AJ908">
        <v>1.74</v>
      </c>
      <c r="AK908">
        <v>0</v>
      </c>
      <c r="AL908">
        <v>0.78</v>
      </c>
      <c r="AM908">
        <v>0.14000000000000001</v>
      </c>
      <c r="AN908">
        <f t="shared" si="43"/>
        <v>4</v>
      </c>
      <c r="AO908" t="str">
        <f t="shared" si="44"/>
        <v>Wednesday</v>
      </c>
    </row>
    <row r="909" spans="1:41" x14ac:dyDescent="0.2">
      <c r="B909" s="1">
        <v>45826</v>
      </c>
      <c r="C909" s="1">
        <f t="shared" si="42"/>
        <v>45838</v>
      </c>
      <c r="D909">
        <v>529</v>
      </c>
      <c r="E909">
        <v>0</v>
      </c>
      <c r="F909">
        <v>0</v>
      </c>
      <c r="G909">
        <v>0</v>
      </c>
      <c r="H909">
        <v>0</v>
      </c>
      <c r="I909">
        <v>0</v>
      </c>
      <c r="J909">
        <v>0</v>
      </c>
      <c r="K909">
        <v>0</v>
      </c>
      <c r="AN909">
        <f t="shared" si="43"/>
        <v>4</v>
      </c>
      <c r="AO909" t="str">
        <f t="shared" si="44"/>
        <v>Wednesday</v>
      </c>
    </row>
    <row r="910" spans="1:41" x14ac:dyDescent="0.2">
      <c r="A910" t="s">
        <v>37</v>
      </c>
      <c r="B910" s="1">
        <v>45825</v>
      </c>
      <c r="C910" s="1">
        <f t="shared" si="42"/>
        <v>45838</v>
      </c>
      <c r="D910">
        <v>34</v>
      </c>
      <c r="E910">
        <v>102</v>
      </c>
      <c r="F910">
        <v>2</v>
      </c>
      <c r="G910">
        <v>1</v>
      </c>
      <c r="H910">
        <v>4</v>
      </c>
      <c r="I910">
        <v>0</v>
      </c>
      <c r="J910">
        <v>0</v>
      </c>
      <c r="K910">
        <v>74</v>
      </c>
      <c r="L910" t="s">
        <v>37</v>
      </c>
      <c r="M910" t="s">
        <v>38</v>
      </c>
      <c r="N910" s="1">
        <v>45825</v>
      </c>
      <c r="O910" s="2">
        <v>0.54069444444444448</v>
      </c>
      <c r="P910" s="2">
        <v>0.91677083333333331</v>
      </c>
      <c r="Q910">
        <v>9.0299999999999994</v>
      </c>
      <c r="R910">
        <v>8.14</v>
      </c>
      <c r="S910">
        <v>0.72</v>
      </c>
      <c r="T910">
        <v>0.25</v>
      </c>
      <c r="U910">
        <v>0</v>
      </c>
      <c r="V910">
        <v>0.38</v>
      </c>
      <c r="W910">
        <v>6.1</v>
      </c>
      <c r="X910">
        <v>0.65</v>
      </c>
      <c r="Y910">
        <v>0</v>
      </c>
      <c r="Z910">
        <v>0</v>
      </c>
      <c r="AA910">
        <v>0</v>
      </c>
      <c r="AB910">
        <v>0.05</v>
      </c>
      <c r="AC910">
        <v>8.14</v>
      </c>
      <c r="AD910">
        <v>8.86</v>
      </c>
      <c r="AE910">
        <v>3.02</v>
      </c>
      <c r="AF910">
        <v>0</v>
      </c>
      <c r="AG910">
        <v>4.6399999999999997</v>
      </c>
      <c r="AH910">
        <v>74.89</v>
      </c>
      <c r="AI910">
        <v>8</v>
      </c>
      <c r="AJ910">
        <v>0</v>
      </c>
      <c r="AK910">
        <v>0</v>
      </c>
      <c r="AL910">
        <v>0</v>
      </c>
      <c r="AM910">
        <v>0.59</v>
      </c>
      <c r="AN910">
        <f t="shared" si="43"/>
        <v>3</v>
      </c>
      <c r="AO910" t="str">
        <f t="shared" si="44"/>
        <v>Tuesday</v>
      </c>
    </row>
    <row r="911" spans="1:41" x14ac:dyDescent="0.2">
      <c r="A911" t="s">
        <v>52</v>
      </c>
      <c r="B911" s="1">
        <v>45825</v>
      </c>
      <c r="C911" s="1">
        <f t="shared" si="42"/>
        <v>45838</v>
      </c>
      <c r="D911">
        <v>20</v>
      </c>
      <c r="E911">
        <v>52</v>
      </c>
      <c r="F911">
        <v>6</v>
      </c>
      <c r="G911">
        <v>4</v>
      </c>
      <c r="H911">
        <v>7</v>
      </c>
      <c r="I911">
        <v>0</v>
      </c>
      <c r="J911">
        <v>0</v>
      </c>
      <c r="K911">
        <v>30</v>
      </c>
      <c r="L911" t="s">
        <v>52</v>
      </c>
      <c r="M911" t="s">
        <v>38</v>
      </c>
      <c r="N911" s="1">
        <v>45825</v>
      </c>
      <c r="O911" s="2">
        <v>0.54386574074074079</v>
      </c>
      <c r="P911" s="2">
        <v>0.91334490740740737</v>
      </c>
      <c r="Q911">
        <v>8.8699999999999992</v>
      </c>
      <c r="R911">
        <v>8.59</v>
      </c>
      <c r="S911">
        <v>1.19</v>
      </c>
      <c r="T911">
        <v>0.93</v>
      </c>
      <c r="U911">
        <v>0</v>
      </c>
      <c r="V911">
        <v>0.71</v>
      </c>
      <c r="W911">
        <v>4.76</v>
      </c>
      <c r="X911">
        <v>0.94</v>
      </c>
      <c r="Y911">
        <v>0</v>
      </c>
      <c r="Z911">
        <v>0</v>
      </c>
      <c r="AA911">
        <v>0</v>
      </c>
      <c r="AB911">
        <v>0.06</v>
      </c>
      <c r="AC911">
        <v>8.59</v>
      </c>
      <c r="AD911">
        <v>13.87</v>
      </c>
      <c r="AE911">
        <v>10.8</v>
      </c>
      <c r="AF911">
        <v>0</v>
      </c>
      <c r="AG911">
        <v>8.31</v>
      </c>
      <c r="AH911">
        <v>55.35</v>
      </c>
      <c r="AI911">
        <v>10.89</v>
      </c>
      <c r="AJ911">
        <v>0</v>
      </c>
      <c r="AK911">
        <v>0</v>
      </c>
      <c r="AL911">
        <v>0.05</v>
      </c>
      <c r="AM911">
        <v>0.73</v>
      </c>
      <c r="AN911">
        <f t="shared" si="43"/>
        <v>3</v>
      </c>
      <c r="AO911" t="str">
        <f t="shared" si="44"/>
        <v>Tuesday</v>
      </c>
    </row>
    <row r="912" spans="1:41" x14ac:dyDescent="0.2">
      <c r="A912" t="s">
        <v>39</v>
      </c>
      <c r="B912" s="1">
        <v>45825</v>
      </c>
      <c r="C912" s="1">
        <f t="shared" si="42"/>
        <v>45838</v>
      </c>
      <c r="D912">
        <v>35</v>
      </c>
      <c r="E912">
        <v>72</v>
      </c>
      <c r="F912">
        <v>5</v>
      </c>
      <c r="G912">
        <v>1</v>
      </c>
      <c r="H912">
        <v>9</v>
      </c>
      <c r="I912">
        <v>0</v>
      </c>
      <c r="J912">
        <v>0</v>
      </c>
      <c r="K912">
        <v>36</v>
      </c>
      <c r="L912" t="s">
        <v>39</v>
      </c>
      <c r="M912" t="s">
        <v>38</v>
      </c>
      <c r="N912" s="1">
        <v>45825</v>
      </c>
      <c r="O912" s="2">
        <v>0.54178240740740746</v>
      </c>
      <c r="P912" s="2">
        <v>0.91673611111111108</v>
      </c>
      <c r="Q912">
        <v>9</v>
      </c>
      <c r="R912">
        <v>9</v>
      </c>
      <c r="S912">
        <v>1.76</v>
      </c>
      <c r="T912">
        <v>0</v>
      </c>
      <c r="U912">
        <v>0</v>
      </c>
      <c r="V912">
        <v>0.03</v>
      </c>
      <c r="W912">
        <v>5.71</v>
      </c>
      <c r="X912">
        <v>1.5</v>
      </c>
      <c r="Y912">
        <v>0</v>
      </c>
      <c r="Z912">
        <v>0</v>
      </c>
      <c r="AA912">
        <v>0</v>
      </c>
      <c r="AB912">
        <v>0</v>
      </c>
      <c r="AC912">
        <v>9</v>
      </c>
      <c r="AD912">
        <v>19.54</v>
      </c>
      <c r="AE912">
        <v>0</v>
      </c>
      <c r="AF912">
        <v>0</v>
      </c>
      <c r="AG912">
        <v>0.3</v>
      </c>
      <c r="AH912">
        <v>63.45</v>
      </c>
      <c r="AI912">
        <v>16.670000000000002</v>
      </c>
      <c r="AJ912">
        <v>0</v>
      </c>
      <c r="AK912">
        <v>0</v>
      </c>
      <c r="AL912">
        <v>0</v>
      </c>
      <c r="AM912">
        <v>0.04</v>
      </c>
      <c r="AN912">
        <f t="shared" si="43"/>
        <v>3</v>
      </c>
      <c r="AO912" t="str">
        <f t="shared" si="44"/>
        <v>Tuesday</v>
      </c>
    </row>
    <row r="913" spans="1:41" x14ac:dyDescent="0.2">
      <c r="A913" t="s">
        <v>41</v>
      </c>
      <c r="B913" s="1">
        <v>45825</v>
      </c>
      <c r="C913" s="1">
        <f t="shared" si="42"/>
        <v>45838</v>
      </c>
      <c r="D913">
        <v>40</v>
      </c>
      <c r="E913">
        <v>101</v>
      </c>
      <c r="F913">
        <v>13</v>
      </c>
      <c r="G913">
        <v>11</v>
      </c>
      <c r="H913">
        <v>6</v>
      </c>
      <c r="I913">
        <v>0</v>
      </c>
      <c r="J913">
        <v>1</v>
      </c>
      <c r="K913">
        <v>41</v>
      </c>
      <c r="L913" t="s">
        <v>41</v>
      </c>
      <c r="M913" t="s">
        <v>38</v>
      </c>
      <c r="N913" s="1">
        <v>45825</v>
      </c>
      <c r="O913" s="2">
        <v>0.54177083333333331</v>
      </c>
      <c r="P913" s="2">
        <v>0.91674768518518523</v>
      </c>
      <c r="Q913">
        <v>9</v>
      </c>
      <c r="R913">
        <v>9</v>
      </c>
      <c r="S913">
        <v>1.53</v>
      </c>
      <c r="T913">
        <v>0.15</v>
      </c>
      <c r="U913">
        <v>0</v>
      </c>
      <c r="V913">
        <v>0.46</v>
      </c>
      <c r="W913">
        <v>5.37</v>
      </c>
      <c r="X913">
        <v>1.44</v>
      </c>
      <c r="Y913">
        <v>0</v>
      </c>
      <c r="Z913">
        <v>0</v>
      </c>
      <c r="AA913">
        <v>0.05</v>
      </c>
      <c r="AB913">
        <v>0</v>
      </c>
      <c r="AC913">
        <v>9</v>
      </c>
      <c r="AD913">
        <v>16.95</v>
      </c>
      <c r="AE913">
        <v>1.7</v>
      </c>
      <c r="AF913">
        <v>0</v>
      </c>
      <c r="AG913">
        <v>5.08</v>
      </c>
      <c r="AH913">
        <v>59.63</v>
      </c>
      <c r="AI913">
        <v>16.05</v>
      </c>
      <c r="AJ913">
        <v>0</v>
      </c>
      <c r="AK913">
        <v>0</v>
      </c>
      <c r="AL913">
        <v>0.55000000000000004</v>
      </c>
      <c r="AM913">
        <v>0.05</v>
      </c>
      <c r="AN913">
        <f t="shared" si="43"/>
        <v>3</v>
      </c>
      <c r="AO913" t="str">
        <f t="shared" si="44"/>
        <v>Tuesday</v>
      </c>
    </row>
    <row r="914" spans="1:41" x14ac:dyDescent="0.2">
      <c r="A914" t="s">
        <v>43</v>
      </c>
      <c r="B914" s="1">
        <v>45825</v>
      </c>
      <c r="C914" s="1">
        <f t="shared" si="42"/>
        <v>45838</v>
      </c>
      <c r="D914">
        <v>37</v>
      </c>
      <c r="E914">
        <v>85</v>
      </c>
      <c r="F914">
        <v>5</v>
      </c>
      <c r="G914">
        <v>0</v>
      </c>
      <c r="H914">
        <v>8</v>
      </c>
      <c r="I914">
        <v>3</v>
      </c>
      <c r="J914">
        <v>2</v>
      </c>
      <c r="K914">
        <v>35</v>
      </c>
      <c r="L914" t="s">
        <v>43</v>
      </c>
      <c r="M914" t="s">
        <v>38</v>
      </c>
      <c r="N914" s="1">
        <v>45825</v>
      </c>
      <c r="O914" s="2">
        <v>0.54322916666666665</v>
      </c>
      <c r="P914" s="2">
        <v>0.9177777777777778</v>
      </c>
      <c r="Q914">
        <v>8.98</v>
      </c>
      <c r="R914">
        <v>8.99</v>
      </c>
      <c r="S914">
        <v>1.93</v>
      </c>
      <c r="T914">
        <v>0.12</v>
      </c>
      <c r="U914">
        <v>0</v>
      </c>
      <c r="V914">
        <v>0.49</v>
      </c>
      <c r="W914">
        <v>4.96</v>
      </c>
      <c r="X914">
        <v>1.47</v>
      </c>
      <c r="Y914">
        <v>0</v>
      </c>
      <c r="Z914">
        <v>0</v>
      </c>
      <c r="AA914">
        <v>0</v>
      </c>
      <c r="AB914">
        <v>0.01</v>
      </c>
      <c r="AC914">
        <v>8.99</v>
      </c>
      <c r="AD914">
        <v>21.47</v>
      </c>
      <c r="AE914">
        <v>1.37</v>
      </c>
      <c r="AF914">
        <v>0</v>
      </c>
      <c r="AG914">
        <v>5.44</v>
      </c>
      <c r="AH914">
        <v>55.19</v>
      </c>
      <c r="AI914">
        <v>16.399999999999999</v>
      </c>
      <c r="AJ914">
        <v>0</v>
      </c>
      <c r="AK914">
        <v>0</v>
      </c>
      <c r="AL914">
        <v>0</v>
      </c>
      <c r="AM914">
        <v>0.14000000000000001</v>
      </c>
      <c r="AN914">
        <f t="shared" si="43"/>
        <v>3</v>
      </c>
      <c r="AO914" t="str">
        <f t="shared" si="44"/>
        <v>Tuesday</v>
      </c>
    </row>
    <row r="915" spans="1:41" x14ac:dyDescent="0.2">
      <c r="B915" s="1">
        <v>45825</v>
      </c>
      <c r="C915" s="1">
        <f t="shared" si="42"/>
        <v>45838</v>
      </c>
      <c r="D915">
        <v>536</v>
      </c>
      <c r="E915">
        <v>0</v>
      </c>
      <c r="F915">
        <v>0</v>
      </c>
      <c r="G915">
        <v>0</v>
      </c>
      <c r="H915">
        <v>0</v>
      </c>
      <c r="I915">
        <v>0</v>
      </c>
      <c r="J915">
        <v>0</v>
      </c>
      <c r="K915">
        <v>0</v>
      </c>
      <c r="AN915">
        <f t="shared" si="43"/>
        <v>3</v>
      </c>
      <c r="AO915" t="str">
        <f t="shared" si="44"/>
        <v>Tuesday</v>
      </c>
    </row>
    <row r="916" spans="1:41" x14ac:dyDescent="0.2">
      <c r="A916" t="s">
        <v>37</v>
      </c>
      <c r="B916" s="1">
        <v>45824</v>
      </c>
      <c r="C916" s="1">
        <f t="shared" si="42"/>
        <v>45838</v>
      </c>
      <c r="D916">
        <v>22</v>
      </c>
      <c r="E916">
        <v>22</v>
      </c>
      <c r="F916">
        <v>4</v>
      </c>
      <c r="G916">
        <v>2</v>
      </c>
      <c r="H916">
        <v>1</v>
      </c>
      <c r="I916">
        <v>0</v>
      </c>
      <c r="J916">
        <v>0</v>
      </c>
      <c r="K916">
        <v>4</v>
      </c>
      <c r="L916" t="s">
        <v>37</v>
      </c>
      <c r="M916" t="s">
        <v>38</v>
      </c>
      <c r="N916" s="1">
        <v>45824</v>
      </c>
      <c r="O916" s="2">
        <v>0.54217592592592589</v>
      </c>
      <c r="P916" s="2">
        <v>0.91692129629629626</v>
      </c>
      <c r="Q916">
        <v>9</v>
      </c>
      <c r="R916">
        <v>8.25</v>
      </c>
      <c r="S916">
        <v>1.27</v>
      </c>
      <c r="T916">
        <v>0.09</v>
      </c>
      <c r="U916">
        <v>0</v>
      </c>
      <c r="V916">
        <v>0.4</v>
      </c>
      <c r="W916">
        <v>5.55</v>
      </c>
      <c r="X916">
        <v>0.74</v>
      </c>
      <c r="Y916">
        <v>0.16</v>
      </c>
      <c r="Z916">
        <v>0</v>
      </c>
      <c r="AA916">
        <v>0</v>
      </c>
      <c r="AB916">
        <v>0.03</v>
      </c>
      <c r="AC916">
        <v>8.25</v>
      </c>
      <c r="AD916">
        <v>15.43</v>
      </c>
      <c r="AE916">
        <v>1.1000000000000001</v>
      </c>
      <c r="AF916">
        <v>0</v>
      </c>
      <c r="AG916">
        <v>4.8600000000000003</v>
      </c>
      <c r="AH916">
        <v>67.27</v>
      </c>
      <c r="AI916">
        <v>8.98</v>
      </c>
      <c r="AJ916">
        <v>1.96</v>
      </c>
      <c r="AK916">
        <v>0</v>
      </c>
      <c r="AL916">
        <v>0</v>
      </c>
      <c r="AM916">
        <v>0.4</v>
      </c>
      <c r="AN916">
        <f t="shared" si="43"/>
        <v>2</v>
      </c>
      <c r="AO916" t="str">
        <f t="shared" si="44"/>
        <v>Monday</v>
      </c>
    </row>
    <row r="917" spans="1:41" x14ac:dyDescent="0.2">
      <c r="A917" t="s">
        <v>52</v>
      </c>
      <c r="B917" s="1">
        <v>45824</v>
      </c>
      <c r="C917" s="1">
        <f t="shared" si="42"/>
        <v>45838</v>
      </c>
      <c r="D917">
        <v>17</v>
      </c>
      <c r="E917">
        <v>22</v>
      </c>
      <c r="F917">
        <v>3</v>
      </c>
      <c r="G917">
        <v>0</v>
      </c>
      <c r="H917">
        <v>5</v>
      </c>
      <c r="I917">
        <v>0</v>
      </c>
      <c r="J917">
        <v>0</v>
      </c>
      <c r="K917">
        <v>5</v>
      </c>
      <c r="L917" t="s">
        <v>52</v>
      </c>
      <c r="M917" t="s">
        <v>38</v>
      </c>
      <c r="N917" s="1">
        <v>45824</v>
      </c>
      <c r="O917" s="2">
        <v>0.5456481481481481</v>
      </c>
      <c r="P917" s="2">
        <v>0.93637731481481479</v>
      </c>
      <c r="Q917">
        <v>9.3800000000000008</v>
      </c>
      <c r="R917">
        <v>9.3800000000000008</v>
      </c>
      <c r="S917">
        <v>0.73</v>
      </c>
      <c r="T917">
        <v>0.67</v>
      </c>
      <c r="U917">
        <v>0</v>
      </c>
      <c r="V917">
        <v>0.48</v>
      </c>
      <c r="W917">
        <v>5.38</v>
      </c>
      <c r="X917">
        <v>1.5</v>
      </c>
      <c r="Y917">
        <v>0.62</v>
      </c>
      <c r="Z917">
        <v>0</v>
      </c>
      <c r="AA917">
        <v>0</v>
      </c>
      <c r="AB917">
        <v>0.01</v>
      </c>
      <c r="AC917">
        <v>9.3800000000000008</v>
      </c>
      <c r="AD917">
        <v>7.74</v>
      </c>
      <c r="AE917">
        <v>7.1</v>
      </c>
      <c r="AF917">
        <v>0</v>
      </c>
      <c r="AG917">
        <v>5.08</v>
      </c>
      <c r="AH917">
        <v>57.34</v>
      </c>
      <c r="AI917">
        <v>15.95</v>
      </c>
      <c r="AJ917">
        <v>6.65</v>
      </c>
      <c r="AK917">
        <v>0</v>
      </c>
      <c r="AL917">
        <v>0</v>
      </c>
      <c r="AM917">
        <v>0.14000000000000001</v>
      </c>
      <c r="AN917">
        <f t="shared" si="43"/>
        <v>2</v>
      </c>
      <c r="AO917" t="str">
        <f t="shared" si="44"/>
        <v>Monday</v>
      </c>
    </row>
    <row r="918" spans="1:41" x14ac:dyDescent="0.2">
      <c r="A918" t="s">
        <v>39</v>
      </c>
      <c r="B918" s="1">
        <v>45824</v>
      </c>
      <c r="C918" s="1">
        <f t="shared" si="42"/>
        <v>45838</v>
      </c>
      <c r="D918">
        <v>32</v>
      </c>
      <c r="E918">
        <v>33</v>
      </c>
      <c r="F918">
        <v>5</v>
      </c>
      <c r="G918">
        <v>3</v>
      </c>
      <c r="H918">
        <v>1</v>
      </c>
      <c r="I918">
        <v>0</v>
      </c>
      <c r="J918">
        <v>0</v>
      </c>
      <c r="K918">
        <v>4</v>
      </c>
      <c r="L918" t="s">
        <v>39</v>
      </c>
      <c r="M918" t="s">
        <v>38</v>
      </c>
      <c r="N918" s="1">
        <v>45824</v>
      </c>
      <c r="O918" s="2">
        <v>0.54203703703703698</v>
      </c>
      <c r="P918" s="2">
        <v>0.91671296296296301</v>
      </c>
      <c r="Q918">
        <v>9</v>
      </c>
      <c r="R918">
        <v>8.99</v>
      </c>
      <c r="S918">
        <v>1.08</v>
      </c>
      <c r="T918">
        <v>0</v>
      </c>
      <c r="U918">
        <v>0</v>
      </c>
      <c r="V918">
        <v>0.02</v>
      </c>
      <c r="W918">
        <v>5.69</v>
      </c>
      <c r="X918">
        <v>1.45</v>
      </c>
      <c r="Y918">
        <v>0.74</v>
      </c>
      <c r="Z918">
        <v>0</v>
      </c>
      <c r="AA918">
        <v>0</v>
      </c>
      <c r="AB918">
        <v>0</v>
      </c>
      <c r="AC918">
        <v>8.99</v>
      </c>
      <c r="AD918">
        <v>12.06</v>
      </c>
      <c r="AE918">
        <v>0</v>
      </c>
      <c r="AF918">
        <v>0</v>
      </c>
      <c r="AG918">
        <v>0.24</v>
      </c>
      <c r="AH918">
        <v>63.34</v>
      </c>
      <c r="AI918">
        <v>16.11</v>
      </c>
      <c r="AJ918">
        <v>8.2100000000000009</v>
      </c>
      <c r="AK918">
        <v>0</v>
      </c>
      <c r="AL918">
        <v>0</v>
      </c>
      <c r="AM918">
        <v>0.04</v>
      </c>
      <c r="AN918">
        <f t="shared" si="43"/>
        <v>2</v>
      </c>
      <c r="AO918" t="str">
        <f t="shared" si="44"/>
        <v>Monday</v>
      </c>
    </row>
    <row r="919" spans="1:41" x14ac:dyDescent="0.2">
      <c r="A919" t="s">
        <v>41</v>
      </c>
      <c r="B919" s="1">
        <v>45824</v>
      </c>
      <c r="C919" s="1">
        <f t="shared" si="42"/>
        <v>45838</v>
      </c>
      <c r="D919">
        <v>49</v>
      </c>
      <c r="E919">
        <v>50</v>
      </c>
      <c r="F919">
        <v>7</v>
      </c>
      <c r="G919">
        <v>5</v>
      </c>
      <c r="H919">
        <v>1</v>
      </c>
      <c r="I919">
        <v>1</v>
      </c>
      <c r="J919">
        <v>0</v>
      </c>
      <c r="K919">
        <v>8</v>
      </c>
      <c r="L919" t="s">
        <v>41</v>
      </c>
      <c r="M919" t="s">
        <v>38</v>
      </c>
      <c r="N919" s="1">
        <v>45824</v>
      </c>
      <c r="O919" s="2">
        <v>0.54175925925925927</v>
      </c>
      <c r="P919" s="2">
        <v>0.91686342592592596</v>
      </c>
      <c r="Q919">
        <v>9</v>
      </c>
      <c r="R919">
        <v>9</v>
      </c>
      <c r="S919">
        <v>1.6</v>
      </c>
      <c r="T919">
        <v>0</v>
      </c>
      <c r="U919">
        <v>0</v>
      </c>
      <c r="V919">
        <v>0.38</v>
      </c>
      <c r="W919">
        <v>5.42</v>
      </c>
      <c r="X919">
        <v>1.45</v>
      </c>
      <c r="Y919">
        <v>0.15</v>
      </c>
      <c r="Z919">
        <v>0</v>
      </c>
      <c r="AA919">
        <v>0</v>
      </c>
      <c r="AB919">
        <v>0.01</v>
      </c>
      <c r="AC919">
        <v>9</v>
      </c>
      <c r="AD919">
        <v>17.75</v>
      </c>
      <c r="AE919">
        <v>0.02</v>
      </c>
      <c r="AF919">
        <v>0</v>
      </c>
      <c r="AG919">
        <v>4.18</v>
      </c>
      <c r="AH919">
        <v>60.17</v>
      </c>
      <c r="AI919">
        <v>16.14</v>
      </c>
      <c r="AJ919">
        <v>1.68</v>
      </c>
      <c r="AK919">
        <v>0</v>
      </c>
      <c r="AL919">
        <v>0</v>
      </c>
      <c r="AM919">
        <v>0.06</v>
      </c>
      <c r="AN919">
        <f t="shared" si="43"/>
        <v>2</v>
      </c>
      <c r="AO919" t="str">
        <f t="shared" si="44"/>
        <v>Monday</v>
      </c>
    </row>
    <row r="920" spans="1:41" x14ac:dyDescent="0.2">
      <c r="A920" t="s">
        <v>43</v>
      </c>
      <c r="B920" s="1">
        <v>45824</v>
      </c>
      <c r="C920" s="1">
        <f t="shared" si="42"/>
        <v>45838</v>
      </c>
      <c r="D920">
        <v>40</v>
      </c>
      <c r="E920">
        <v>42</v>
      </c>
      <c r="F920">
        <v>8</v>
      </c>
      <c r="G920">
        <v>4</v>
      </c>
      <c r="H920">
        <v>3</v>
      </c>
      <c r="I920">
        <v>0</v>
      </c>
      <c r="J920">
        <v>0</v>
      </c>
      <c r="K920">
        <v>5</v>
      </c>
      <c r="L920" t="s">
        <v>43</v>
      </c>
      <c r="M920" t="s">
        <v>38</v>
      </c>
      <c r="N920" s="1">
        <v>45824</v>
      </c>
      <c r="O920" s="2">
        <v>0.54189814814814818</v>
      </c>
      <c r="P920" s="2">
        <v>0.92060185185185184</v>
      </c>
      <c r="Q920">
        <v>9.08</v>
      </c>
      <c r="R920">
        <v>9.09</v>
      </c>
      <c r="S920">
        <v>1.86</v>
      </c>
      <c r="T920">
        <v>0</v>
      </c>
      <c r="U920">
        <v>0</v>
      </c>
      <c r="V920">
        <v>0.23</v>
      </c>
      <c r="W920">
        <v>5.51</v>
      </c>
      <c r="X920">
        <v>1.47</v>
      </c>
      <c r="Y920">
        <v>0</v>
      </c>
      <c r="Z920">
        <v>0</v>
      </c>
      <c r="AA920">
        <v>0</v>
      </c>
      <c r="AB920">
        <v>0</v>
      </c>
      <c r="AC920">
        <v>9.09</v>
      </c>
      <c r="AD920">
        <v>20.47</v>
      </c>
      <c r="AE920">
        <v>0</v>
      </c>
      <c r="AF920">
        <v>0</v>
      </c>
      <c r="AG920">
        <v>2.5499999999999998</v>
      </c>
      <c r="AH920">
        <v>60.69</v>
      </c>
      <c r="AI920">
        <v>16.23</v>
      </c>
      <c r="AJ920">
        <v>0</v>
      </c>
      <c r="AK920">
        <v>0</v>
      </c>
      <c r="AL920">
        <v>0.03</v>
      </c>
      <c r="AM920">
        <v>0.04</v>
      </c>
      <c r="AN920">
        <f t="shared" si="43"/>
        <v>2</v>
      </c>
      <c r="AO920" t="str">
        <f t="shared" si="44"/>
        <v>Monday</v>
      </c>
    </row>
    <row r="921" spans="1:41" x14ac:dyDescent="0.2">
      <c r="A921" t="s">
        <v>37</v>
      </c>
      <c r="B921" s="1">
        <v>45821</v>
      </c>
      <c r="C921" s="1">
        <f t="shared" si="42"/>
        <v>45838</v>
      </c>
      <c r="D921">
        <v>30</v>
      </c>
      <c r="E921">
        <v>70</v>
      </c>
      <c r="F921">
        <v>6</v>
      </c>
      <c r="G921">
        <v>1</v>
      </c>
      <c r="H921">
        <v>3</v>
      </c>
      <c r="I921">
        <v>0</v>
      </c>
      <c r="J921">
        <v>0</v>
      </c>
      <c r="K921">
        <v>45</v>
      </c>
      <c r="L921" t="s">
        <v>37</v>
      </c>
      <c r="M921" t="s">
        <v>38</v>
      </c>
      <c r="N921" s="1">
        <v>45821</v>
      </c>
      <c r="O921" s="2">
        <v>0.541875</v>
      </c>
      <c r="P921" s="2">
        <v>0.91682870370370373</v>
      </c>
      <c r="Q921">
        <v>9</v>
      </c>
      <c r="R921">
        <v>8.01</v>
      </c>
      <c r="S921">
        <v>1.0900000000000001</v>
      </c>
      <c r="T921">
        <v>0.96</v>
      </c>
      <c r="U921">
        <v>0</v>
      </c>
      <c r="V921">
        <v>0.43</v>
      </c>
      <c r="W921">
        <v>5.18</v>
      </c>
      <c r="X921">
        <v>0.3</v>
      </c>
      <c r="Y921">
        <v>0</v>
      </c>
      <c r="Z921">
        <v>0</v>
      </c>
      <c r="AA921">
        <v>0</v>
      </c>
      <c r="AB921">
        <v>0.04</v>
      </c>
      <c r="AC921">
        <v>8.01</v>
      </c>
      <c r="AD921">
        <v>13.67</v>
      </c>
      <c r="AE921">
        <v>11.93</v>
      </c>
      <c r="AF921">
        <v>0</v>
      </c>
      <c r="AG921">
        <v>5.43</v>
      </c>
      <c r="AH921">
        <v>64.69</v>
      </c>
      <c r="AI921">
        <v>3.79</v>
      </c>
      <c r="AJ921">
        <v>0</v>
      </c>
      <c r="AK921">
        <v>0</v>
      </c>
      <c r="AL921">
        <v>0</v>
      </c>
      <c r="AM921">
        <v>0.49</v>
      </c>
      <c r="AN921">
        <f t="shared" si="43"/>
        <v>6</v>
      </c>
      <c r="AO921" t="str">
        <f t="shared" si="44"/>
        <v>Friday</v>
      </c>
    </row>
    <row r="922" spans="1:41" x14ac:dyDescent="0.2">
      <c r="A922" t="s">
        <v>39</v>
      </c>
      <c r="B922" s="1">
        <v>45821</v>
      </c>
      <c r="C922" s="1">
        <f t="shared" si="42"/>
        <v>45838</v>
      </c>
      <c r="D922">
        <v>16</v>
      </c>
      <c r="E922">
        <v>36</v>
      </c>
      <c r="F922">
        <v>0</v>
      </c>
      <c r="G922">
        <v>1</v>
      </c>
      <c r="H922">
        <v>5</v>
      </c>
      <c r="I922">
        <v>0</v>
      </c>
      <c r="J922">
        <v>1</v>
      </c>
      <c r="K922">
        <v>19</v>
      </c>
      <c r="L922" t="s">
        <v>39</v>
      </c>
      <c r="M922" t="s">
        <v>38</v>
      </c>
      <c r="N922" s="1">
        <v>45821</v>
      </c>
      <c r="O922" s="2">
        <v>0.53951388888888885</v>
      </c>
      <c r="P922" s="2">
        <v>0.70837962962962964</v>
      </c>
      <c r="Q922">
        <v>4.07</v>
      </c>
      <c r="R922">
        <v>4</v>
      </c>
      <c r="S922">
        <v>0.73</v>
      </c>
      <c r="T922">
        <v>0.09</v>
      </c>
      <c r="U922">
        <v>0</v>
      </c>
      <c r="V922">
        <v>0.02</v>
      </c>
      <c r="W922">
        <v>2.91</v>
      </c>
      <c r="X922">
        <v>0.25</v>
      </c>
      <c r="Y922">
        <v>0</v>
      </c>
      <c r="Z922">
        <v>0</v>
      </c>
      <c r="AA922">
        <v>0</v>
      </c>
      <c r="AB922">
        <v>0</v>
      </c>
      <c r="AC922">
        <v>4</v>
      </c>
      <c r="AD922">
        <v>18.149999999999999</v>
      </c>
      <c r="AE922">
        <v>2.27</v>
      </c>
      <c r="AF922">
        <v>0</v>
      </c>
      <c r="AG922">
        <v>0.44</v>
      </c>
      <c r="AH922">
        <v>72.739999999999995</v>
      </c>
      <c r="AI922">
        <v>6.3</v>
      </c>
      <c r="AJ922">
        <v>0</v>
      </c>
      <c r="AK922">
        <v>0</v>
      </c>
      <c r="AL922">
        <v>0</v>
      </c>
      <c r="AM922">
        <v>0.09</v>
      </c>
      <c r="AN922">
        <f t="shared" si="43"/>
        <v>6</v>
      </c>
      <c r="AO922" t="str">
        <f t="shared" si="44"/>
        <v>Friday</v>
      </c>
    </row>
    <row r="923" spans="1:41" x14ac:dyDescent="0.2">
      <c r="A923" t="s">
        <v>41</v>
      </c>
      <c r="B923" s="1">
        <v>45821</v>
      </c>
      <c r="C923" s="1">
        <f t="shared" si="42"/>
        <v>45838</v>
      </c>
      <c r="D923">
        <v>30</v>
      </c>
      <c r="E923">
        <v>86</v>
      </c>
      <c r="F923">
        <v>5</v>
      </c>
      <c r="G923">
        <v>3</v>
      </c>
      <c r="H923">
        <v>2</v>
      </c>
      <c r="I923">
        <v>0</v>
      </c>
      <c r="J923">
        <v>0</v>
      </c>
      <c r="K923">
        <v>63</v>
      </c>
      <c r="L923" t="s">
        <v>41</v>
      </c>
      <c r="M923" t="s">
        <v>38</v>
      </c>
      <c r="N923" s="1">
        <v>45821</v>
      </c>
      <c r="O923" s="2">
        <v>0.54223379629629631</v>
      </c>
      <c r="P923" s="2">
        <v>0.91656249999999995</v>
      </c>
      <c r="Q923">
        <v>8.98</v>
      </c>
      <c r="R923">
        <v>8.92</v>
      </c>
      <c r="S923">
        <v>0.74</v>
      </c>
      <c r="T923">
        <v>0.37</v>
      </c>
      <c r="U923">
        <v>0</v>
      </c>
      <c r="V923">
        <v>0.13</v>
      </c>
      <c r="W923">
        <v>5.51</v>
      </c>
      <c r="X923">
        <v>1.4</v>
      </c>
      <c r="Y923">
        <v>0.75</v>
      </c>
      <c r="Z923">
        <v>0</v>
      </c>
      <c r="AA923">
        <v>0</v>
      </c>
      <c r="AB923">
        <v>0.01</v>
      </c>
      <c r="AC923">
        <v>8.92</v>
      </c>
      <c r="AD923">
        <v>8.35</v>
      </c>
      <c r="AE923">
        <v>4.1100000000000003</v>
      </c>
      <c r="AF923">
        <v>0</v>
      </c>
      <c r="AG923">
        <v>1.43</v>
      </c>
      <c r="AH923">
        <v>61.78</v>
      </c>
      <c r="AI923">
        <v>15.75</v>
      </c>
      <c r="AJ923">
        <v>8.4600000000000009</v>
      </c>
      <c r="AK923">
        <v>0</v>
      </c>
      <c r="AL923">
        <v>0</v>
      </c>
      <c r="AM923">
        <v>0.12</v>
      </c>
      <c r="AN923">
        <f t="shared" si="43"/>
        <v>6</v>
      </c>
      <c r="AO923" t="str">
        <f t="shared" si="44"/>
        <v>Friday</v>
      </c>
    </row>
    <row r="924" spans="1:41" x14ac:dyDescent="0.2">
      <c r="A924" t="s">
        <v>42</v>
      </c>
      <c r="B924" s="1">
        <v>45821</v>
      </c>
      <c r="C924" s="1">
        <f t="shared" si="42"/>
        <v>45838</v>
      </c>
      <c r="D924">
        <v>1</v>
      </c>
      <c r="E924">
        <v>1</v>
      </c>
      <c r="F924">
        <v>0</v>
      </c>
      <c r="G924">
        <v>0</v>
      </c>
      <c r="H924">
        <v>1</v>
      </c>
      <c r="I924">
        <v>0</v>
      </c>
      <c r="J924">
        <v>0</v>
      </c>
      <c r="K924">
        <v>0</v>
      </c>
      <c r="L924" t="s">
        <v>42</v>
      </c>
      <c r="M924" t="s">
        <v>38</v>
      </c>
      <c r="N924" s="1">
        <v>45821</v>
      </c>
      <c r="O924" s="2">
        <v>0.89506944444444447</v>
      </c>
      <c r="R924">
        <v>2.52</v>
      </c>
      <c r="S924">
        <v>2.5099999999999998</v>
      </c>
      <c r="T924">
        <v>0</v>
      </c>
      <c r="U924">
        <v>0</v>
      </c>
      <c r="V924">
        <v>0</v>
      </c>
      <c r="W924">
        <v>0</v>
      </c>
      <c r="X924">
        <v>0</v>
      </c>
      <c r="Y924">
        <v>0</v>
      </c>
      <c r="Z924">
        <v>0</v>
      </c>
      <c r="AA924">
        <v>0</v>
      </c>
      <c r="AB924">
        <v>0</v>
      </c>
      <c r="AC924">
        <v>2.52</v>
      </c>
      <c r="AD924">
        <v>99.68</v>
      </c>
      <c r="AE924">
        <v>0</v>
      </c>
      <c r="AF924">
        <v>0</v>
      </c>
      <c r="AG924">
        <v>0.19</v>
      </c>
      <c r="AH924">
        <v>0</v>
      </c>
      <c r="AI924">
        <v>0</v>
      </c>
      <c r="AJ924">
        <v>0</v>
      </c>
      <c r="AK924">
        <v>0</v>
      </c>
      <c r="AL924">
        <v>0</v>
      </c>
      <c r="AM924">
        <v>0.13</v>
      </c>
      <c r="AN924">
        <f t="shared" si="43"/>
        <v>6</v>
      </c>
      <c r="AO924" t="str">
        <f t="shared" si="44"/>
        <v>Friday</v>
      </c>
    </row>
    <row r="925" spans="1:41" x14ac:dyDescent="0.2">
      <c r="A925" t="s">
        <v>43</v>
      </c>
      <c r="B925" s="1">
        <v>45821</v>
      </c>
      <c r="C925" s="1">
        <f t="shared" si="42"/>
        <v>45838</v>
      </c>
      <c r="D925">
        <v>32</v>
      </c>
      <c r="E925">
        <v>75</v>
      </c>
      <c r="F925">
        <v>9</v>
      </c>
      <c r="G925">
        <v>2</v>
      </c>
      <c r="H925">
        <v>6</v>
      </c>
      <c r="I925">
        <v>1</v>
      </c>
      <c r="J925">
        <v>0</v>
      </c>
      <c r="K925">
        <v>42</v>
      </c>
      <c r="L925" t="s">
        <v>43</v>
      </c>
      <c r="M925" t="s">
        <v>38</v>
      </c>
      <c r="N925" s="1">
        <v>45821</v>
      </c>
      <c r="O925" s="2">
        <v>0.54185185185185181</v>
      </c>
      <c r="P925" s="2">
        <v>0.9220949074074074</v>
      </c>
      <c r="Q925">
        <v>9.1199999999999992</v>
      </c>
      <c r="R925">
        <v>9.1199999999999992</v>
      </c>
      <c r="S925">
        <v>1.35</v>
      </c>
      <c r="T925">
        <v>0.16</v>
      </c>
      <c r="U925">
        <v>0</v>
      </c>
      <c r="V925">
        <v>0.43</v>
      </c>
      <c r="W925">
        <v>5.35</v>
      </c>
      <c r="X925">
        <v>1.79</v>
      </c>
      <c r="Y925">
        <v>0</v>
      </c>
      <c r="Z925">
        <v>0</v>
      </c>
      <c r="AA925">
        <v>0.03</v>
      </c>
      <c r="AB925">
        <v>0</v>
      </c>
      <c r="AC925">
        <v>9.1199999999999992</v>
      </c>
      <c r="AD925">
        <v>14.83</v>
      </c>
      <c r="AE925">
        <v>1.79</v>
      </c>
      <c r="AF925">
        <v>0</v>
      </c>
      <c r="AG925">
        <v>4.7300000000000004</v>
      </c>
      <c r="AH925">
        <v>58.66</v>
      </c>
      <c r="AI925">
        <v>19.59</v>
      </c>
      <c r="AJ925">
        <v>0</v>
      </c>
      <c r="AK925">
        <v>0</v>
      </c>
      <c r="AL925">
        <v>0.36</v>
      </c>
      <c r="AM925">
        <v>0.03</v>
      </c>
      <c r="AN925">
        <f t="shared" si="43"/>
        <v>6</v>
      </c>
      <c r="AO925" t="str">
        <f t="shared" si="44"/>
        <v>Friday</v>
      </c>
    </row>
    <row r="926" spans="1:41" x14ac:dyDescent="0.2">
      <c r="B926" s="1">
        <v>45821</v>
      </c>
      <c r="C926" s="1">
        <f t="shared" si="42"/>
        <v>45838</v>
      </c>
      <c r="D926">
        <v>546</v>
      </c>
      <c r="E926">
        <v>0</v>
      </c>
      <c r="F926">
        <v>0</v>
      </c>
      <c r="G926">
        <v>0</v>
      </c>
      <c r="H926">
        <v>0</v>
      </c>
      <c r="I926">
        <v>0</v>
      </c>
      <c r="J926">
        <v>0</v>
      </c>
      <c r="K926">
        <v>0</v>
      </c>
      <c r="AN926">
        <f t="shared" si="43"/>
        <v>6</v>
      </c>
      <c r="AO926" t="str">
        <f t="shared" si="44"/>
        <v>Friday</v>
      </c>
    </row>
    <row r="927" spans="1:41" x14ac:dyDescent="0.2">
      <c r="A927" t="s">
        <v>37</v>
      </c>
      <c r="B927" s="1">
        <v>45820</v>
      </c>
      <c r="C927" s="1">
        <f t="shared" si="42"/>
        <v>45838</v>
      </c>
      <c r="D927">
        <v>32</v>
      </c>
      <c r="E927">
        <v>90</v>
      </c>
      <c r="F927">
        <v>0</v>
      </c>
      <c r="G927">
        <v>3</v>
      </c>
      <c r="H927">
        <v>3</v>
      </c>
      <c r="I927">
        <v>0</v>
      </c>
      <c r="J927">
        <v>2</v>
      </c>
      <c r="K927">
        <v>64</v>
      </c>
      <c r="L927" t="s">
        <v>37</v>
      </c>
      <c r="M927" t="s">
        <v>38</v>
      </c>
      <c r="N927" s="1">
        <v>45820</v>
      </c>
      <c r="O927" s="2">
        <v>0.54305555555555551</v>
      </c>
      <c r="P927" s="2">
        <v>0.91690972222222222</v>
      </c>
      <c r="Q927">
        <v>8.9700000000000006</v>
      </c>
      <c r="R927">
        <v>7.97</v>
      </c>
      <c r="S927">
        <v>1.27</v>
      </c>
      <c r="T927">
        <v>0</v>
      </c>
      <c r="U927">
        <v>0</v>
      </c>
      <c r="V927">
        <v>0.61</v>
      </c>
      <c r="W927">
        <v>5.61</v>
      </c>
      <c r="X927">
        <v>0.41</v>
      </c>
      <c r="Y927">
        <v>0</v>
      </c>
      <c r="Z927">
        <v>0</v>
      </c>
      <c r="AA927">
        <v>0</v>
      </c>
      <c r="AB927">
        <v>0.06</v>
      </c>
      <c r="AC927">
        <v>7.97</v>
      </c>
      <c r="AD927">
        <v>15.97</v>
      </c>
      <c r="AE927">
        <v>0</v>
      </c>
      <c r="AF927">
        <v>0</v>
      </c>
      <c r="AG927">
        <v>7.68</v>
      </c>
      <c r="AH927">
        <v>70.400000000000006</v>
      </c>
      <c r="AI927">
        <v>5.21</v>
      </c>
      <c r="AJ927">
        <v>0</v>
      </c>
      <c r="AK927">
        <v>0</v>
      </c>
      <c r="AL927">
        <v>0</v>
      </c>
      <c r="AM927">
        <v>0.74</v>
      </c>
      <c r="AN927">
        <f t="shared" si="43"/>
        <v>5</v>
      </c>
      <c r="AO927" t="str">
        <f t="shared" si="44"/>
        <v>Thursday</v>
      </c>
    </row>
    <row r="928" spans="1:41" x14ac:dyDescent="0.2">
      <c r="A928" t="s">
        <v>39</v>
      </c>
      <c r="B928" s="1">
        <v>45820</v>
      </c>
      <c r="C928" s="1">
        <f t="shared" si="42"/>
        <v>45838</v>
      </c>
      <c r="D928">
        <v>32</v>
      </c>
      <c r="E928">
        <v>68</v>
      </c>
      <c r="F928">
        <v>4</v>
      </c>
      <c r="G928">
        <v>1</v>
      </c>
      <c r="H928">
        <v>4</v>
      </c>
      <c r="I928">
        <v>0</v>
      </c>
      <c r="J928">
        <v>4</v>
      </c>
      <c r="K928">
        <v>36</v>
      </c>
      <c r="L928" t="s">
        <v>39</v>
      </c>
      <c r="M928" t="s">
        <v>38</v>
      </c>
      <c r="N928" s="1">
        <v>45820</v>
      </c>
      <c r="O928" s="2">
        <v>0.54182870370370373</v>
      </c>
      <c r="P928" s="2">
        <v>0.91674768518518523</v>
      </c>
      <c r="Q928">
        <v>9</v>
      </c>
      <c r="R928">
        <v>9</v>
      </c>
      <c r="S928">
        <v>1.39</v>
      </c>
      <c r="T928">
        <v>0.23</v>
      </c>
      <c r="U928">
        <v>0</v>
      </c>
      <c r="V928">
        <v>0.04</v>
      </c>
      <c r="W928">
        <v>5.98</v>
      </c>
      <c r="X928">
        <v>1.37</v>
      </c>
      <c r="Y928">
        <v>0</v>
      </c>
      <c r="Z928">
        <v>0</v>
      </c>
      <c r="AA928">
        <v>0</v>
      </c>
      <c r="AB928">
        <v>0</v>
      </c>
      <c r="AC928">
        <v>9</v>
      </c>
      <c r="AD928">
        <v>15.42</v>
      </c>
      <c r="AE928">
        <v>2.52</v>
      </c>
      <c r="AF928">
        <v>0</v>
      </c>
      <c r="AG928">
        <v>0.42</v>
      </c>
      <c r="AH928">
        <v>66.42</v>
      </c>
      <c r="AI928">
        <v>15.19</v>
      </c>
      <c r="AJ928">
        <v>0</v>
      </c>
      <c r="AK928">
        <v>0</v>
      </c>
      <c r="AL928">
        <v>0</v>
      </c>
      <c r="AM928">
        <v>0.03</v>
      </c>
      <c r="AN928">
        <f t="shared" si="43"/>
        <v>5</v>
      </c>
      <c r="AO928" t="str">
        <f t="shared" si="44"/>
        <v>Thursday</v>
      </c>
    </row>
    <row r="929" spans="1:41" x14ac:dyDescent="0.2">
      <c r="A929" t="s">
        <v>41</v>
      </c>
      <c r="B929" s="1">
        <v>45820</v>
      </c>
      <c r="C929" s="1">
        <f t="shared" si="42"/>
        <v>45838</v>
      </c>
      <c r="D929">
        <v>31</v>
      </c>
      <c r="E929">
        <v>84</v>
      </c>
      <c r="F929">
        <v>5</v>
      </c>
      <c r="G929">
        <v>1</v>
      </c>
      <c r="H929">
        <v>3</v>
      </c>
      <c r="I929">
        <v>1</v>
      </c>
      <c r="J929">
        <v>3</v>
      </c>
      <c r="K929">
        <v>58</v>
      </c>
      <c r="L929" t="s">
        <v>41</v>
      </c>
      <c r="M929" t="s">
        <v>38</v>
      </c>
      <c r="N929" s="1">
        <v>45820</v>
      </c>
      <c r="O929" s="2">
        <v>0.54181712962962958</v>
      </c>
      <c r="P929" s="2">
        <v>0.91075231481481478</v>
      </c>
      <c r="Q929">
        <v>8.85</v>
      </c>
      <c r="R929">
        <v>7.95</v>
      </c>
      <c r="S929">
        <v>0.99</v>
      </c>
      <c r="T929">
        <v>0.25</v>
      </c>
      <c r="U929">
        <v>0</v>
      </c>
      <c r="V929">
        <v>0.33</v>
      </c>
      <c r="W929">
        <v>5.53</v>
      </c>
      <c r="X929">
        <v>0.56999999999999995</v>
      </c>
      <c r="Y929">
        <v>0.26</v>
      </c>
      <c r="Z929">
        <v>0</v>
      </c>
      <c r="AA929">
        <v>0</v>
      </c>
      <c r="AB929">
        <v>0.01</v>
      </c>
      <c r="AC929">
        <v>7.95</v>
      </c>
      <c r="AD929">
        <v>12.5</v>
      </c>
      <c r="AE929">
        <v>3.15</v>
      </c>
      <c r="AF929">
        <v>0</v>
      </c>
      <c r="AG929">
        <v>4.2</v>
      </c>
      <c r="AH929">
        <v>69.53</v>
      </c>
      <c r="AI929">
        <v>7.21</v>
      </c>
      <c r="AJ929">
        <v>3.23</v>
      </c>
      <c r="AK929">
        <v>0</v>
      </c>
      <c r="AL929">
        <v>0</v>
      </c>
      <c r="AM929">
        <v>0.17</v>
      </c>
      <c r="AN929">
        <f t="shared" si="43"/>
        <v>5</v>
      </c>
      <c r="AO929" t="str">
        <f t="shared" si="44"/>
        <v>Thursday</v>
      </c>
    </row>
    <row r="930" spans="1:41" x14ac:dyDescent="0.2">
      <c r="A930" t="s">
        <v>43</v>
      </c>
      <c r="B930" s="1">
        <v>45820</v>
      </c>
      <c r="C930" s="1">
        <f t="shared" si="42"/>
        <v>45838</v>
      </c>
      <c r="D930">
        <v>20</v>
      </c>
      <c r="E930">
        <v>58</v>
      </c>
      <c r="F930">
        <v>9</v>
      </c>
      <c r="G930">
        <v>2</v>
      </c>
      <c r="H930">
        <v>17</v>
      </c>
      <c r="I930">
        <v>0</v>
      </c>
      <c r="J930">
        <v>0</v>
      </c>
      <c r="K930">
        <v>24</v>
      </c>
      <c r="L930" t="s">
        <v>43</v>
      </c>
      <c r="M930" t="s">
        <v>38</v>
      </c>
      <c r="N930" s="1">
        <v>45820</v>
      </c>
      <c r="O930" s="2">
        <v>0.54743055555555553</v>
      </c>
      <c r="P930" s="2">
        <v>0.9225578703703704</v>
      </c>
      <c r="Q930">
        <v>9</v>
      </c>
      <c r="R930">
        <v>8.77</v>
      </c>
      <c r="S930">
        <v>1.41</v>
      </c>
      <c r="T930">
        <v>0.11</v>
      </c>
      <c r="U930">
        <v>0</v>
      </c>
      <c r="V930">
        <v>0.48</v>
      </c>
      <c r="W930">
        <v>4.37</v>
      </c>
      <c r="X930">
        <v>1.46</v>
      </c>
      <c r="Y930">
        <v>0.83</v>
      </c>
      <c r="Z930">
        <v>0</v>
      </c>
      <c r="AA930">
        <v>0.1</v>
      </c>
      <c r="AB930">
        <v>0.01</v>
      </c>
      <c r="AC930">
        <v>8.77</v>
      </c>
      <c r="AD930">
        <v>16.02</v>
      </c>
      <c r="AE930">
        <v>1.3</v>
      </c>
      <c r="AF930">
        <v>0</v>
      </c>
      <c r="AG930">
        <v>5.5</v>
      </c>
      <c r="AH930">
        <v>49.78</v>
      </c>
      <c r="AI930">
        <v>16.68</v>
      </c>
      <c r="AJ930">
        <v>9.51</v>
      </c>
      <c r="AK930">
        <v>0</v>
      </c>
      <c r="AL930">
        <v>1.1000000000000001</v>
      </c>
      <c r="AM930">
        <v>0.11</v>
      </c>
      <c r="AN930">
        <f t="shared" si="43"/>
        <v>5</v>
      </c>
      <c r="AO930" t="str">
        <f t="shared" si="44"/>
        <v>Thursday</v>
      </c>
    </row>
    <row r="931" spans="1:41" x14ac:dyDescent="0.2">
      <c r="B931" s="1">
        <v>45820</v>
      </c>
      <c r="C931" s="1">
        <f t="shared" si="42"/>
        <v>45838</v>
      </c>
      <c r="D931">
        <v>556</v>
      </c>
      <c r="E931">
        <v>0</v>
      </c>
      <c r="F931">
        <v>0</v>
      </c>
      <c r="G931">
        <v>0</v>
      </c>
      <c r="H931">
        <v>0</v>
      </c>
      <c r="I931">
        <v>0</v>
      </c>
      <c r="J931">
        <v>0</v>
      </c>
      <c r="K931">
        <v>0</v>
      </c>
      <c r="AN931">
        <f t="shared" si="43"/>
        <v>5</v>
      </c>
      <c r="AO931" t="str">
        <f t="shared" si="44"/>
        <v>Thursday</v>
      </c>
    </row>
    <row r="932" spans="1:41" x14ac:dyDescent="0.2">
      <c r="A932" t="s">
        <v>37</v>
      </c>
      <c r="B932" s="1">
        <v>45819</v>
      </c>
      <c r="C932" s="1">
        <f t="shared" si="42"/>
        <v>45838</v>
      </c>
      <c r="D932">
        <v>27</v>
      </c>
      <c r="E932">
        <v>79</v>
      </c>
      <c r="F932">
        <v>2</v>
      </c>
      <c r="G932">
        <v>7</v>
      </c>
      <c r="H932">
        <v>4</v>
      </c>
      <c r="I932">
        <v>1</v>
      </c>
      <c r="J932">
        <v>0</v>
      </c>
      <c r="K932">
        <v>51</v>
      </c>
      <c r="L932" t="s">
        <v>37</v>
      </c>
      <c r="M932" t="s">
        <v>38</v>
      </c>
      <c r="N932" s="1">
        <v>45819</v>
      </c>
      <c r="O932" s="2">
        <v>0.54197916666666668</v>
      </c>
      <c r="P932" s="2">
        <v>0.91692129629629626</v>
      </c>
      <c r="Q932">
        <v>9</v>
      </c>
      <c r="R932">
        <v>8.1300000000000008</v>
      </c>
      <c r="S932">
        <v>1.48</v>
      </c>
      <c r="T932">
        <v>0.36</v>
      </c>
      <c r="U932">
        <v>0</v>
      </c>
      <c r="V932">
        <v>0.53</v>
      </c>
      <c r="W932">
        <v>5.15</v>
      </c>
      <c r="X932">
        <v>0.6</v>
      </c>
      <c r="Y932">
        <v>0</v>
      </c>
      <c r="Z932">
        <v>0</v>
      </c>
      <c r="AA932">
        <v>0</v>
      </c>
      <c r="AB932">
        <v>0.01</v>
      </c>
      <c r="AC932">
        <v>8.1300000000000008</v>
      </c>
      <c r="AD932">
        <v>18.170000000000002</v>
      </c>
      <c r="AE932">
        <v>4.4000000000000004</v>
      </c>
      <c r="AF932">
        <v>0</v>
      </c>
      <c r="AG932">
        <v>6.57</v>
      </c>
      <c r="AH932">
        <v>63.41</v>
      </c>
      <c r="AI932">
        <v>7.33</v>
      </c>
      <c r="AJ932">
        <v>0</v>
      </c>
      <c r="AK932">
        <v>0</v>
      </c>
      <c r="AL932">
        <v>0</v>
      </c>
      <c r="AM932">
        <v>0.12</v>
      </c>
      <c r="AN932">
        <f t="shared" si="43"/>
        <v>4</v>
      </c>
      <c r="AO932" t="str">
        <f t="shared" si="44"/>
        <v>Wednesday</v>
      </c>
    </row>
    <row r="933" spans="1:41" x14ac:dyDescent="0.2">
      <c r="A933" t="s">
        <v>39</v>
      </c>
      <c r="B933" s="1">
        <v>45819</v>
      </c>
      <c r="C933" s="1">
        <f t="shared" si="42"/>
        <v>45838</v>
      </c>
      <c r="D933">
        <v>30</v>
      </c>
      <c r="E933">
        <v>92</v>
      </c>
      <c r="F933">
        <v>6</v>
      </c>
      <c r="G933">
        <v>7</v>
      </c>
      <c r="H933">
        <v>10</v>
      </c>
      <c r="I933">
        <v>0</v>
      </c>
      <c r="J933">
        <v>0</v>
      </c>
      <c r="K933">
        <v>59</v>
      </c>
      <c r="L933" t="s">
        <v>39</v>
      </c>
      <c r="M933" t="s">
        <v>38</v>
      </c>
      <c r="N933" s="1">
        <v>45819</v>
      </c>
      <c r="O933" s="2">
        <v>0.54182870370370373</v>
      </c>
      <c r="P933" s="2">
        <v>0.91685185185185181</v>
      </c>
      <c r="Q933">
        <v>9</v>
      </c>
      <c r="R933">
        <v>8.99</v>
      </c>
      <c r="S933">
        <v>1.31</v>
      </c>
      <c r="T933">
        <v>0.12</v>
      </c>
      <c r="U933">
        <v>0</v>
      </c>
      <c r="V933">
        <v>0.04</v>
      </c>
      <c r="W933">
        <v>6.1</v>
      </c>
      <c r="X933">
        <v>1.41</v>
      </c>
      <c r="Y933">
        <v>0</v>
      </c>
      <c r="Z933">
        <v>0</v>
      </c>
      <c r="AA933">
        <v>0</v>
      </c>
      <c r="AB933">
        <v>0.01</v>
      </c>
      <c r="AC933">
        <v>8.99</v>
      </c>
      <c r="AD933">
        <v>14.62</v>
      </c>
      <c r="AE933">
        <v>1.29</v>
      </c>
      <c r="AF933">
        <v>0</v>
      </c>
      <c r="AG933">
        <v>0.47</v>
      </c>
      <c r="AH933">
        <v>67.819999999999993</v>
      </c>
      <c r="AI933">
        <v>15.69</v>
      </c>
      <c r="AJ933">
        <v>0</v>
      </c>
      <c r="AK933">
        <v>0</v>
      </c>
      <c r="AL933">
        <v>0</v>
      </c>
      <c r="AM933">
        <v>0.11</v>
      </c>
      <c r="AN933">
        <f t="shared" si="43"/>
        <v>4</v>
      </c>
      <c r="AO933" t="str">
        <f t="shared" si="44"/>
        <v>Wednesday</v>
      </c>
    </row>
    <row r="934" spans="1:41" x14ac:dyDescent="0.2">
      <c r="A934" t="s">
        <v>41</v>
      </c>
      <c r="B934" s="1">
        <v>45819</v>
      </c>
      <c r="C934" s="1">
        <f t="shared" si="42"/>
        <v>45838</v>
      </c>
      <c r="D934">
        <v>34</v>
      </c>
      <c r="E934">
        <v>103</v>
      </c>
      <c r="F934">
        <v>4</v>
      </c>
      <c r="G934">
        <v>9</v>
      </c>
      <c r="H934">
        <v>13</v>
      </c>
      <c r="I934">
        <v>1</v>
      </c>
      <c r="J934">
        <v>0</v>
      </c>
      <c r="K934">
        <v>63</v>
      </c>
      <c r="L934" t="s">
        <v>41</v>
      </c>
      <c r="M934" t="s">
        <v>38</v>
      </c>
      <c r="N934" s="1">
        <v>45819</v>
      </c>
      <c r="O934" s="2">
        <v>0.54173611111111108</v>
      </c>
      <c r="P934" s="2">
        <v>0.91749999999999998</v>
      </c>
      <c r="Q934">
        <v>9.02</v>
      </c>
      <c r="R934">
        <v>9.02</v>
      </c>
      <c r="S934">
        <v>0.9</v>
      </c>
      <c r="T934">
        <v>7.0000000000000007E-2</v>
      </c>
      <c r="U934">
        <v>0</v>
      </c>
      <c r="V934">
        <v>0.26</v>
      </c>
      <c r="W934">
        <v>6.37</v>
      </c>
      <c r="X934">
        <v>1.42</v>
      </c>
      <c r="Y934">
        <v>0</v>
      </c>
      <c r="Z934">
        <v>0</v>
      </c>
      <c r="AA934">
        <v>0</v>
      </c>
      <c r="AB934">
        <v>0</v>
      </c>
      <c r="AC934">
        <v>9.02</v>
      </c>
      <c r="AD934">
        <v>9.9499999999999993</v>
      </c>
      <c r="AE934">
        <v>0.77</v>
      </c>
      <c r="AF934">
        <v>0</v>
      </c>
      <c r="AG934">
        <v>2.93</v>
      </c>
      <c r="AH934">
        <v>70.59</v>
      </c>
      <c r="AI934">
        <v>15.72</v>
      </c>
      <c r="AJ934">
        <v>0</v>
      </c>
      <c r="AK934">
        <v>0</v>
      </c>
      <c r="AL934">
        <v>0</v>
      </c>
      <c r="AM934">
        <v>0.05</v>
      </c>
      <c r="AN934">
        <f t="shared" si="43"/>
        <v>4</v>
      </c>
      <c r="AO934" t="str">
        <f t="shared" si="44"/>
        <v>Wednesday</v>
      </c>
    </row>
    <row r="935" spans="1:41" x14ac:dyDescent="0.2">
      <c r="A935" t="s">
        <v>43</v>
      </c>
      <c r="B935" s="1">
        <v>45819</v>
      </c>
      <c r="C935" s="1">
        <f t="shared" si="42"/>
        <v>45838</v>
      </c>
      <c r="D935">
        <v>35</v>
      </c>
      <c r="E935">
        <v>114</v>
      </c>
      <c r="F935">
        <v>2</v>
      </c>
      <c r="G935">
        <v>1</v>
      </c>
      <c r="H935">
        <v>15</v>
      </c>
      <c r="I935">
        <v>0</v>
      </c>
      <c r="J935">
        <v>0</v>
      </c>
      <c r="K935">
        <v>64</v>
      </c>
      <c r="L935" t="s">
        <v>43</v>
      </c>
      <c r="M935" t="s">
        <v>38</v>
      </c>
      <c r="N935" s="1">
        <v>45819</v>
      </c>
      <c r="O935" s="2">
        <v>0.54218750000000004</v>
      </c>
      <c r="P935" s="2">
        <v>0.91916666666666669</v>
      </c>
      <c r="Q935">
        <v>9.0500000000000007</v>
      </c>
      <c r="R935">
        <v>9.0500000000000007</v>
      </c>
      <c r="S935">
        <v>1.1599999999999999</v>
      </c>
      <c r="T935">
        <v>0.28000000000000003</v>
      </c>
      <c r="U935">
        <v>0</v>
      </c>
      <c r="V935">
        <v>0.3</v>
      </c>
      <c r="W935">
        <v>5.07</v>
      </c>
      <c r="X935">
        <v>1.46</v>
      </c>
      <c r="Y935">
        <v>0.77</v>
      </c>
      <c r="Z935">
        <v>0</v>
      </c>
      <c r="AA935">
        <v>0</v>
      </c>
      <c r="AB935">
        <v>0</v>
      </c>
      <c r="AC935">
        <v>9.0500000000000007</v>
      </c>
      <c r="AD935">
        <v>12.79</v>
      </c>
      <c r="AE935">
        <v>3.14</v>
      </c>
      <c r="AF935">
        <v>0</v>
      </c>
      <c r="AG935">
        <v>3.3</v>
      </c>
      <c r="AH935">
        <v>56.05</v>
      </c>
      <c r="AI935">
        <v>16.170000000000002</v>
      </c>
      <c r="AJ935">
        <v>8.51</v>
      </c>
      <c r="AK935">
        <v>0</v>
      </c>
      <c r="AL935">
        <v>0</v>
      </c>
      <c r="AM935">
        <v>0.04</v>
      </c>
      <c r="AN935">
        <f t="shared" si="43"/>
        <v>4</v>
      </c>
      <c r="AO935" t="str">
        <f t="shared" si="44"/>
        <v>Wednesday</v>
      </c>
    </row>
    <row r="936" spans="1:41" x14ac:dyDescent="0.2">
      <c r="B936" s="1">
        <v>45819</v>
      </c>
      <c r="C936" s="1">
        <f t="shared" si="42"/>
        <v>45838</v>
      </c>
      <c r="D936">
        <v>558</v>
      </c>
      <c r="E936">
        <v>0</v>
      </c>
      <c r="F936">
        <v>0</v>
      </c>
      <c r="G936">
        <v>0</v>
      </c>
      <c r="H936">
        <v>0</v>
      </c>
      <c r="I936">
        <v>0</v>
      </c>
      <c r="J936">
        <v>0</v>
      </c>
      <c r="K936">
        <v>0</v>
      </c>
      <c r="AN936">
        <f t="shared" si="43"/>
        <v>4</v>
      </c>
      <c r="AO936" t="str">
        <f t="shared" si="44"/>
        <v>Wednesday</v>
      </c>
    </row>
    <row r="937" spans="1:41" x14ac:dyDescent="0.2">
      <c r="A937" t="s">
        <v>37</v>
      </c>
      <c r="B937" s="1">
        <v>45818</v>
      </c>
      <c r="C937" s="1">
        <f t="shared" si="42"/>
        <v>45838</v>
      </c>
      <c r="D937">
        <v>26</v>
      </c>
      <c r="E937">
        <v>59</v>
      </c>
      <c r="F937">
        <v>4</v>
      </c>
      <c r="G937">
        <v>3</v>
      </c>
      <c r="H937">
        <v>5</v>
      </c>
      <c r="I937">
        <v>0</v>
      </c>
      <c r="J937">
        <v>2</v>
      </c>
      <c r="K937">
        <v>34</v>
      </c>
      <c r="L937" t="s">
        <v>37</v>
      </c>
      <c r="M937" t="s">
        <v>38</v>
      </c>
      <c r="N937" s="1">
        <v>45818</v>
      </c>
      <c r="O937" s="2">
        <v>0.54189814814814818</v>
      </c>
      <c r="P937" s="2">
        <v>0.91689814814814818</v>
      </c>
      <c r="Q937">
        <v>9</v>
      </c>
      <c r="R937">
        <v>8.1300000000000008</v>
      </c>
      <c r="S937">
        <v>2.77</v>
      </c>
      <c r="T937">
        <v>0.39</v>
      </c>
      <c r="U937">
        <v>0</v>
      </c>
      <c r="V937">
        <v>0.38</v>
      </c>
      <c r="W937">
        <v>4.18</v>
      </c>
      <c r="X937">
        <v>0.38</v>
      </c>
      <c r="Y937">
        <v>0</v>
      </c>
      <c r="Z937">
        <v>0</v>
      </c>
      <c r="AA937">
        <v>0</v>
      </c>
      <c r="AB937">
        <v>0.04</v>
      </c>
      <c r="AC937">
        <v>8.1300000000000008</v>
      </c>
      <c r="AD937">
        <v>34.01</v>
      </c>
      <c r="AE937">
        <v>4.82</v>
      </c>
      <c r="AF937">
        <v>0</v>
      </c>
      <c r="AG937">
        <v>4.62</v>
      </c>
      <c r="AH937">
        <v>51.42</v>
      </c>
      <c r="AI937">
        <v>4.6100000000000003</v>
      </c>
      <c r="AJ937">
        <v>0</v>
      </c>
      <c r="AK937">
        <v>0</v>
      </c>
      <c r="AL937">
        <v>0</v>
      </c>
      <c r="AM937">
        <v>0.52</v>
      </c>
      <c r="AN937">
        <f t="shared" si="43"/>
        <v>3</v>
      </c>
      <c r="AO937" t="str">
        <f t="shared" si="44"/>
        <v>Tuesday</v>
      </c>
    </row>
    <row r="938" spans="1:41" x14ac:dyDescent="0.2">
      <c r="A938" t="s">
        <v>52</v>
      </c>
      <c r="B938" s="1">
        <v>45818</v>
      </c>
      <c r="C938" s="1">
        <f t="shared" si="42"/>
        <v>45838</v>
      </c>
      <c r="D938">
        <v>18</v>
      </c>
      <c r="E938">
        <v>45</v>
      </c>
      <c r="F938">
        <v>3</v>
      </c>
      <c r="G938">
        <v>0</v>
      </c>
      <c r="H938">
        <v>2</v>
      </c>
      <c r="I938">
        <v>0</v>
      </c>
      <c r="J938">
        <v>0</v>
      </c>
      <c r="K938">
        <v>32</v>
      </c>
      <c r="L938" t="s">
        <v>52</v>
      </c>
      <c r="M938" t="s">
        <v>38</v>
      </c>
      <c r="N938" s="1">
        <v>45818</v>
      </c>
      <c r="O938" s="2">
        <v>0.54598379629629634</v>
      </c>
      <c r="P938" s="2">
        <v>0.70893518518518517</v>
      </c>
      <c r="Q938">
        <v>3.9</v>
      </c>
      <c r="R938">
        <v>3.65</v>
      </c>
      <c r="S938">
        <v>0.36</v>
      </c>
      <c r="T938">
        <v>0.3</v>
      </c>
      <c r="U938">
        <v>0</v>
      </c>
      <c r="V938">
        <v>0.42</v>
      </c>
      <c r="W938">
        <v>2.4300000000000002</v>
      </c>
      <c r="X938">
        <v>0.12</v>
      </c>
      <c r="Y938">
        <v>0</v>
      </c>
      <c r="Z938">
        <v>0</v>
      </c>
      <c r="AA938">
        <v>0</v>
      </c>
      <c r="AB938">
        <v>0.03</v>
      </c>
      <c r="AC938">
        <v>3.65</v>
      </c>
      <c r="AD938">
        <v>9.77</v>
      </c>
      <c r="AE938">
        <v>8.31</v>
      </c>
      <c r="AF938">
        <v>0</v>
      </c>
      <c r="AG938">
        <v>11.38</v>
      </c>
      <c r="AH938">
        <v>66.47</v>
      </c>
      <c r="AI938">
        <v>3.38</v>
      </c>
      <c r="AJ938">
        <v>0</v>
      </c>
      <c r="AK938">
        <v>0</v>
      </c>
      <c r="AL938">
        <v>0</v>
      </c>
      <c r="AM938">
        <v>0.69</v>
      </c>
      <c r="AN938">
        <f t="shared" si="43"/>
        <v>3</v>
      </c>
      <c r="AO938" t="str">
        <f t="shared" si="44"/>
        <v>Tuesday</v>
      </c>
    </row>
    <row r="939" spans="1:41" x14ac:dyDescent="0.2">
      <c r="A939" t="s">
        <v>39</v>
      </c>
      <c r="B939" s="1">
        <v>45818</v>
      </c>
      <c r="C939" s="1">
        <f t="shared" si="42"/>
        <v>45838</v>
      </c>
      <c r="D939">
        <v>38</v>
      </c>
      <c r="E939">
        <v>89</v>
      </c>
      <c r="F939">
        <v>6</v>
      </c>
      <c r="G939">
        <v>4</v>
      </c>
      <c r="H939">
        <v>8</v>
      </c>
      <c r="I939">
        <v>0</v>
      </c>
      <c r="J939">
        <v>0</v>
      </c>
      <c r="K939">
        <v>53</v>
      </c>
      <c r="L939" t="s">
        <v>39</v>
      </c>
      <c r="M939" t="s">
        <v>38</v>
      </c>
      <c r="N939" s="1">
        <v>45818</v>
      </c>
      <c r="O939" s="2">
        <v>0.54146990740740741</v>
      </c>
      <c r="P939" s="2">
        <v>0.91680555555555554</v>
      </c>
      <c r="Q939">
        <v>9.02</v>
      </c>
      <c r="R939">
        <v>9.01</v>
      </c>
      <c r="S939">
        <v>1.89</v>
      </c>
      <c r="T939">
        <v>0</v>
      </c>
      <c r="U939">
        <v>0</v>
      </c>
      <c r="V939">
        <v>0.03</v>
      </c>
      <c r="W939">
        <v>5.23</v>
      </c>
      <c r="X939">
        <v>1.48</v>
      </c>
      <c r="Y939">
        <v>0.37</v>
      </c>
      <c r="Z939">
        <v>0</v>
      </c>
      <c r="AA939">
        <v>0</v>
      </c>
      <c r="AB939">
        <v>0.01</v>
      </c>
      <c r="AC939">
        <v>9.01</v>
      </c>
      <c r="AD939">
        <v>20.97</v>
      </c>
      <c r="AE939">
        <v>0</v>
      </c>
      <c r="AF939">
        <v>0</v>
      </c>
      <c r="AG939">
        <v>0.36</v>
      </c>
      <c r="AH939">
        <v>58</v>
      </c>
      <c r="AI939">
        <v>16.45</v>
      </c>
      <c r="AJ939">
        <v>4.1500000000000004</v>
      </c>
      <c r="AK939">
        <v>0</v>
      </c>
      <c r="AL939">
        <v>0</v>
      </c>
      <c r="AM939">
        <v>0.06</v>
      </c>
      <c r="AN939">
        <f t="shared" si="43"/>
        <v>3</v>
      </c>
      <c r="AO939" t="str">
        <f t="shared" si="44"/>
        <v>Tuesday</v>
      </c>
    </row>
    <row r="940" spans="1:41" x14ac:dyDescent="0.2">
      <c r="A940" t="s">
        <v>41</v>
      </c>
      <c r="B940" s="1">
        <v>45818</v>
      </c>
      <c r="C940" s="1">
        <f t="shared" si="42"/>
        <v>45838</v>
      </c>
      <c r="D940">
        <v>26</v>
      </c>
      <c r="E940">
        <v>74</v>
      </c>
      <c r="F940">
        <v>7</v>
      </c>
      <c r="G940">
        <v>10</v>
      </c>
      <c r="H940">
        <v>7</v>
      </c>
      <c r="I940">
        <v>0</v>
      </c>
      <c r="J940">
        <v>1</v>
      </c>
      <c r="K940">
        <v>39</v>
      </c>
      <c r="L940" t="s">
        <v>41</v>
      </c>
      <c r="M940" t="s">
        <v>38</v>
      </c>
      <c r="N940" s="1">
        <v>45818</v>
      </c>
      <c r="O940" s="2">
        <v>0.54343750000000002</v>
      </c>
      <c r="P940" s="2">
        <v>0.91673611111111108</v>
      </c>
      <c r="Q940">
        <v>8.9700000000000006</v>
      </c>
      <c r="R940">
        <v>8.9600000000000009</v>
      </c>
      <c r="S940">
        <v>0.85</v>
      </c>
      <c r="T940">
        <v>0.23</v>
      </c>
      <c r="U940">
        <v>0</v>
      </c>
      <c r="V940">
        <v>0.15</v>
      </c>
      <c r="W940">
        <v>5.32</v>
      </c>
      <c r="X940">
        <v>1.45</v>
      </c>
      <c r="Y940">
        <v>0.94</v>
      </c>
      <c r="Z940">
        <v>0</v>
      </c>
      <c r="AA940">
        <v>0</v>
      </c>
      <c r="AB940">
        <v>0.02</v>
      </c>
      <c r="AC940">
        <v>8.9600000000000009</v>
      </c>
      <c r="AD940">
        <v>9.5</v>
      </c>
      <c r="AE940">
        <v>2.54</v>
      </c>
      <c r="AF940">
        <v>0</v>
      </c>
      <c r="AG940">
        <v>1.71</v>
      </c>
      <c r="AH940">
        <v>59.36</v>
      </c>
      <c r="AI940">
        <v>16.23</v>
      </c>
      <c r="AJ940">
        <v>10.46</v>
      </c>
      <c r="AK940">
        <v>0</v>
      </c>
      <c r="AL940">
        <v>0</v>
      </c>
      <c r="AM940">
        <v>0.2</v>
      </c>
      <c r="AN940">
        <f t="shared" si="43"/>
        <v>3</v>
      </c>
      <c r="AO940" t="str">
        <f t="shared" si="44"/>
        <v>Tuesday</v>
      </c>
    </row>
    <row r="941" spans="1:41" x14ac:dyDescent="0.2">
      <c r="A941" t="s">
        <v>43</v>
      </c>
      <c r="B941" s="1">
        <v>45818</v>
      </c>
      <c r="C941" s="1">
        <f t="shared" si="42"/>
        <v>45838</v>
      </c>
      <c r="D941">
        <v>37</v>
      </c>
      <c r="E941">
        <v>112</v>
      </c>
      <c r="F941">
        <v>2</v>
      </c>
      <c r="G941">
        <v>3</v>
      </c>
      <c r="H941">
        <v>3</v>
      </c>
      <c r="I941">
        <v>0</v>
      </c>
      <c r="J941">
        <v>0</v>
      </c>
      <c r="K941">
        <v>84</v>
      </c>
      <c r="L941" t="s">
        <v>43</v>
      </c>
      <c r="M941" t="s">
        <v>38</v>
      </c>
      <c r="N941" s="1">
        <v>45818</v>
      </c>
      <c r="O941" s="2">
        <v>0.54104166666666664</v>
      </c>
      <c r="P941" s="2">
        <v>0.91677083333333331</v>
      </c>
      <c r="Q941">
        <v>9.02</v>
      </c>
      <c r="R941">
        <v>9.02</v>
      </c>
      <c r="S941">
        <v>0.42</v>
      </c>
      <c r="T941">
        <v>0.26</v>
      </c>
      <c r="U941">
        <v>0</v>
      </c>
      <c r="V941">
        <v>0.23</v>
      </c>
      <c r="W941">
        <v>6.36</v>
      </c>
      <c r="X941">
        <v>1.32</v>
      </c>
      <c r="Y941">
        <v>0.41</v>
      </c>
      <c r="Z941">
        <v>0</v>
      </c>
      <c r="AA941">
        <v>0</v>
      </c>
      <c r="AB941">
        <v>0.02</v>
      </c>
      <c r="AC941">
        <v>9.02</v>
      </c>
      <c r="AD941">
        <v>4.6900000000000004</v>
      </c>
      <c r="AE941">
        <v>2.92</v>
      </c>
      <c r="AF941">
        <v>0</v>
      </c>
      <c r="AG941">
        <v>2.5</v>
      </c>
      <c r="AH941">
        <v>70.5</v>
      </c>
      <c r="AI941">
        <v>14.63</v>
      </c>
      <c r="AJ941">
        <v>4.5599999999999996</v>
      </c>
      <c r="AK941">
        <v>0</v>
      </c>
      <c r="AL941">
        <v>0.03</v>
      </c>
      <c r="AM941">
        <v>0.18</v>
      </c>
      <c r="AN941">
        <f t="shared" si="43"/>
        <v>3</v>
      </c>
      <c r="AO941" t="str">
        <f t="shared" si="44"/>
        <v>Tuesday</v>
      </c>
    </row>
    <row r="942" spans="1:41" x14ac:dyDescent="0.2">
      <c r="B942" s="1">
        <v>45818</v>
      </c>
      <c r="C942" s="1">
        <f t="shared" si="42"/>
        <v>45838</v>
      </c>
      <c r="D942">
        <v>571</v>
      </c>
      <c r="E942">
        <v>0</v>
      </c>
      <c r="F942">
        <v>0</v>
      </c>
      <c r="G942">
        <v>0</v>
      </c>
      <c r="H942">
        <v>0</v>
      </c>
      <c r="I942">
        <v>0</v>
      </c>
      <c r="J942">
        <v>0</v>
      </c>
      <c r="K942">
        <v>0</v>
      </c>
      <c r="AN942">
        <f t="shared" si="43"/>
        <v>3</v>
      </c>
      <c r="AO942" t="str">
        <f t="shared" si="44"/>
        <v>Tuesday</v>
      </c>
    </row>
    <row r="943" spans="1:41" x14ac:dyDescent="0.2">
      <c r="A943" t="s">
        <v>37</v>
      </c>
      <c r="B943" s="1">
        <v>45817</v>
      </c>
      <c r="C943" s="1">
        <f t="shared" si="42"/>
        <v>45838</v>
      </c>
      <c r="D943">
        <v>31</v>
      </c>
      <c r="E943">
        <v>113</v>
      </c>
      <c r="F943">
        <v>4</v>
      </c>
      <c r="G943">
        <v>3</v>
      </c>
      <c r="H943">
        <v>1</v>
      </c>
      <c r="I943">
        <v>0</v>
      </c>
      <c r="J943">
        <v>1</v>
      </c>
      <c r="K943">
        <v>91</v>
      </c>
      <c r="L943" t="s">
        <v>37</v>
      </c>
      <c r="M943" t="s">
        <v>38</v>
      </c>
      <c r="N943" s="1">
        <v>45817</v>
      </c>
      <c r="O943" s="2">
        <v>0.54278935185185184</v>
      </c>
      <c r="P943" s="2">
        <v>0.91690972222222222</v>
      </c>
      <c r="Q943">
        <v>8.98</v>
      </c>
      <c r="R943">
        <v>7.98</v>
      </c>
      <c r="S943">
        <v>0.75</v>
      </c>
      <c r="T943">
        <v>0.5</v>
      </c>
      <c r="U943">
        <v>0</v>
      </c>
      <c r="V943">
        <v>0.24</v>
      </c>
      <c r="W943">
        <v>5.65</v>
      </c>
      <c r="X943">
        <v>0.56999999999999995</v>
      </c>
      <c r="Y943">
        <v>0.24</v>
      </c>
      <c r="Z943">
        <v>0</v>
      </c>
      <c r="AA943">
        <v>0</v>
      </c>
      <c r="AB943">
        <v>0.03</v>
      </c>
      <c r="AC943">
        <v>7.98</v>
      </c>
      <c r="AD943">
        <v>9.34</v>
      </c>
      <c r="AE943">
        <v>6.29</v>
      </c>
      <c r="AF943">
        <v>0</v>
      </c>
      <c r="AG943">
        <v>2.95</v>
      </c>
      <c r="AH943">
        <v>70.72</v>
      </c>
      <c r="AI943">
        <v>7.2</v>
      </c>
      <c r="AJ943">
        <v>3.07</v>
      </c>
      <c r="AK943">
        <v>0</v>
      </c>
      <c r="AL943">
        <v>0</v>
      </c>
      <c r="AM943">
        <v>0.43</v>
      </c>
      <c r="AN943">
        <f t="shared" si="43"/>
        <v>2</v>
      </c>
      <c r="AO943" t="str">
        <f t="shared" si="44"/>
        <v>Monday</v>
      </c>
    </row>
    <row r="944" spans="1:41" x14ac:dyDescent="0.2">
      <c r="A944" t="s">
        <v>52</v>
      </c>
      <c r="B944" s="1">
        <v>45817</v>
      </c>
      <c r="C944" s="1">
        <f t="shared" si="42"/>
        <v>45838</v>
      </c>
      <c r="D944">
        <v>18</v>
      </c>
      <c r="E944">
        <v>48</v>
      </c>
      <c r="F944">
        <v>1</v>
      </c>
      <c r="G944">
        <v>4</v>
      </c>
      <c r="H944">
        <v>6</v>
      </c>
      <c r="I944">
        <v>0</v>
      </c>
      <c r="J944">
        <v>0</v>
      </c>
      <c r="K944">
        <v>33</v>
      </c>
      <c r="L944" t="s">
        <v>52</v>
      </c>
      <c r="M944" t="s">
        <v>38</v>
      </c>
      <c r="N944" s="1">
        <v>45817</v>
      </c>
      <c r="O944" s="2">
        <v>0.54061342592592587</v>
      </c>
      <c r="P944" s="2">
        <v>0.91609953703703706</v>
      </c>
      <c r="Q944">
        <v>9.02</v>
      </c>
      <c r="R944">
        <v>8</v>
      </c>
      <c r="S944">
        <v>1.21</v>
      </c>
      <c r="T944">
        <v>0.45</v>
      </c>
      <c r="U944">
        <v>0</v>
      </c>
      <c r="V944">
        <v>0.46</v>
      </c>
      <c r="W944">
        <v>4.75</v>
      </c>
      <c r="X944">
        <v>0.64</v>
      </c>
      <c r="Y944">
        <v>0.45</v>
      </c>
      <c r="Z944">
        <v>0</v>
      </c>
      <c r="AA944">
        <v>0.03</v>
      </c>
      <c r="AB944">
        <v>0.02</v>
      </c>
      <c r="AC944">
        <v>8</v>
      </c>
      <c r="AD944">
        <v>15.15</v>
      </c>
      <c r="AE944">
        <v>5.59</v>
      </c>
      <c r="AF944">
        <v>0</v>
      </c>
      <c r="AG944">
        <v>5.69</v>
      </c>
      <c r="AH944">
        <v>59.43</v>
      </c>
      <c r="AI944">
        <v>7.94</v>
      </c>
      <c r="AJ944">
        <v>5.58</v>
      </c>
      <c r="AK944">
        <v>0</v>
      </c>
      <c r="AL944">
        <v>0.42</v>
      </c>
      <c r="AM944">
        <v>0.2</v>
      </c>
      <c r="AN944">
        <f t="shared" si="43"/>
        <v>2</v>
      </c>
      <c r="AO944" t="str">
        <f t="shared" si="44"/>
        <v>Monday</v>
      </c>
    </row>
    <row r="945" spans="1:41" x14ac:dyDescent="0.2">
      <c r="A945" t="s">
        <v>39</v>
      </c>
      <c r="B945" s="1">
        <v>45817</v>
      </c>
      <c r="C945" s="1">
        <f t="shared" si="42"/>
        <v>45838</v>
      </c>
      <c r="D945">
        <v>24</v>
      </c>
      <c r="E945">
        <v>59</v>
      </c>
      <c r="F945">
        <v>5</v>
      </c>
      <c r="G945">
        <v>3</v>
      </c>
      <c r="H945">
        <v>4</v>
      </c>
      <c r="I945">
        <v>2</v>
      </c>
      <c r="J945">
        <v>2</v>
      </c>
      <c r="K945">
        <v>35</v>
      </c>
      <c r="L945" t="s">
        <v>39</v>
      </c>
      <c r="M945" t="s">
        <v>38</v>
      </c>
      <c r="N945" s="1">
        <v>45817</v>
      </c>
      <c r="O945" s="2">
        <v>0.54188657407407403</v>
      </c>
      <c r="P945" s="2">
        <v>0.91685185185185181</v>
      </c>
      <c r="Q945">
        <v>9</v>
      </c>
      <c r="R945">
        <v>8.9600000000000009</v>
      </c>
      <c r="S945">
        <v>0.98</v>
      </c>
      <c r="T945">
        <v>0.13</v>
      </c>
      <c r="U945">
        <v>0</v>
      </c>
      <c r="V945">
        <v>0.03</v>
      </c>
      <c r="W945">
        <v>5.93</v>
      </c>
      <c r="X945">
        <v>1.49</v>
      </c>
      <c r="Y945">
        <v>0.4</v>
      </c>
      <c r="Z945">
        <v>0</v>
      </c>
      <c r="AA945">
        <v>0</v>
      </c>
      <c r="AB945">
        <v>0.01</v>
      </c>
      <c r="AC945">
        <v>8.9600000000000009</v>
      </c>
      <c r="AD945">
        <v>10.93</v>
      </c>
      <c r="AE945">
        <v>1.4</v>
      </c>
      <c r="AF945">
        <v>0</v>
      </c>
      <c r="AG945">
        <v>0.35</v>
      </c>
      <c r="AH945">
        <v>66.12</v>
      </c>
      <c r="AI945">
        <v>16.59</v>
      </c>
      <c r="AJ945">
        <v>4.47</v>
      </c>
      <c r="AK945">
        <v>0</v>
      </c>
      <c r="AL945">
        <v>0</v>
      </c>
      <c r="AM945">
        <v>0.15</v>
      </c>
      <c r="AN945">
        <f t="shared" si="43"/>
        <v>2</v>
      </c>
      <c r="AO945" t="str">
        <f t="shared" si="44"/>
        <v>Monday</v>
      </c>
    </row>
    <row r="946" spans="1:41" x14ac:dyDescent="0.2">
      <c r="A946" t="s">
        <v>41</v>
      </c>
      <c r="B946" s="1">
        <v>45817</v>
      </c>
      <c r="C946" s="1">
        <f t="shared" si="42"/>
        <v>45838</v>
      </c>
      <c r="D946">
        <v>29</v>
      </c>
      <c r="E946">
        <v>89</v>
      </c>
      <c r="F946">
        <v>8</v>
      </c>
      <c r="G946">
        <v>1</v>
      </c>
      <c r="H946">
        <v>0</v>
      </c>
      <c r="I946">
        <v>0</v>
      </c>
      <c r="J946">
        <v>1</v>
      </c>
      <c r="K946">
        <v>67</v>
      </c>
      <c r="L946" t="s">
        <v>41</v>
      </c>
      <c r="M946" t="s">
        <v>38</v>
      </c>
      <c r="N946" s="1">
        <v>45817</v>
      </c>
      <c r="O946" s="2">
        <v>0.54355324074074074</v>
      </c>
      <c r="P946" s="2">
        <v>0.74966435185185187</v>
      </c>
      <c r="Q946">
        <v>4.95</v>
      </c>
      <c r="R946">
        <v>4.88</v>
      </c>
      <c r="S946">
        <v>0.61</v>
      </c>
      <c r="T946">
        <v>0</v>
      </c>
      <c r="U946">
        <v>0</v>
      </c>
      <c r="V946">
        <v>0.21</v>
      </c>
      <c r="W946">
        <v>3.65</v>
      </c>
      <c r="X946">
        <v>0.39</v>
      </c>
      <c r="Y946">
        <v>0</v>
      </c>
      <c r="Z946">
        <v>0</v>
      </c>
      <c r="AA946">
        <v>0</v>
      </c>
      <c r="AB946">
        <v>0.01</v>
      </c>
      <c r="AC946">
        <v>4.88</v>
      </c>
      <c r="AD946">
        <v>12.52</v>
      </c>
      <c r="AE946">
        <v>0</v>
      </c>
      <c r="AF946">
        <v>0</v>
      </c>
      <c r="AG946">
        <v>4.3099999999999996</v>
      </c>
      <c r="AH946">
        <v>74.84</v>
      </c>
      <c r="AI946">
        <v>8.0299999999999994</v>
      </c>
      <c r="AJ946">
        <v>0</v>
      </c>
      <c r="AK946">
        <v>0</v>
      </c>
      <c r="AL946">
        <v>0</v>
      </c>
      <c r="AM946">
        <v>0.3</v>
      </c>
      <c r="AN946">
        <f t="shared" si="43"/>
        <v>2</v>
      </c>
      <c r="AO946" t="str">
        <f t="shared" si="44"/>
        <v>Monday</v>
      </c>
    </row>
    <row r="947" spans="1:41" x14ac:dyDescent="0.2">
      <c r="A947" t="s">
        <v>43</v>
      </c>
      <c r="B947" s="1">
        <v>45817</v>
      </c>
      <c r="C947" s="1">
        <f t="shared" si="42"/>
        <v>45838</v>
      </c>
      <c r="D947">
        <v>18</v>
      </c>
      <c r="E947">
        <v>38</v>
      </c>
      <c r="F947">
        <v>4</v>
      </c>
      <c r="G947">
        <v>3</v>
      </c>
      <c r="H947">
        <v>6</v>
      </c>
      <c r="I947">
        <v>2</v>
      </c>
      <c r="J947">
        <v>0</v>
      </c>
      <c r="K947">
        <v>17</v>
      </c>
      <c r="L947" t="s">
        <v>43</v>
      </c>
      <c r="M947" t="s">
        <v>38</v>
      </c>
      <c r="N947" s="1">
        <v>45817</v>
      </c>
      <c r="O947" s="2">
        <v>0.54174768518518523</v>
      </c>
      <c r="P947" s="2">
        <v>0.91754629629629625</v>
      </c>
      <c r="Q947">
        <v>9.02</v>
      </c>
      <c r="R947">
        <v>8.94</v>
      </c>
      <c r="S947">
        <v>2.86</v>
      </c>
      <c r="T947">
        <v>0.28000000000000003</v>
      </c>
      <c r="U947">
        <v>0</v>
      </c>
      <c r="V947">
        <v>0.3</v>
      </c>
      <c r="W947">
        <v>3.71</v>
      </c>
      <c r="X947">
        <v>1.44</v>
      </c>
      <c r="Y947">
        <v>0</v>
      </c>
      <c r="Z947">
        <v>0</v>
      </c>
      <c r="AA947">
        <v>0.34</v>
      </c>
      <c r="AB947">
        <v>0.01</v>
      </c>
      <c r="AC947">
        <v>8.94</v>
      </c>
      <c r="AD947">
        <v>32.01</v>
      </c>
      <c r="AE947">
        <v>3.1</v>
      </c>
      <c r="AF947">
        <v>0</v>
      </c>
      <c r="AG947">
        <v>3.3</v>
      </c>
      <c r="AH947">
        <v>41.55</v>
      </c>
      <c r="AI947">
        <v>16.16</v>
      </c>
      <c r="AJ947">
        <v>0</v>
      </c>
      <c r="AK947">
        <v>0</v>
      </c>
      <c r="AL947">
        <v>3.78</v>
      </c>
      <c r="AM947">
        <v>0.1</v>
      </c>
      <c r="AN947">
        <f t="shared" si="43"/>
        <v>2</v>
      </c>
      <c r="AO947" t="str">
        <f t="shared" si="44"/>
        <v>Monday</v>
      </c>
    </row>
    <row r="948" spans="1:41" x14ac:dyDescent="0.2">
      <c r="B948" s="1">
        <v>45817</v>
      </c>
      <c r="C948" s="1">
        <f t="shared" si="42"/>
        <v>45838</v>
      </c>
      <c r="D948">
        <v>511</v>
      </c>
      <c r="E948">
        <v>0</v>
      </c>
      <c r="F948">
        <v>0</v>
      </c>
      <c r="G948">
        <v>0</v>
      </c>
      <c r="H948">
        <v>0</v>
      </c>
      <c r="I948">
        <v>0</v>
      </c>
      <c r="J948">
        <v>0</v>
      </c>
      <c r="K948">
        <v>0</v>
      </c>
      <c r="AN948">
        <f t="shared" si="43"/>
        <v>2</v>
      </c>
      <c r="AO948" t="str">
        <f t="shared" si="44"/>
        <v>Monday</v>
      </c>
    </row>
    <row r="949" spans="1:41" x14ac:dyDescent="0.2">
      <c r="A949" t="s">
        <v>37</v>
      </c>
      <c r="B949" s="1">
        <v>45814</v>
      </c>
      <c r="C949" s="1">
        <f t="shared" si="42"/>
        <v>45838</v>
      </c>
      <c r="D949">
        <v>30</v>
      </c>
      <c r="E949">
        <v>98</v>
      </c>
      <c r="F949">
        <v>0</v>
      </c>
      <c r="G949">
        <v>2</v>
      </c>
      <c r="H949">
        <v>3</v>
      </c>
      <c r="I949">
        <v>0</v>
      </c>
      <c r="J949">
        <v>0</v>
      </c>
      <c r="K949">
        <v>72</v>
      </c>
      <c r="L949" t="s">
        <v>37</v>
      </c>
      <c r="M949" t="s">
        <v>38</v>
      </c>
      <c r="N949" s="1">
        <v>45814</v>
      </c>
      <c r="O949" s="2">
        <v>0.54210648148148144</v>
      </c>
      <c r="P949" s="2">
        <v>0.91675925925925927</v>
      </c>
      <c r="Q949">
        <v>9</v>
      </c>
      <c r="R949">
        <v>8.08</v>
      </c>
      <c r="S949">
        <v>0.84</v>
      </c>
      <c r="T949">
        <v>0.4</v>
      </c>
      <c r="U949">
        <v>0</v>
      </c>
      <c r="V949">
        <v>0.28000000000000003</v>
      </c>
      <c r="W949">
        <v>5.97</v>
      </c>
      <c r="X949">
        <v>0.57999999999999996</v>
      </c>
      <c r="Y949">
        <v>0</v>
      </c>
      <c r="Z949">
        <v>0</v>
      </c>
      <c r="AA949">
        <v>0</v>
      </c>
      <c r="AB949">
        <v>0.01</v>
      </c>
      <c r="AC949">
        <v>8.08</v>
      </c>
      <c r="AD949">
        <v>10.4</v>
      </c>
      <c r="AE949">
        <v>4.95</v>
      </c>
      <c r="AF949">
        <v>0</v>
      </c>
      <c r="AG949">
        <v>3.45</v>
      </c>
      <c r="AH949">
        <v>73.94</v>
      </c>
      <c r="AI949">
        <v>7.16</v>
      </c>
      <c r="AJ949">
        <v>0</v>
      </c>
      <c r="AK949">
        <v>0</v>
      </c>
      <c r="AL949">
        <v>0</v>
      </c>
      <c r="AM949">
        <v>0.1</v>
      </c>
      <c r="AN949">
        <f t="shared" si="43"/>
        <v>6</v>
      </c>
      <c r="AO949" t="str">
        <f t="shared" si="44"/>
        <v>Friday</v>
      </c>
    </row>
    <row r="950" spans="1:41" x14ac:dyDescent="0.2">
      <c r="A950" t="s">
        <v>52</v>
      </c>
      <c r="B950" s="1">
        <v>45814</v>
      </c>
      <c r="C950" s="1">
        <f t="shared" si="42"/>
        <v>45838</v>
      </c>
      <c r="D950">
        <v>21</v>
      </c>
      <c r="E950">
        <v>54</v>
      </c>
      <c r="F950">
        <v>4</v>
      </c>
      <c r="G950">
        <v>1</v>
      </c>
      <c r="H950">
        <v>10</v>
      </c>
      <c r="I950">
        <v>0</v>
      </c>
      <c r="J950">
        <v>0</v>
      </c>
      <c r="K950">
        <v>32</v>
      </c>
      <c r="L950" t="s">
        <v>52</v>
      </c>
      <c r="M950" t="s">
        <v>38</v>
      </c>
      <c r="N950" s="1">
        <v>45814</v>
      </c>
      <c r="O950" s="2">
        <v>0.54241898148148149</v>
      </c>
      <c r="P950" s="2">
        <v>0.92118055555555556</v>
      </c>
      <c r="Q950">
        <v>9.08</v>
      </c>
      <c r="R950">
        <v>8.2899999999999991</v>
      </c>
      <c r="S950">
        <v>1.04</v>
      </c>
      <c r="T950">
        <v>0.74</v>
      </c>
      <c r="U950">
        <v>0</v>
      </c>
      <c r="V950">
        <v>0.72</v>
      </c>
      <c r="W950">
        <v>4.71</v>
      </c>
      <c r="X950">
        <v>1.05</v>
      </c>
      <c r="Y950">
        <v>0</v>
      </c>
      <c r="Z950">
        <v>0</v>
      </c>
      <c r="AA950">
        <v>0</v>
      </c>
      <c r="AB950">
        <v>0.04</v>
      </c>
      <c r="AC950">
        <v>8.2899999999999991</v>
      </c>
      <c r="AD950">
        <v>12.5</v>
      </c>
      <c r="AE950">
        <v>8.94</v>
      </c>
      <c r="AF950">
        <v>0</v>
      </c>
      <c r="AG950">
        <v>8.67</v>
      </c>
      <c r="AH950">
        <v>56.84</v>
      </c>
      <c r="AI950">
        <v>12.61</v>
      </c>
      <c r="AJ950">
        <v>0</v>
      </c>
      <c r="AK950">
        <v>0</v>
      </c>
      <c r="AL950">
        <v>0</v>
      </c>
      <c r="AM950">
        <v>0.44</v>
      </c>
      <c r="AN950">
        <f t="shared" si="43"/>
        <v>6</v>
      </c>
      <c r="AO950" t="str">
        <f t="shared" si="44"/>
        <v>Friday</v>
      </c>
    </row>
    <row r="951" spans="1:41" x14ac:dyDescent="0.2">
      <c r="A951" t="s">
        <v>39</v>
      </c>
      <c r="B951" s="1">
        <v>45814</v>
      </c>
      <c r="C951" s="1">
        <f t="shared" si="42"/>
        <v>45838</v>
      </c>
      <c r="D951">
        <v>29</v>
      </c>
      <c r="E951">
        <v>64</v>
      </c>
      <c r="F951">
        <v>4</v>
      </c>
      <c r="G951">
        <v>2</v>
      </c>
      <c r="H951">
        <v>13</v>
      </c>
      <c r="I951">
        <v>1</v>
      </c>
      <c r="J951">
        <v>0</v>
      </c>
      <c r="K951">
        <v>35</v>
      </c>
      <c r="L951" t="s">
        <v>39</v>
      </c>
      <c r="M951" t="s">
        <v>38</v>
      </c>
      <c r="N951" s="1">
        <v>45814</v>
      </c>
      <c r="O951" s="2">
        <v>0.54200231481481487</v>
      </c>
      <c r="P951" s="2">
        <v>0.91673611111111108</v>
      </c>
      <c r="Q951">
        <v>9</v>
      </c>
      <c r="R951">
        <v>8.99</v>
      </c>
      <c r="S951">
        <v>1.75</v>
      </c>
      <c r="T951">
        <v>0</v>
      </c>
      <c r="U951">
        <v>0</v>
      </c>
      <c r="V951">
        <v>0.03</v>
      </c>
      <c r="W951">
        <v>5.74</v>
      </c>
      <c r="X951">
        <v>1.47</v>
      </c>
      <c r="Y951">
        <v>0</v>
      </c>
      <c r="Z951">
        <v>0</v>
      </c>
      <c r="AA951">
        <v>0</v>
      </c>
      <c r="AB951">
        <v>0</v>
      </c>
      <c r="AC951">
        <v>8.99</v>
      </c>
      <c r="AD951">
        <v>19.43</v>
      </c>
      <c r="AE951">
        <v>0</v>
      </c>
      <c r="AF951">
        <v>0</v>
      </c>
      <c r="AG951">
        <v>0.34</v>
      </c>
      <c r="AH951">
        <v>63.85</v>
      </c>
      <c r="AI951">
        <v>16.329999999999998</v>
      </c>
      <c r="AJ951">
        <v>0</v>
      </c>
      <c r="AK951">
        <v>0</v>
      </c>
      <c r="AL951">
        <v>0</v>
      </c>
      <c r="AM951">
        <v>0.05</v>
      </c>
      <c r="AN951">
        <f t="shared" si="43"/>
        <v>6</v>
      </c>
      <c r="AO951" t="str">
        <f t="shared" si="44"/>
        <v>Friday</v>
      </c>
    </row>
    <row r="952" spans="1:41" x14ac:dyDescent="0.2">
      <c r="A952" t="s">
        <v>41</v>
      </c>
      <c r="B952" s="1">
        <v>45814</v>
      </c>
      <c r="C952" s="1">
        <f t="shared" si="42"/>
        <v>45838</v>
      </c>
      <c r="D952">
        <v>23</v>
      </c>
      <c r="E952">
        <v>56</v>
      </c>
      <c r="F952">
        <v>4</v>
      </c>
      <c r="G952">
        <v>3</v>
      </c>
      <c r="H952">
        <v>6</v>
      </c>
      <c r="I952">
        <v>0</v>
      </c>
      <c r="J952">
        <v>2</v>
      </c>
      <c r="K952">
        <v>35</v>
      </c>
      <c r="L952" t="s">
        <v>41</v>
      </c>
      <c r="M952" t="s">
        <v>38</v>
      </c>
      <c r="N952" s="1">
        <v>45814</v>
      </c>
      <c r="O952" s="2">
        <v>0.62512731481481476</v>
      </c>
      <c r="P952" s="2">
        <v>0.91546296296296292</v>
      </c>
      <c r="Q952">
        <v>6.97</v>
      </c>
      <c r="R952">
        <v>6.97</v>
      </c>
      <c r="S952">
        <v>0.93</v>
      </c>
      <c r="T952">
        <v>0.15</v>
      </c>
      <c r="U952">
        <v>0</v>
      </c>
      <c r="V952">
        <v>0.23</v>
      </c>
      <c r="W952">
        <v>4.41</v>
      </c>
      <c r="X952">
        <v>1.25</v>
      </c>
      <c r="Y952">
        <v>0</v>
      </c>
      <c r="Z952">
        <v>0</v>
      </c>
      <c r="AA952">
        <v>0</v>
      </c>
      <c r="AB952">
        <v>0</v>
      </c>
      <c r="AC952">
        <v>6.97</v>
      </c>
      <c r="AD952">
        <v>13.35</v>
      </c>
      <c r="AE952">
        <v>2.21</v>
      </c>
      <c r="AF952">
        <v>0</v>
      </c>
      <c r="AG952">
        <v>3.25</v>
      </c>
      <c r="AH952">
        <v>63.22</v>
      </c>
      <c r="AI952">
        <v>17.91</v>
      </c>
      <c r="AJ952">
        <v>0</v>
      </c>
      <c r="AK952">
        <v>0</v>
      </c>
      <c r="AL952">
        <v>0</v>
      </c>
      <c r="AM952">
        <v>0.06</v>
      </c>
      <c r="AN952">
        <f t="shared" si="43"/>
        <v>6</v>
      </c>
      <c r="AO952" t="str">
        <f t="shared" si="44"/>
        <v>Friday</v>
      </c>
    </row>
    <row r="953" spans="1:41" x14ac:dyDescent="0.2">
      <c r="B953" s="1">
        <v>45814</v>
      </c>
      <c r="C953" s="1">
        <f t="shared" si="42"/>
        <v>45838</v>
      </c>
      <c r="D953">
        <v>544</v>
      </c>
      <c r="E953">
        <v>0</v>
      </c>
      <c r="F953">
        <v>0</v>
      </c>
      <c r="G953">
        <v>0</v>
      </c>
      <c r="H953">
        <v>0</v>
      </c>
      <c r="I953">
        <v>0</v>
      </c>
      <c r="J953">
        <v>0</v>
      </c>
      <c r="K953">
        <v>0</v>
      </c>
      <c r="AN953">
        <f t="shared" si="43"/>
        <v>6</v>
      </c>
      <c r="AO953" t="str">
        <f t="shared" si="44"/>
        <v>Friday</v>
      </c>
    </row>
    <row r="954" spans="1:41" x14ac:dyDescent="0.2">
      <c r="A954" t="s">
        <v>37</v>
      </c>
      <c r="B954" s="1">
        <v>45813</v>
      </c>
      <c r="C954" s="1">
        <f t="shared" si="42"/>
        <v>45838</v>
      </c>
      <c r="D954">
        <v>25</v>
      </c>
      <c r="E954">
        <v>58</v>
      </c>
      <c r="F954">
        <v>3</v>
      </c>
      <c r="G954">
        <v>3</v>
      </c>
      <c r="H954">
        <v>3</v>
      </c>
      <c r="I954">
        <v>0</v>
      </c>
      <c r="J954">
        <v>0</v>
      </c>
      <c r="K954">
        <v>39</v>
      </c>
      <c r="L954" t="s">
        <v>37</v>
      </c>
      <c r="M954" t="s">
        <v>38</v>
      </c>
      <c r="N954" s="1">
        <v>45813</v>
      </c>
      <c r="O954" s="2">
        <v>0.54224537037037035</v>
      </c>
      <c r="P954" s="2">
        <v>0.91675925925925927</v>
      </c>
      <c r="Q954">
        <v>9</v>
      </c>
      <c r="R954">
        <v>8.14</v>
      </c>
      <c r="S954">
        <v>1.1399999999999999</v>
      </c>
      <c r="T954">
        <v>0.22</v>
      </c>
      <c r="U954">
        <v>0</v>
      </c>
      <c r="V954">
        <v>0.28000000000000003</v>
      </c>
      <c r="W954">
        <v>4.82</v>
      </c>
      <c r="X954">
        <v>0.4</v>
      </c>
      <c r="Y954">
        <v>1.27</v>
      </c>
      <c r="Z954">
        <v>0</v>
      </c>
      <c r="AA954">
        <v>0</v>
      </c>
      <c r="AB954">
        <v>0.02</v>
      </c>
      <c r="AC954">
        <v>8.14</v>
      </c>
      <c r="AD954">
        <v>13.97</v>
      </c>
      <c r="AE954">
        <v>2.67</v>
      </c>
      <c r="AF954">
        <v>0</v>
      </c>
      <c r="AG954">
        <v>3.43</v>
      </c>
      <c r="AH954">
        <v>59.23</v>
      </c>
      <c r="AI954">
        <v>4.8600000000000003</v>
      </c>
      <c r="AJ954">
        <v>15.61</v>
      </c>
      <c r="AK954">
        <v>0</v>
      </c>
      <c r="AL954">
        <v>0</v>
      </c>
      <c r="AM954">
        <v>0.22</v>
      </c>
      <c r="AN954">
        <f t="shared" si="43"/>
        <v>5</v>
      </c>
      <c r="AO954" t="str">
        <f t="shared" si="44"/>
        <v>Thursday</v>
      </c>
    </row>
    <row r="955" spans="1:41" x14ac:dyDescent="0.2">
      <c r="A955" t="s">
        <v>52</v>
      </c>
      <c r="B955" s="1">
        <v>45813</v>
      </c>
      <c r="C955" s="1">
        <f t="shared" si="42"/>
        <v>45838</v>
      </c>
      <c r="D955">
        <v>14</v>
      </c>
      <c r="E955">
        <v>37</v>
      </c>
      <c r="F955">
        <v>7</v>
      </c>
      <c r="G955">
        <v>0</v>
      </c>
      <c r="H955">
        <v>4</v>
      </c>
      <c r="I955">
        <v>0</v>
      </c>
      <c r="J955">
        <v>0</v>
      </c>
      <c r="K955">
        <v>22</v>
      </c>
      <c r="L955" t="s">
        <v>52</v>
      </c>
      <c r="M955" t="s">
        <v>38</v>
      </c>
      <c r="N955" s="1">
        <v>45813</v>
      </c>
      <c r="O955" s="2">
        <v>0.54385416666666664</v>
      </c>
      <c r="P955" s="2">
        <v>0.91668981481481482</v>
      </c>
      <c r="Q955">
        <v>8.9499999999999993</v>
      </c>
      <c r="R955">
        <v>7.94</v>
      </c>
      <c r="S955">
        <v>0.54</v>
      </c>
      <c r="T955">
        <v>0.96</v>
      </c>
      <c r="U955">
        <v>0</v>
      </c>
      <c r="V955">
        <v>0.45</v>
      </c>
      <c r="W955">
        <v>3.8</v>
      </c>
      <c r="X955">
        <v>0.56000000000000005</v>
      </c>
      <c r="Y955">
        <v>1.56</v>
      </c>
      <c r="Z955">
        <v>0</v>
      </c>
      <c r="AA955">
        <v>0</v>
      </c>
      <c r="AB955">
        <v>0.06</v>
      </c>
      <c r="AC955">
        <v>7.94</v>
      </c>
      <c r="AD955">
        <v>6.85</v>
      </c>
      <c r="AE955">
        <v>12.14</v>
      </c>
      <c r="AF955">
        <v>0</v>
      </c>
      <c r="AG955">
        <v>5.7</v>
      </c>
      <c r="AH955">
        <v>47.84</v>
      </c>
      <c r="AI955">
        <v>6.99</v>
      </c>
      <c r="AJ955">
        <v>19.670000000000002</v>
      </c>
      <c r="AK955">
        <v>0</v>
      </c>
      <c r="AL955">
        <v>0</v>
      </c>
      <c r="AM955">
        <v>0.8</v>
      </c>
      <c r="AN955">
        <f t="shared" si="43"/>
        <v>5</v>
      </c>
      <c r="AO955" t="str">
        <f t="shared" si="44"/>
        <v>Thursday</v>
      </c>
    </row>
    <row r="956" spans="1:41" x14ac:dyDescent="0.2">
      <c r="A956" t="s">
        <v>39</v>
      </c>
      <c r="B956" s="1">
        <v>45813</v>
      </c>
      <c r="C956" s="1">
        <f t="shared" si="42"/>
        <v>45838</v>
      </c>
      <c r="D956">
        <v>38</v>
      </c>
      <c r="E956">
        <v>70</v>
      </c>
      <c r="F956">
        <v>1</v>
      </c>
      <c r="G956">
        <v>4</v>
      </c>
      <c r="H956">
        <v>6</v>
      </c>
      <c r="I956">
        <v>0</v>
      </c>
      <c r="J956">
        <v>0</v>
      </c>
      <c r="K956">
        <v>34</v>
      </c>
      <c r="L956" t="s">
        <v>39</v>
      </c>
      <c r="M956" t="s">
        <v>38</v>
      </c>
      <c r="N956" s="1">
        <v>45813</v>
      </c>
      <c r="O956" s="2">
        <v>0.54230324074074077</v>
      </c>
      <c r="P956" s="2">
        <v>0.91685185185185181</v>
      </c>
      <c r="Q956">
        <v>9</v>
      </c>
      <c r="R956">
        <v>8.99</v>
      </c>
      <c r="S956">
        <v>1.72</v>
      </c>
      <c r="T956">
        <v>0.06</v>
      </c>
      <c r="U956">
        <v>0</v>
      </c>
      <c r="V956">
        <v>0.03</v>
      </c>
      <c r="W956">
        <v>4.43</v>
      </c>
      <c r="X956">
        <v>1.48</v>
      </c>
      <c r="Y956">
        <v>1.26</v>
      </c>
      <c r="Z956">
        <v>0</v>
      </c>
      <c r="AA956">
        <v>0</v>
      </c>
      <c r="AB956">
        <v>0</v>
      </c>
      <c r="AC956">
        <v>8.99</v>
      </c>
      <c r="AD956">
        <v>19.190000000000001</v>
      </c>
      <c r="AE956">
        <v>0.66</v>
      </c>
      <c r="AF956">
        <v>0</v>
      </c>
      <c r="AG956">
        <v>0.36</v>
      </c>
      <c r="AH956">
        <v>49.29</v>
      </c>
      <c r="AI956">
        <v>16.47</v>
      </c>
      <c r="AJ956">
        <v>14</v>
      </c>
      <c r="AK956">
        <v>0</v>
      </c>
      <c r="AL956">
        <v>0</v>
      </c>
      <c r="AM956">
        <v>0.04</v>
      </c>
      <c r="AN956">
        <f t="shared" si="43"/>
        <v>5</v>
      </c>
      <c r="AO956" t="str">
        <f t="shared" si="44"/>
        <v>Thursday</v>
      </c>
    </row>
    <row r="957" spans="1:41" x14ac:dyDescent="0.2">
      <c r="A957" t="s">
        <v>41</v>
      </c>
      <c r="B957" s="1">
        <v>45813</v>
      </c>
      <c r="C957" s="1">
        <f t="shared" si="42"/>
        <v>45838</v>
      </c>
      <c r="D957">
        <v>36</v>
      </c>
      <c r="E957">
        <v>86</v>
      </c>
      <c r="F957">
        <v>0</v>
      </c>
      <c r="G957">
        <v>3</v>
      </c>
      <c r="H957">
        <v>7</v>
      </c>
      <c r="I957">
        <v>0</v>
      </c>
      <c r="J957">
        <v>0</v>
      </c>
      <c r="K957">
        <v>59</v>
      </c>
      <c r="L957" t="s">
        <v>41</v>
      </c>
      <c r="M957" t="s">
        <v>38</v>
      </c>
      <c r="N957" s="1">
        <v>45813</v>
      </c>
      <c r="O957" s="2">
        <v>0.54287037037037034</v>
      </c>
      <c r="P957" s="2">
        <v>0.91582175925925924</v>
      </c>
      <c r="Q957">
        <v>8.9499999999999993</v>
      </c>
      <c r="R957">
        <v>8.9499999999999993</v>
      </c>
      <c r="S957">
        <v>1.1299999999999999</v>
      </c>
      <c r="T957">
        <v>0</v>
      </c>
      <c r="U957">
        <v>0</v>
      </c>
      <c r="V957">
        <v>0.17</v>
      </c>
      <c r="W957">
        <v>4.91</v>
      </c>
      <c r="X957">
        <v>1.48</v>
      </c>
      <c r="Y957">
        <v>1.25</v>
      </c>
      <c r="Z957">
        <v>0</v>
      </c>
      <c r="AA957">
        <v>0</v>
      </c>
      <c r="AB957">
        <v>0.01</v>
      </c>
      <c r="AC957">
        <v>8.9499999999999993</v>
      </c>
      <c r="AD957">
        <v>12.59</v>
      </c>
      <c r="AE957">
        <v>0</v>
      </c>
      <c r="AF957">
        <v>0</v>
      </c>
      <c r="AG957">
        <v>1.88</v>
      </c>
      <c r="AH957">
        <v>54.84</v>
      </c>
      <c r="AI957">
        <v>16.52</v>
      </c>
      <c r="AJ957">
        <v>14.01</v>
      </c>
      <c r="AK957">
        <v>0</v>
      </c>
      <c r="AL957">
        <v>0</v>
      </c>
      <c r="AM957">
        <v>0.16</v>
      </c>
      <c r="AN957">
        <f t="shared" si="43"/>
        <v>5</v>
      </c>
      <c r="AO957" t="str">
        <f t="shared" si="44"/>
        <v>Thursday</v>
      </c>
    </row>
    <row r="958" spans="1:41" x14ac:dyDescent="0.2">
      <c r="A958" t="s">
        <v>42</v>
      </c>
      <c r="B958" s="1">
        <v>45813</v>
      </c>
      <c r="C958" s="1">
        <f t="shared" si="42"/>
        <v>45838</v>
      </c>
      <c r="D958">
        <v>1</v>
      </c>
      <c r="E958">
        <v>1</v>
      </c>
      <c r="F958">
        <v>0</v>
      </c>
      <c r="G958">
        <v>0</v>
      </c>
      <c r="H958">
        <v>1</v>
      </c>
      <c r="I958">
        <v>0</v>
      </c>
      <c r="J958">
        <v>0</v>
      </c>
      <c r="K958">
        <v>0</v>
      </c>
      <c r="L958" t="s">
        <v>42</v>
      </c>
      <c r="M958" t="s">
        <v>38</v>
      </c>
      <c r="N958" s="1">
        <v>45813</v>
      </c>
      <c r="O958" s="2">
        <v>0.92457175925925927</v>
      </c>
      <c r="P958" s="2">
        <v>0.93711805555555561</v>
      </c>
      <c r="Q958">
        <v>0.3</v>
      </c>
      <c r="R958">
        <v>0.3</v>
      </c>
      <c r="S958">
        <v>0.18</v>
      </c>
      <c r="T958">
        <v>0</v>
      </c>
      <c r="U958">
        <v>0</v>
      </c>
      <c r="V958">
        <v>0</v>
      </c>
      <c r="W958">
        <v>0</v>
      </c>
      <c r="X958">
        <v>0</v>
      </c>
      <c r="Y958">
        <v>0</v>
      </c>
      <c r="Z958">
        <v>0</v>
      </c>
      <c r="AA958">
        <v>0</v>
      </c>
      <c r="AB958">
        <v>0.12</v>
      </c>
      <c r="AC958">
        <v>0.3</v>
      </c>
      <c r="AD958">
        <v>60.7</v>
      </c>
      <c r="AE958">
        <v>0</v>
      </c>
      <c r="AF958">
        <v>0</v>
      </c>
      <c r="AG958">
        <v>1.1100000000000001</v>
      </c>
      <c r="AH958">
        <v>0</v>
      </c>
      <c r="AI958">
        <v>0</v>
      </c>
      <c r="AJ958">
        <v>0</v>
      </c>
      <c r="AK958">
        <v>0</v>
      </c>
      <c r="AL958">
        <v>0</v>
      </c>
      <c r="AM958">
        <v>38.19</v>
      </c>
      <c r="AN958">
        <f t="shared" si="43"/>
        <v>5</v>
      </c>
      <c r="AO958" t="str">
        <f t="shared" si="44"/>
        <v>Thursday</v>
      </c>
    </row>
    <row r="959" spans="1:41" x14ac:dyDescent="0.2">
      <c r="A959" t="s">
        <v>43</v>
      </c>
      <c r="B959" s="1">
        <v>45813</v>
      </c>
      <c r="C959" s="1">
        <f t="shared" si="42"/>
        <v>45838</v>
      </c>
      <c r="D959">
        <v>33</v>
      </c>
      <c r="E959">
        <v>81</v>
      </c>
      <c r="F959">
        <v>6</v>
      </c>
      <c r="G959">
        <v>4</v>
      </c>
      <c r="H959">
        <v>5</v>
      </c>
      <c r="I959">
        <v>0</v>
      </c>
      <c r="J959">
        <v>0</v>
      </c>
      <c r="K959">
        <v>54</v>
      </c>
      <c r="L959" t="s">
        <v>43</v>
      </c>
      <c r="M959" t="s">
        <v>38</v>
      </c>
      <c r="N959" s="1">
        <v>45813</v>
      </c>
      <c r="O959" s="2">
        <v>0.54136574074074073</v>
      </c>
      <c r="P959" s="2">
        <v>0.91733796296296299</v>
      </c>
      <c r="Q959">
        <v>9.02</v>
      </c>
      <c r="R959">
        <v>9.0299999999999994</v>
      </c>
      <c r="S959">
        <v>1.45</v>
      </c>
      <c r="T959">
        <v>0</v>
      </c>
      <c r="U959">
        <v>0</v>
      </c>
      <c r="V959">
        <v>0.31</v>
      </c>
      <c r="W959">
        <v>4.8099999999999996</v>
      </c>
      <c r="X959">
        <v>1.28</v>
      </c>
      <c r="Y959">
        <v>1.17</v>
      </c>
      <c r="Z959">
        <v>0</v>
      </c>
      <c r="AA959">
        <v>0</v>
      </c>
      <c r="AB959">
        <v>0</v>
      </c>
      <c r="AC959">
        <v>9.0299999999999994</v>
      </c>
      <c r="AD959">
        <v>16.07</v>
      </c>
      <c r="AE959">
        <v>0</v>
      </c>
      <c r="AF959">
        <v>0</v>
      </c>
      <c r="AG959">
        <v>3.48</v>
      </c>
      <c r="AH959">
        <v>53.28</v>
      </c>
      <c r="AI959">
        <v>14.16</v>
      </c>
      <c r="AJ959">
        <v>12.97</v>
      </c>
      <c r="AK959">
        <v>0</v>
      </c>
      <c r="AL959">
        <v>0</v>
      </c>
      <c r="AM959">
        <v>0.04</v>
      </c>
      <c r="AN959">
        <f t="shared" si="43"/>
        <v>5</v>
      </c>
      <c r="AO959" t="str">
        <f t="shared" si="44"/>
        <v>Thursday</v>
      </c>
    </row>
    <row r="960" spans="1:41" x14ac:dyDescent="0.2">
      <c r="B960" s="1">
        <v>45813</v>
      </c>
      <c r="C960" s="1">
        <f t="shared" si="42"/>
        <v>45838</v>
      </c>
      <c r="D960">
        <v>545</v>
      </c>
      <c r="E960">
        <v>0</v>
      </c>
      <c r="F960">
        <v>0</v>
      </c>
      <c r="G960">
        <v>0</v>
      </c>
      <c r="H960">
        <v>0</v>
      </c>
      <c r="I960">
        <v>0</v>
      </c>
      <c r="J960">
        <v>0</v>
      </c>
      <c r="K960">
        <v>0</v>
      </c>
      <c r="AN960">
        <f t="shared" si="43"/>
        <v>5</v>
      </c>
      <c r="AO960" t="str">
        <f t="shared" si="44"/>
        <v>Thursday</v>
      </c>
    </row>
    <row r="961" spans="1:41" x14ac:dyDescent="0.2">
      <c r="A961" t="s">
        <v>37</v>
      </c>
      <c r="B961" s="1">
        <v>45812</v>
      </c>
      <c r="C961" s="1">
        <f t="shared" si="42"/>
        <v>45838</v>
      </c>
      <c r="D961">
        <v>30</v>
      </c>
      <c r="E961">
        <v>81</v>
      </c>
      <c r="F961">
        <v>3</v>
      </c>
      <c r="G961">
        <v>4</v>
      </c>
      <c r="H961">
        <v>4</v>
      </c>
      <c r="I961">
        <v>0</v>
      </c>
      <c r="J961">
        <v>0</v>
      </c>
      <c r="K961">
        <v>48</v>
      </c>
      <c r="L961" t="s">
        <v>37</v>
      </c>
      <c r="M961" t="s">
        <v>38</v>
      </c>
      <c r="N961" s="1">
        <v>45812</v>
      </c>
      <c r="O961" s="2">
        <v>0.54217592592592589</v>
      </c>
      <c r="P961" s="2">
        <v>0.92025462962962967</v>
      </c>
      <c r="Q961">
        <v>9.08</v>
      </c>
      <c r="R961">
        <v>8.1199999999999992</v>
      </c>
      <c r="S961">
        <v>1.17</v>
      </c>
      <c r="T961">
        <v>0.24</v>
      </c>
      <c r="U961">
        <v>0</v>
      </c>
      <c r="V961">
        <v>0.45</v>
      </c>
      <c r="W961">
        <v>5.65</v>
      </c>
      <c r="X961">
        <v>0.57999999999999996</v>
      </c>
      <c r="Y961">
        <v>0</v>
      </c>
      <c r="Z961">
        <v>0</v>
      </c>
      <c r="AA961">
        <v>0</v>
      </c>
      <c r="AB961">
        <v>0.02</v>
      </c>
      <c r="AC961">
        <v>8.1199999999999992</v>
      </c>
      <c r="AD961">
        <v>14.42</v>
      </c>
      <c r="AE961">
        <v>3.01</v>
      </c>
      <c r="AF961">
        <v>0</v>
      </c>
      <c r="AG961">
        <v>5.52</v>
      </c>
      <c r="AH961">
        <v>69.63</v>
      </c>
      <c r="AI961">
        <v>7.11</v>
      </c>
      <c r="AJ961">
        <v>0</v>
      </c>
      <c r="AK961">
        <v>0</v>
      </c>
      <c r="AL961">
        <v>0</v>
      </c>
      <c r="AM961">
        <v>0.3</v>
      </c>
      <c r="AN961">
        <f t="shared" si="43"/>
        <v>4</v>
      </c>
      <c r="AO961" t="str">
        <f t="shared" si="44"/>
        <v>Wednesday</v>
      </c>
    </row>
    <row r="962" spans="1:41" x14ac:dyDescent="0.2">
      <c r="A962" t="s">
        <v>52</v>
      </c>
      <c r="B962" s="1">
        <v>45812</v>
      </c>
      <c r="C962" s="1">
        <f t="shared" si="42"/>
        <v>45838</v>
      </c>
      <c r="D962">
        <v>23</v>
      </c>
      <c r="E962">
        <v>67</v>
      </c>
      <c r="F962">
        <v>1</v>
      </c>
      <c r="G962">
        <v>1</v>
      </c>
      <c r="H962">
        <v>6</v>
      </c>
      <c r="I962">
        <v>1</v>
      </c>
      <c r="J962">
        <v>0</v>
      </c>
      <c r="K962">
        <v>46</v>
      </c>
      <c r="L962" t="s">
        <v>52</v>
      </c>
      <c r="M962" t="s">
        <v>38</v>
      </c>
      <c r="N962" s="1">
        <v>45812</v>
      </c>
      <c r="O962" s="2">
        <v>0.54211805555555559</v>
      </c>
      <c r="P962" s="2">
        <v>0.91673611111111108</v>
      </c>
      <c r="Q962">
        <v>9</v>
      </c>
      <c r="R962">
        <v>7.79</v>
      </c>
      <c r="S962">
        <v>1.31</v>
      </c>
      <c r="T962">
        <v>0.49</v>
      </c>
      <c r="U962">
        <v>0</v>
      </c>
      <c r="V962">
        <v>0.34</v>
      </c>
      <c r="W962">
        <v>5.12</v>
      </c>
      <c r="X962">
        <v>0.5</v>
      </c>
      <c r="Y962">
        <v>0</v>
      </c>
      <c r="Z962">
        <v>0</v>
      </c>
      <c r="AA962">
        <v>0</v>
      </c>
      <c r="AB962">
        <v>0.04</v>
      </c>
      <c r="AC962">
        <v>7.79</v>
      </c>
      <c r="AD962">
        <v>16.8</v>
      </c>
      <c r="AE962">
        <v>6.23</v>
      </c>
      <c r="AF962">
        <v>0</v>
      </c>
      <c r="AG962">
        <v>4.3099999999999996</v>
      </c>
      <c r="AH962">
        <v>65.64</v>
      </c>
      <c r="AI962">
        <v>6.46</v>
      </c>
      <c r="AJ962">
        <v>0</v>
      </c>
      <c r="AK962">
        <v>0</v>
      </c>
      <c r="AL962">
        <v>0</v>
      </c>
      <c r="AM962">
        <v>0.56000000000000005</v>
      </c>
      <c r="AN962">
        <f t="shared" si="43"/>
        <v>4</v>
      </c>
      <c r="AO962" t="str">
        <f t="shared" si="44"/>
        <v>Wednesday</v>
      </c>
    </row>
    <row r="963" spans="1:41" x14ac:dyDescent="0.2">
      <c r="A963" t="s">
        <v>39</v>
      </c>
      <c r="B963" s="1">
        <v>45812</v>
      </c>
      <c r="C963" s="1">
        <f t="shared" ref="C963:C1026" si="45">EOMONTH(B963,0)</f>
        <v>45838</v>
      </c>
      <c r="D963">
        <v>23</v>
      </c>
      <c r="E963">
        <v>44</v>
      </c>
      <c r="F963">
        <v>2</v>
      </c>
      <c r="G963">
        <v>0</v>
      </c>
      <c r="H963">
        <v>3</v>
      </c>
      <c r="I963">
        <v>3</v>
      </c>
      <c r="J963">
        <v>0</v>
      </c>
      <c r="K963">
        <v>22</v>
      </c>
      <c r="L963" t="s">
        <v>39</v>
      </c>
      <c r="M963" t="s">
        <v>38</v>
      </c>
      <c r="N963" s="1">
        <v>45812</v>
      </c>
      <c r="O963" s="2">
        <v>0.54184027777777777</v>
      </c>
      <c r="P963" s="2">
        <v>0.91670138888888886</v>
      </c>
      <c r="Q963">
        <v>9</v>
      </c>
      <c r="R963">
        <v>8.5299999999999994</v>
      </c>
      <c r="S963">
        <v>2.78</v>
      </c>
      <c r="T963">
        <v>0.06</v>
      </c>
      <c r="U963">
        <v>0</v>
      </c>
      <c r="V963">
        <v>0.02</v>
      </c>
      <c r="W963">
        <v>4.68</v>
      </c>
      <c r="X963">
        <v>0.99</v>
      </c>
      <c r="Y963">
        <v>0</v>
      </c>
      <c r="Z963">
        <v>0</v>
      </c>
      <c r="AA963">
        <v>0</v>
      </c>
      <c r="AB963">
        <v>0.01</v>
      </c>
      <c r="AC963">
        <v>8.5299999999999994</v>
      </c>
      <c r="AD963">
        <v>32.58</v>
      </c>
      <c r="AE963">
        <v>0.67</v>
      </c>
      <c r="AF963">
        <v>0</v>
      </c>
      <c r="AG963">
        <v>0.25</v>
      </c>
      <c r="AH963">
        <v>54.83</v>
      </c>
      <c r="AI963">
        <v>11.57</v>
      </c>
      <c r="AJ963">
        <v>0</v>
      </c>
      <c r="AK963">
        <v>0</v>
      </c>
      <c r="AL963">
        <v>0</v>
      </c>
      <c r="AM963">
        <v>0.09</v>
      </c>
      <c r="AN963">
        <f t="shared" ref="AN963:AN1026" si="46">WEEKDAY(B963,1)</f>
        <v>4</v>
      </c>
      <c r="AO963" t="str">
        <f t="shared" ref="AO963:AO1026" si="47">VLOOKUP(AN963,$AY$2:$AZ$8,2,FALSE)</f>
        <v>Wednesday</v>
      </c>
    </row>
    <row r="964" spans="1:41" x14ac:dyDescent="0.2">
      <c r="A964" t="s">
        <v>41</v>
      </c>
      <c r="B964" s="1">
        <v>45812</v>
      </c>
      <c r="C964" s="1">
        <f t="shared" si="45"/>
        <v>45838</v>
      </c>
      <c r="D964">
        <v>34</v>
      </c>
      <c r="E964">
        <v>88</v>
      </c>
      <c r="F964">
        <v>6</v>
      </c>
      <c r="G964">
        <v>10</v>
      </c>
      <c r="H964">
        <v>7</v>
      </c>
      <c r="I964">
        <v>1</v>
      </c>
      <c r="J964">
        <v>1</v>
      </c>
      <c r="K964">
        <v>51</v>
      </c>
      <c r="L964" t="s">
        <v>41</v>
      </c>
      <c r="M964" t="s">
        <v>38</v>
      </c>
      <c r="N964" s="1">
        <v>45812</v>
      </c>
      <c r="O964" s="2">
        <v>0.54409722222222223</v>
      </c>
      <c r="P964" s="2">
        <v>0.91622685185185182</v>
      </c>
      <c r="Q964">
        <v>8.93</v>
      </c>
      <c r="R964">
        <v>8.93</v>
      </c>
      <c r="S964">
        <v>1.0900000000000001</v>
      </c>
      <c r="T964">
        <v>0.13</v>
      </c>
      <c r="U964">
        <v>0</v>
      </c>
      <c r="V964">
        <v>0.36</v>
      </c>
      <c r="W964">
        <v>5.92</v>
      </c>
      <c r="X964">
        <v>1.43</v>
      </c>
      <c r="Y964">
        <v>0</v>
      </c>
      <c r="Z964">
        <v>0</v>
      </c>
      <c r="AA964">
        <v>0</v>
      </c>
      <c r="AB964">
        <v>0</v>
      </c>
      <c r="AC964">
        <v>8.93</v>
      </c>
      <c r="AD964">
        <v>12.25</v>
      </c>
      <c r="AE964">
        <v>1.4</v>
      </c>
      <c r="AF964">
        <v>0</v>
      </c>
      <c r="AG964">
        <v>3.98</v>
      </c>
      <c r="AH964">
        <v>66.319999999999993</v>
      </c>
      <c r="AI964">
        <v>15.99</v>
      </c>
      <c r="AJ964">
        <v>0</v>
      </c>
      <c r="AK964">
        <v>0</v>
      </c>
      <c r="AL964">
        <v>0</v>
      </c>
      <c r="AM964">
        <v>0.04</v>
      </c>
      <c r="AN964">
        <f t="shared" si="46"/>
        <v>4</v>
      </c>
      <c r="AO964" t="str">
        <f t="shared" si="47"/>
        <v>Wednesday</v>
      </c>
    </row>
    <row r="965" spans="1:41" x14ac:dyDescent="0.2">
      <c r="A965" t="s">
        <v>43</v>
      </c>
      <c r="B965" s="1">
        <v>45812</v>
      </c>
      <c r="C965" s="1">
        <f t="shared" si="45"/>
        <v>45838</v>
      </c>
      <c r="D965">
        <v>28</v>
      </c>
      <c r="E965">
        <v>106</v>
      </c>
      <c r="F965">
        <v>2</v>
      </c>
      <c r="G965">
        <v>1</v>
      </c>
      <c r="H965">
        <v>13</v>
      </c>
      <c r="I965">
        <v>0</v>
      </c>
      <c r="J965">
        <v>0</v>
      </c>
      <c r="K965">
        <v>73</v>
      </c>
      <c r="L965" t="s">
        <v>43</v>
      </c>
      <c r="M965" t="s">
        <v>38</v>
      </c>
      <c r="N965" s="1">
        <v>45812</v>
      </c>
      <c r="O965" s="2">
        <v>0.54138888888888892</v>
      </c>
      <c r="P965" s="2">
        <v>0.91740740740740745</v>
      </c>
      <c r="Q965">
        <v>9.0299999999999994</v>
      </c>
      <c r="R965">
        <v>9.02</v>
      </c>
      <c r="S965">
        <v>1.03</v>
      </c>
      <c r="T965">
        <v>0.12</v>
      </c>
      <c r="U965">
        <v>0</v>
      </c>
      <c r="V965">
        <v>0.5</v>
      </c>
      <c r="W965">
        <v>5.87</v>
      </c>
      <c r="X965">
        <v>1.5</v>
      </c>
      <c r="Y965">
        <v>0</v>
      </c>
      <c r="Z965">
        <v>0</v>
      </c>
      <c r="AA965">
        <v>0</v>
      </c>
      <c r="AB965">
        <v>0</v>
      </c>
      <c r="AC965">
        <v>9.02</v>
      </c>
      <c r="AD965">
        <v>11.43</v>
      </c>
      <c r="AE965">
        <v>1.31</v>
      </c>
      <c r="AF965">
        <v>0</v>
      </c>
      <c r="AG965">
        <v>5.57</v>
      </c>
      <c r="AH965">
        <v>65.05</v>
      </c>
      <c r="AI965">
        <v>16.61</v>
      </c>
      <c r="AJ965">
        <v>0</v>
      </c>
      <c r="AK965">
        <v>0</v>
      </c>
      <c r="AL965">
        <v>0</v>
      </c>
      <c r="AM965">
        <v>0.04</v>
      </c>
      <c r="AN965">
        <f t="shared" si="46"/>
        <v>4</v>
      </c>
      <c r="AO965" t="str">
        <f t="shared" si="47"/>
        <v>Wednesday</v>
      </c>
    </row>
    <row r="966" spans="1:41" x14ac:dyDescent="0.2">
      <c r="B966" s="1">
        <v>45812</v>
      </c>
      <c r="C966" s="1">
        <f t="shared" si="45"/>
        <v>45838</v>
      </c>
      <c r="D966">
        <v>558</v>
      </c>
      <c r="E966">
        <v>0</v>
      </c>
      <c r="F966">
        <v>0</v>
      </c>
      <c r="G966">
        <v>0</v>
      </c>
      <c r="H966">
        <v>0</v>
      </c>
      <c r="I966">
        <v>0</v>
      </c>
      <c r="J966">
        <v>0</v>
      </c>
      <c r="K966">
        <v>0</v>
      </c>
      <c r="AN966">
        <f t="shared" si="46"/>
        <v>4</v>
      </c>
      <c r="AO966" t="str">
        <f t="shared" si="47"/>
        <v>Wednesday</v>
      </c>
    </row>
    <row r="967" spans="1:41" x14ac:dyDescent="0.2">
      <c r="A967" t="s">
        <v>37</v>
      </c>
      <c r="B967" s="1">
        <v>45811</v>
      </c>
      <c r="C967" s="1">
        <f t="shared" si="45"/>
        <v>45838</v>
      </c>
      <c r="D967">
        <v>36</v>
      </c>
      <c r="E967">
        <v>85</v>
      </c>
      <c r="F967">
        <v>5</v>
      </c>
      <c r="G967">
        <v>9</v>
      </c>
      <c r="H967">
        <v>5</v>
      </c>
      <c r="I967">
        <v>0</v>
      </c>
      <c r="J967">
        <v>2</v>
      </c>
      <c r="K967">
        <v>45</v>
      </c>
      <c r="L967" t="s">
        <v>37</v>
      </c>
      <c r="M967" t="s">
        <v>38</v>
      </c>
      <c r="N967" s="1">
        <v>45811</v>
      </c>
      <c r="O967" s="2">
        <v>0.54321759259259261</v>
      </c>
      <c r="P967" s="2">
        <v>0.91670138888888886</v>
      </c>
      <c r="Q967">
        <v>8.9700000000000006</v>
      </c>
      <c r="R967">
        <v>8.0299999999999994</v>
      </c>
      <c r="S967">
        <v>1.76</v>
      </c>
      <c r="T967">
        <v>0.5</v>
      </c>
      <c r="U967">
        <v>0</v>
      </c>
      <c r="V967">
        <v>0.49</v>
      </c>
      <c r="W967">
        <v>5.0199999999999996</v>
      </c>
      <c r="X967">
        <v>0.26</v>
      </c>
      <c r="Y967">
        <v>0</v>
      </c>
      <c r="Z967">
        <v>0</v>
      </c>
      <c r="AA967">
        <v>0</v>
      </c>
      <c r="AB967">
        <v>0.02</v>
      </c>
      <c r="AC967">
        <v>8.0299999999999994</v>
      </c>
      <c r="AD967">
        <v>21.85</v>
      </c>
      <c r="AE967">
        <v>6.25</v>
      </c>
      <c r="AF967">
        <v>0</v>
      </c>
      <c r="AG967">
        <v>6.04</v>
      </c>
      <c r="AH967">
        <v>62.46</v>
      </c>
      <c r="AI967">
        <v>3.18</v>
      </c>
      <c r="AJ967">
        <v>0</v>
      </c>
      <c r="AK967">
        <v>0</v>
      </c>
      <c r="AL967">
        <v>0</v>
      </c>
      <c r="AM967">
        <v>0.21</v>
      </c>
      <c r="AN967">
        <f t="shared" si="46"/>
        <v>3</v>
      </c>
      <c r="AO967" t="str">
        <f t="shared" si="47"/>
        <v>Tuesday</v>
      </c>
    </row>
    <row r="968" spans="1:41" x14ac:dyDescent="0.2">
      <c r="A968" t="s">
        <v>52</v>
      </c>
      <c r="B968" s="1">
        <v>45811</v>
      </c>
      <c r="C968" s="1">
        <f t="shared" si="45"/>
        <v>45838</v>
      </c>
      <c r="D968">
        <v>16</v>
      </c>
      <c r="E968">
        <v>41</v>
      </c>
      <c r="F968">
        <v>8</v>
      </c>
      <c r="G968">
        <v>0</v>
      </c>
      <c r="H968">
        <v>4</v>
      </c>
      <c r="I968">
        <v>0</v>
      </c>
      <c r="J968">
        <v>0</v>
      </c>
      <c r="K968">
        <v>23</v>
      </c>
      <c r="L968" t="s">
        <v>52</v>
      </c>
      <c r="M968" t="s">
        <v>38</v>
      </c>
      <c r="N968" s="1">
        <v>45811</v>
      </c>
      <c r="O968" s="2">
        <v>0.53986111111111112</v>
      </c>
      <c r="P968" s="2">
        <v>0.91682870370370373</v>
      </c>
      <c r="Q968">
        <v>9.0500000000000007</v>
      </c>
      <c r="R968">
        <v>7.84</v>
      </c>
      <c r="S968">
        <v>1.06</v>
      </c>
      <c r="T968">
        <v>0.72</v>
      </c>
      <c r="U968">
        <v>0</v>
      </c>
      <c r="V968">
        <v>0.46</v>
      </c>
      <c r="W968">
        <v>4.9000000000000004</v>
      </c>
      <c r="X968">
        <v>0.48</v>
      </c>
      <c r="Y968">
        <v>0</v>
      </c>
      <c r="Z968">
        <v>0</v>
      </c>
      <c r="AA968">
        <v>0.01</v>
      </c>
      <c r="AB968">
        <v>0.2</v>
      </c>
      <c r="AC968">
        <v>7.84</v>
      </c>
      <c r="AD968">
        <v>13.55</v>
      </c>
      <c r="AE968">
        <v>9.2100000000000009</v>
      </c>
      <c r="AF968">
        <v>0</v>
      </c>
      <c r="AG968">
        <v>5.83</v>
      </c>
      <c r="AH968">
        <v>62.5</v>
      </c>
      <c r="AI968">
        <v>6.18</v>
      </c>
      <c r="AJ968">
        <v>0</v>
      </c>
      <c r="AK968">
        <v>0</v>
      </c>
      <c r="AL968">
        <v>0.19</v>
      </c>
      <c r="AM968">
        <v>2.5499999999999998</v>
      </c>
      <c r="AN968">
        <f t="shared" si="46"/>
        <v>3</v>
      </c>
      <c r="AO968" t="str">
        <f t="shared" si="47"/>
        <v>Tuesday</v>
      </c>
    </row>
    <row r="969" spans="1:41" x14ac:dyDescent="0.2">
      <c r="A969" t="s">
        <v>39</v>
      </c>
      <c r="B969" s="1">
        <v>45811</v>
      </c>
      <c r="C969" s="1">
        <f t="shared" si="45"/>
        <v>45838</v>
      </c>
      <c r="D969">
        <v>41</v>
      </c>
      <c r="E969">
        <v>98</v>
      </c>
      <c r="F969">
        <v>9</v>
      </c>
      <c r="G969">
        <v>9</v>
      </c>
      <c r="H969">
        <v>9</v>
      </c>
      <c r="I969">
        <v>0</v>
      </c>
      <c r="J969">
        <v>2</v>
      </c>
      <c r="K969">
        <v>53</v>
      </c>
      <c r="L969" t="s">
        <v>39</v>
      </c>
      <c r="M969" t="s">
        <v>38</v>
      </c>
      <c r="N969" s="1">
        <v>45811</v>
      </c>
      <c r="O969" s="2">
        <v>0.54189814814814818</v>
      </c>
      <c r="P969" s="2">
        <v>0.91673611111111108</v>
      </c>
      <c r="Q969">
        <v>9</v>
      </c>
      <c r="R969">
        <v>9</v>
      </c>
      <c r="S969">
        <v>2.13</v>
      </c>
      <c r="T969">
        <v>0</v>
      </c>
      <c r="U969">
        <v>0</v>
      </c>
      <c r="V969">
        <v>0.04</v>
      </c>
      <c r="W969">
        <v>5.32</v>
      </c>
      <c r="X969">
        <v>1.49</v>
      </c>
      <c r="Y969">
        <v>0</v>
      </c>
      <c r="Z969">
        <v>0</v>
      </c>
      <c r="AA969">
        <v>0</v>
      </c>
      <c r="AB969">
        <v>0.01</v>
      </c>
      <c r="AC969">
        <v>9</v>
      </c>
      <c r="AD969">
        <v>23.72</v>
      </c>
      <c r="AE969">
        <v>0</v>
      </c>
      <c r="AF969">
        <v>0</v>
      </c>
      <c r="AG969">
        <v>0.48</v>
      </c>
      <c r="AH969">
        <v>59.15</v>
      </c>
      <c r="AI969">
        <v>16.600000000000001</v>
      </c>
      <c r="AJ969">
        <v>0</v>
      </c>
      <c r="AK969">
        <v>0</v>
      </c>
      <c r="AL969">
        <v>0</v>
      </c>
      <c r="AM969">
        <v>0.06</v>
      </c>
      <c r="AN969">
        <f t="shared" si="46"/>
        <v>3</v>
      </c>
      <c r="AO969" t="str">
        <f t="shared" si="47"/>
        <v>Tuesday</v>
      </c>
    </row>
    <row r="970" spans="1:41" x14ac:dyDescent="0.2">
      <c r="A970" t="s">
        <v>41</v>
      </c>
      <c r="B970" s="1">
        <v>45811</v>
      </c>
      <c r="C970" s="1">
        <f t="shared" si="45"/>
        <v>45838</v>
      </c>
      <c r="D970">
        <v>40</v>
      </c>
      <c r="E970">
        <v>83</v>
      </c>
      <c r="F970">
        <v>1</v>
      </c>
      <c r="G970">
        <v>8</v>
      </c>
      <c r="H970">
        <v>6</v>
      </c>
      <c r="I970">
        <v>0</v>
      </c>
      <c r="J970">
        <v>2</v>
      </c>
      <c r="K970">
        <v>42</v>
      </c>
      <c r="L970" t="s">
        <v>41</v>
      </c>
      <c r="M970" t="s">
        <v>38</v>
      </c>
      <c r="N970" s="1">
        <v>45811</v>
      </c>
      <c r="O970" s="2">
        <v>0.54390046296296302</v>
      </c>
      <c r="P970" s="2">
        <v>0.91616898148148151</v>
      </c>
      <c r="Q970">
        <v>8.93</v>
      </c>
      <c r="R970">
        <v>8.93</v>
      </c>
      <c r="S970">
        <v>1.47</v>
      </c>
      <c r="T970">
        <v>0.09</v>
      </c>
      <c r="U970">
        <v>0</v>
      </c>
      <c r="V970">
        <v>0.32</v>
      </c>
      <c r="W970">
        <v>5.63</v>
      </c>
      <c r="X970">
        <v>1.42</v>
      </c>
      <c r="Y970">
        <v>0</v>
      </c>
      <c r="Z970">
        <v>0</v>
      </c>
      <c r="AA970">
        <v>0</v>
      </c>
      <c r="AB970">
        <v>0</v>
      </c>
      <c r="AC970">
        <v>8.93</v>
      </c>
      <c r="AD970">
        <v>16.47</v>
      </c>
      <c r="AE970">
        <v>1.01</v>
      </c>
      <c r="AF970">
        <v>0</v>
      </c>
      <c r="AG970">
        <v>3.55</v>
      </c>
      <c r="AH970">
        <v>63.01</v>
      </c>
      <c r="AI970">
        <v>15.91</v>
      </c>
      <c r="AJ970">
        <v>0</v>
      </c>
      <c r="AK970">
        <v>0</v>
      </c>
      <c r="AL970">
        <v>0</v>
      </c>
      <c r="AM970">
        <v>0.05</v>
      </c>
      <c r="AN970">
        <f t="shared" si="46"/>
        <v>3</v>
      </c>
      <c r="AO970" t="str">
        <f t="shared" si="47"/>
        <v>Tuesday</v>
      </c>
    </row>
    <row r="971" spans="1:41" x14ac:dyDescent="0.2">
      <c r="A971" t="s">
        <v>42</v>
      </c>
      <c r="B971" s="1">
        <v>45811</v>
      </c>
      <c r="C971" s="1">
        <f t="shared" si="45"/>
        <v>45838</v>
      </c>
      <c r="D971">
        <v>1</v>
      </c>
      <c r="E971">
        <v>2</v>
      </c>
      <c r="F971">
        <v>0</v>
      </c>
      <c r="G971">
        <v>0</v>
      </c>
      <c r="H971">
        <v>1</v>
      </c>
      <c r="I971">
        <v>0</v>
      </c>
      <c r="J971">
        <v>0</v>
      </c>
      <c r="K971">
        <v>0</v>
      </c>
      <c r="L971" t="s">
        <v>42</v>
      </c>
      <c r="M971" t="s">
        <v>38</v>
      </c>
      <c r="N971" s="1">
        <v>45811</v>
      </c>
      <c r="O971" s="2">
        <v>0.59346064814814814</v>
      </c>
      <c r="P971" s="2">
        <v>0.8424652777777778</v>
      </c>
      <c r="Q971">
        <v>5.98</v>
      </c>
      <c r="R971">
        <v>0.31</v>
      </c>
      <c r="S971">
        <v>0.17</v>
      </c>
      <c r="T971">
        <v>0.01</v>
      </c>
      <c r="U971">
        <v>0</v>
      </c>
      <c r="V971">
        <v>0.01</v>
      </c>
      <c r="W971">
        <v>0.11</v>
      </c>
      <c r="X971">
        <v>0</v>
      </c>
      <c r="Y971">
        <v>0</v>
      </c>
      <c r="Z971">
        <v>0</v>
      </c>
      <c r="AA971">
        <v>0</v>
      </c>
      <c r="AB971">
        <v>0.01</v>
      </c>
      <c r="AC971">
        <v>0.31</v>
      </c>
      <c r="AD971">
        <v>53.96</v>
      </c>
      <c r="AE971">
        <v>4.41</v>
      </c>
      <c r="AF971">
        <v>0</v>
      </c>
      <c r="AG971">
        <v>3.78</v>
      </c>
      <c r="AH971">
        <v>35.86</v>
      </c>
      <c r="AI971">
        <v>0</v>
      </c>
      <c r="AJ971">
        <v>0</v>
      </c>
      <c r="AK971">
        <v>0</v>
      </c>
      <c r="AL971">
        <v>0</v>
      </c>
      <c r="AM971">
        <v>1.98</v>
      </c>
      <c r="AN971">
        <f t="shared" si="46"/>
        <v>3</v>
      </c>
      <c r="AO971" t="str">
        <f t="shared" si="47"/>
        <v>Tuesday</v>
      </c>
    </row>
    <row r="972" spans="1:41" x14ac:dyDescent="0.2">
      <c r="A972" t="s">
        <v>43</v>
      </c>
      <c r="B972" s="1">
        <v>45811</v>
      </c>
      <c r="C972" s="1">
        <f t="shared" si="45"/>
        <v>45838</v>
      </c>
      <c r="D972">
        <v>38</v>
      </c>
      <c r="E972">
        <v>84</v>
      </c>
      <c r="F972">
        <v>3</v>
      </c>
      <c r="G972">
        <v>0</v>
      </c>
      <c r="H972">
        <v>6</v>
      </c>
      <c r="I972">
        <v>2</v>
      </c>
      <c r="J972">
        <v>0</v>
      </c>
      <c r="K972">
        <v>45</v>
      </c>
      <c r="L972" t="s">
        <v>43</v>
      </c>
      <c r="M972" t="s">
        <v>38</v>
      </c>
      <c r="N972" s="1">
        <v>45811</v>
      </c>
      <c r="O972" s="2">
        <v>0.54165509259259259</v>
      </c>
      <c r="P972" s="2">
        <v>0.91686342592592596</v>
      </c>
      <c r="Q972">
        <v>9.02</v>
      </c>
      <c r="R972">
        <v>9.01</v>
      </c>
      <c r="S972">
        <v>1.33</v>
      </c>
      <c r="T972">
        <v>0.25</v>
      </c>
      <c r="U972">
        <v>0</v>
      </c>
      <c r="V972">
        <v>0.36</v>
      </c>
      <c r="W972">
        <v>5.6</v>
      </c>
      <c r="X972">
        <v>1.45</v>
      </c>
      <c r="Y972">
        <v>0</v>
      </c>
      <c r="Z972">
        <v>0</v>
      </c>
      <c r="AA972">
        <v>0</v>
      </c>
      <c r="AB972">
        <v>0.01</v>
      </c>
      <c r="AC972">
        <v>9.01</v>
      </c>
      <c r="AD972">
        <v>14.76</v>
      </c>
      <c r="AE972">
        <v>2.8</v>
      </c>
      <c r="AF972">
        <v>0</v>
      </c>
      <c r="AG972">
        <v>4.03</v>
      </c>
      <c r="AH972">
        <v>62.18</v>
      </c>
      <c r="AI972">
        <v>16.09</v>
      </c>
      <c r="AJ972">
        <v>0</v>
      </c>
      <c r="AK972">
        <v>0</v>
      </c>
      <c r="AL972">
        <v>0</v>
      </c>
      <c r="AM972">
        <v>0.14000000000000001</v>
      </c>
      <c r="AN972">
        <f t="shared" si="46"/>
        <v>3</v>
      </c>
      <c r="AO972" t="str">
        <f t="shared" si="47"/>
        <v>Tuesday</v>
      </c>
    </row>
    <row r="973" spans="1:41" x14ac:dyDescent="0.2">
      <c r="B973" s="1">
        <v>45811</v>
      </c>
      <c r="C973" s="1">
        <f t="shared" si="45"/>
        <v>45838</v>
      </c>
      <c r="D973">
        <v>575</v>
      </c>
      <c r="E973">
        <v>0</v>
      </c>
      <c r="F973">
        <v>0</v>
      </c>
      <c r="G973">
        <v>0</v>
      </c>
      <c r="H973">
        <v>0</v>
      </c>
      <c r="I973">
        <v>0</v>
      </c>
      <c r="J973">
        <v>0</v>
      </c>
      <c r="K973">
        <v>0</v>
      </c>
      <c r="AN973">
        <f t="shared" si="46"/>
        <v>3</v>
      </c>
      <c r="AO973" t="str">
        <f t="shared" si="47"/>
        <v>Tuesday</v>
      </c>
    </row>
    <row r="974" spans="1:41" x14ac:dyDescent="0.2">
      <c r="A974" t="s">
        <v>37</v>
      </c>
      <c r="B974" s="1">
        <v>45810</v>
      </c>
      <c r="C974" s="1">
        <f t="shared" si="45"/>
        <v>45838</v>
      </c>
      <c r="D974">
        <v>41</v>
      </c>
      <c r="E974">
        <v>100</v>
      </c>
      <c r="F974">
        <v>6</v>
      </c>
      <c r="G974">
        <v>0</v>
      </c>
      <c r="H974">
        <v>7</v>
      </c>
      <c r="I974">
        <v>0</v>
      </c>
      <c r="J974">
        <v>1</v>
      </c>
      <c r="K974">
        <v>69</v>
      </c>
      <c r="L974" t="s">
        <v>37</v>
      </c>
      <c r="M974" t="s">
        <v>38</v>
      </c>
      <c r="N974" s="1">
        <v>45810</v>
      </c>
      <c r="O974" s="2">
        <v>0.54253472222222221</v>
      </c>
      <c r="P974" s="2">
        <v>0.91670138888888886</v>
      </c>
      <c r="Q974">
        <v>8.98</v>
      </c>
      <c r="R974">
        <v>8.11</v>
      </c>
      <c r="S974">
        <v>1.7</v>
      </c>
      <c r="T974">
        <v>0.14000000000000001</v>
      </c>
      <c r="U974">
        <v>0</v>
      </c>
      <c r="V974">
        <v>0.45</v>
      </c>
      <c r="W974">
        <v>5.16</v>
      </c>
      <c r="X974">
        <v>0.6</v>
      </c>
      <c r="Y974">
        <v>0</v>
      </c>
      <c r="Z974">
        <v>0</v>
      </c>
      <c r="AA974">
        <v>0</v>
      </c>
      <c r="AB974">
        <v>0.06</v>
      </c>
      <c r="AC974">
        <v>8.11</v>
      </c>
      <c r="AD974">
        <v>20.9</v>
      </c>
      <c r="AE974">
        <v>1.71</v>
      </c>
      <c r="AF974">
        <v>0</v>
      </c>
      <c r="AG974">
        <v>5.61</v>
      </c>
      <c r="AH974">
        <v>63.66</v>
      </c>
      <c r="AI974">
        <v>7.42</v>
      </c>
      <c r="AJ974">
        <v>0</v>
      </c>
      <c r="AK974">
        <v>0</v>
      </c>
      <c r="AL974">
        <v>0</v>
      </c>
      <c r="AM974">
        <v>0.71</v>
      </c>
      <c r="AN974">
        <f t="shared" si="46"/>
        <v>2</v>
      </c>
      <c r="AO974" t="str">
        <f t="shared" si="47"/>
        <v>Monday</v>
      </c>
    </row>
    <row r="975" spans="1:41" x14ac:dyDescent="0.2">
      <c r="A975" t="s">
        <v>52</v>
      </c>
      <c r="B975" s="1">
        <v>45810</v>
      </c>
      <c r="C975" s="1">
        <f t="shared" si="45"/>
        <v>45838</v>
      </c>
      <c r="D975">
        <v>7</v>
      </c>
      <c r="E975">
        <v>10</v>
      </c>
      <c r="F975">
        <v>2</v>
      </c>
      <c r="G975">
        <v>0</v>
      </c>
      <c r="H975">
        <v>3</v>
      </c>
      <c r="I975">
        <v>0</v>
      </c>
      <c r="J975">
        <v>0</v>
      </c>
      <c r="K975">
        <v>3</v>
      </c>
      <c r="L975" t="s">
        <v>52</v>
      </c>
      <c r="M975" t="s">
        <v>38</v>
      </c>
      <c r="N975" s="1">
        <v>45810</v>
      </c>
      <c r="O975" s="2">
        <v>0.54194444444444445</v>
      </c>
      <c r="P975" s="2">
        <v>0.66712962962962963</v>
      </c>
      <c r="Q975">
        <v>3</v>
      </c>
      <c r="R975">
        <v>3</v>
      </c>
      <c r="S975">
        <v>0.6</v>
      </c>
      <c r="T975">
        <v>0.09</v>
      </c>
      <c r="U975">
        <v>0</v>
      </c>
      <c r="V975">
        <v>0.21</v>
      </c>
      <c r="W975">
        <v>1.79</v>
      </c>
      <c r="X975">
        <v>0</v>
      </c>
      <c r="Y975">
        <v>0.31</v>
      </c>
      <c r="Z975">
        <v>0</v>
      </c>
      <c r="AA975">
        <v>0</v>
      </c>
      <c r="AB975">
        <v>0.01</v>
      </c>
      <c r="AC975">
        <v>3</v>
      </c>
      <c r="AD975">
        <v>19.940000000000001</v>
      </c>
      <c r="AE975">
        <v>2.95</v>
      </c>
      <c r="AF975">
        <v>0</v>
      </c>
      <c r="AG975">
        <v>7.02</v>
      </c>
      <c r="AH975">
        <v>59.62</v>
      </c>
      <c r="AI975">
        <v>0</v>
      </c>
      <c r="AJ975">
        <v>10.18</v>
      </c>
      <c r="AK975">
        <v>0</v>
      </c>
      <c r="AL975">
        <v>0.06</v>
      </c>
      <c r="AM975">
        <v>0.22</v>
      </c>
      <c r="AN975">
        <f t="shared" si="46"/>
        <v>2</v>
      </c>
      <c r="AO975" t="str">
        <f t="shared" si="47"/>
        <v>Monday</v>
      </c>
    </row>
    <row r="976" spans="1:41" x14ac:dyDescent="0.2">
      <c r="A976" t="s">
        <v>39</v>
      </c>
      <c r="B976" s="1">
        <v>45810</v>
      </c>
      <c r="C976" s="1">
        <f t="shared" si="45"/>
        <v>45838</v>
      </c>
      <c r="D976">
        <v>33</v>
      </c>
      <c r="E976">
        <v>77</v>
      </c>
      <c r="F976">
        <v>13</v>
      </c>
      <c r="G976">
        <v>1</v>
      </c>
      <c r="H976">
        <v>6</v>
      </c>
      <c r="I976">
        <v>1</v>
      </c>
      <c r="J976">
        <v>0</v>
      </c>
      <c r="K976">
        <v>45</v>
      </c>
      <c r="L976" t="s">
        <v>39</v>
      </c>
      <c r="M976" t="s">
        <v>38</v>
      </c>
      <c r="N976" s="1">
        <v>45810</v>
      </c>
      <c r="O976" s="2">
        <v>0.54195601851851849</v>
      </c>
      <c r="P976" s="2">
        <v>0.91675925925925927</v>
      </c>
      <c r="Q976">
        <v>9</v>
      </c>
      <c r="R976">
        <v>8.99</v>
      </c>
      <c r="S976">
        <v>1.92</v>
      </c>
      <c r="T976">
        <v>0</v>
      </c>
      <c r="U976">
        <v>0</v>
      </c>
      <c r="V976">
        <v>0.02</v>
      </c>
      <c r="W976">
        <v>5.38</v>
      </c>
      <c r="X976">
        <v>1.47</v>
      </c>
      <c r="Y976">
        <v>0.19</v>
      </c>
      <c r="Z976">
        <v>0</v>
      </c>
      <c r="AA976">
        <v>0</v>
      </c>
      <c r="AB976">
        <v>0.01</v>
      </c>
      <c r="AC976">
        <v>8.99</v>
      </c>
      <c r="AD976">
        <v>21.36</v>
      </c>
      <c r="AE976">
        <v>0</v>
      </c>
      <c r="AF976">
        <v>0</v>
      </c>
      <c r="AG976">
        <v>0.27</v>
      </c>
      <c r="AH976">
        <v>59.79</v>
      </c>
      <c r="AI976">
        <v>16.37</v>
      </c>
      <c r="AJ976">
        <v>2.15</v>
      </c>
      <c r="AK976">
        <v>0</v>
      </c>
      <c r="AL976">
        <v>0</v>
      </c>
      <c r="AM976">
        <v>0.06</v>
      </c>
      <c r="AN976">
        <f t="shared" si="46"/>
        <v>2</v>
      </c>
      <c r="AO976" t="str">
        <f t="shared" si="47"/>
        <v>Monday</v>
      </c>
    </row>
    <row r="977" spans="1:41" x14ac:dyDescent="0.2">
      <c r="A977" t="s">
        <v>41</v>
      </c>
      <c r="B977" s="1">
        <v>45810</v>
      </c>
      <c r="C977" s="1">
        <f t="shared" si="45"/>
        <v>45838</v>
      </c>
      <c r="D977">
        <v>45</v>
      </c>
      <c r="E977">
        <v>124</v>
      </c>
      <c r="F977">
        <v>7</v>
      </c>
      <c r="G977">
        <v>1</v>
      </c>
      <c r="H977">
        <v>3</v>
      </c>
      <c r="I977">
        <v>0</v>
      </c>
      <c r="J977">
        <v>2</v>
      </c>
      <c r="K977">
        <v>84</v>
      </c>
      <c r="L977" t="s">
        <v>41</v>
      </c>
      <c r="M977" t="s">
        <v>38</v>
      </c>
      <c r="N977" s="1">
        <v>45810</v>
      </c>
      <c r="O977" s="2">
        <v>0.54677083333333332</v>
      </c>
      <c r="P977" s="2">
        <v>0.9165740740740741</v>
      </c>
      <c r="Q977">
        <v>8.8699999999999992</v>
      </c>
      <c r="R977">
        <v>8.8800000000000008</v>
      </c>
      <c r="S977">
        <v>1.1100000000000001</v>
      </c>
      <c r="T977">
        <v>0.28000000000000003</v>
      </c>
      <c r="U977">
        <v>0</v>
      </c>
      <c r="V977">
        <v>0.21</v>
      </c>
      <c r="W977">
        <v>5.88</v>
      </c>
      <c r="X977">
        <v>1.39</v>
      </c>
      <c r="Y977">
        <v>0</v>
      </c>
      <c r="Z977">
        <v>0</v>
      </c>
      <c r="AA977">
        <v>0</v>
      </c>
      <c r="AB977">
        <v>0</v>
      </c>
      <c r="AC977">
        <v>8.8800000000000008</v>
      </c>
      <c r="AD977">
        <v>12.54</v>
      </c>
      <c r="AE977">
        <v>3.14</v>
      </c>
      <c r="AF977">
        <v>0</v>
      </c>
      <c r="AG977">
        <v>2.35</v>
      </c>
      <c r="AH977">
        <v>66.260000000000005</v>
      </c>
      <c r="AI977">
        <v>15.67</v>
      </c>
      <c r="AJ977">
        <v>0</v>
      </c>
      <c r="AK977">
        <v>0</v>
      </c>
      <c r="AL977">
        <v>0</v>
      </c>
      <c r="AM977">
        <v>0.04</v>
      </c>
      <c r="AN977">
        <f t="shared" si="46"/>
        <v>2</v>
      </c>
      <c r="AO977" t="str">
        <f t="shared" si="47"/>
        <v>Monday</v>
      </c>
    </row>
    <row r="978" spans="1:41" x14ac:dyDescent="0.2">
      <c r="A978" t="s">
        <v>42</v>
      </c>
      <c r="B978" s="1">
        <v>45810</v>
      </c>
      <c r="C978" s="1">
        <f t="shared" si="45"/>
        <v>45838</v>
      </c>
      <c r="D978">
        <v>1</v>
      </c>
      <c r="E978">
        <v>1</v>
      </c>
      <c r="F978">
        <v>0</v>
      </c>
      <c r="G978">
        <v>0</v>
      </c>
      <c r="H978">
        <v>1</v>
      </c>
      <c r="I978">
        <v>0</v>
      </c>
      <c r="J978">
        <v>0</v>
      </c>
      <c r="K978">
        <v>0</v>
      </c>
      <c r="L978" t="s">
        <v>42</v>
      </c>
      <c r="M978" t="s">
        <v>38</v>
      </c>
      <c r="N978" s="1">
        <v>45810</v>
      </c>
      <c r="O978" s="2">
        <v>0.75424768518518515</v>
      </c>
      <c r="P978" s="2">
        <v>0.92682870370370374</v>
      </c>
      <c r="Q978">
        <v>4.13</v>
      </c>
      <c r="R978">
        <v>4.1399999999999997</v>
      </c>
      <c r="S978">
        <v>4.13</v>
      </c>
      <c r="T978">
        <v>0</v>
      </c>
      <c r="U978">
        <v>0</v>
      </c>
      <c r="V978">
        <v>0.01</v>
      </c>
      <c r="W978">
        <v>0</v>
      </c>
      <c r="X978">
        <v>0</v>
      </c>
      <c r="Y978">
        <v>0</v>
      </c>
      <c r="Z978">
        <v>0</v>
      </c>
      <c r="AA978">
        <v>0</v>
      </c>
      <c r="AB978">
        <v>0</v>
      </c>
      <c r="AC978">
        <v>4.1399999999999997</v>
      </c>
      <c r="AD978">
        <v>99.79</v>
      </c>
      <c r="AE978">
        <v>0</v>
      </c>
      <c r="AF978">
        <v>0</v>
      </c>
      <c r="AG978">
        <v>0.13</v>
      </c>
      <c r="AH978">
        <v>0</v>
      </c>
      <c r="AI978">
        <v>0</v>
      </c>
      <c r="AJ978">
        <v>0</v>
      </c>
      <c r="AK978">
        <v>0</v>
      </c>
      <c r="AL978">
        <v>0</v>
      </c>
      <c r="AM978">
        <v>7.0000000000000007E-2</v>
      </c>
      <c r="AN978">
        <f t="shared" si="46"/>
        <v>2</v>
      </c>
      <c r="AO978" t="str">
        <f t="shared" si="47"/>
        <v>Monday</v>
      </c>
    </row>
    <row r="979" spans="1:41" x14ac:dyDescent="0.2">
      <c r="A979" t="s">
        <v>43</v>
      </c>
      <c r="B979" s="1">
        <v>45810</v>
      </c>
      <c r="C979" s="1">
        <f t="shared" si="45"/>
        <v>45838</v>
      </c>
      <c r="D979">
        <v>48</v>
      </c>
      <c r="E979">
        <v>128</v>
      </c>
      <c r="F979">
        <v>11</v>
      </c>
      <c r="G979">
        <v>2</v>
      </c>
      <c r="H979">
        <v>9</v>
      </c>
      <c r="I979">
        <v>0</v>
      </c>
      <c r="J979">
        <v>1</v>
      </c>
      <c r="K979">
        <v>79</v>
      </c>
      <c r="L979" t="s">
        <v>43</v>
      </c>
      <c r="M979" t="s">
        <v>38</v>
      </c>
      <c r="N979" s="1">
        <v>45810</v>
      </c>
      <c r="O979" s="2">
        <v>0.54151620370370368</v>
      </c>
      <c r="P979" s="2">
        <v>0.91722222222222227</v>
      </c>
      <c r="Q979">
        <v>9.02</v>
      </c>
      <c r="R979">
        <v>9.02</v>
      </c>
      <c r="S979">
        <v>2.0699999999999998</v>
      </c>
      <c r="T979">
        <v>0.13</v>
      </c>
      <c r="U979">
        <v>0</v>
      </c>
      <c r="V979">
        <v>0.48</v>
      </c>
      <c r="W979">
        <v>4.88</v>
      </c>
      <c r="X979">
        <v>1.45</v>
      </c>
      <c r="Y979">
        <v>0</v>
      </c>
      <c r="Z979">
        <v>0</v>
      </c>
      <c r="AA979">
        <v>0</v>
      </c>
      <c r="AB979">
        <v>0</v>
      </c>
      <c r="AC979">
        <v>9.02</v>
      </c>
      <c r="AD979">
        <v>22.98</v>
      </c>
      <c r="AE979">
        <v>1.43</v>
      </c>
      <c r="AF979">
        <v>0</v>
      </c>
      <c r="AG979">
        <v>5.35</v>
      </c>
      <c r="AH979">
        <v>54.14</v>
      </c>
      <c r="AI979">
        <v>16.059999999999999</v>
      </c>
      <c r="AJ979">
        <v>0</v>
      </c>
      <c r="AK979">
        <v>0</v>
      </c>
      <c r="AL979">
        <v>0</v>
      </c>
      <c r="AM979">
        <v>0.04</v>
      </c>
      <c r="AN979">
        <f t="shared" si="46"/>
        <v>2</v>
      </c>
      <c r="AO979" t="str">
        <f t="shared" si="47"/>
        <v>Monday</v>
      </c>
    </row>
    <row r="980" spans="1:41" x14ac:dyDescent="0.2">
      <c r="B980" s="1">
        <v>45810</v>
      </c>
      <c r="C980" s="1">
        <f t="shared" si="45"/>
        <v>45838</v>
      </c>
      <c r="D980">
        <v>574</v>
      </c>
      <c r="E980">
        <v>0</v>
      </c>
      <c r="F980">
        <v>0</v>
      </c>
      <c r="G980">
        <v>0</v>
      </c>
      <c r="H980">
        <v>0</v>
      </c>
      <c r="I980">
        <v>0</v>
      </c>
      <c r="J980">
        <v>0</v>
      </c>
      <c r="K980">
        <v>0</v>
      </c>
      <c r="AN980">
        <f t="shared" si="46"/>
        <v>2</v>
      </c>
      <c r="AO980" t="str">
        <f t="shared" si="47"/>
        <v>Monday</v>
      </c>
    </row>
    <row r="981" spans="1:41" x14ac:dyDescent="0.2">
      <c r="A981" t="s">
        <v>37</v>
      </c>
      <c r="B981" s="1">
        <v>45807</v>
      </c>
      <c r="C981" s="1">
        <f t="shared" si="45"/>
        <v>45808</v>
      </c>
      <c r="D981">
        <v>29</v>
      </c>
      <c r="E981">
        <v>87</v>
      </c>
      <c r="F981">
        <v>2</v>
      </c>
      <c r="G981">
        <v>0</v>
      </c>
      <c r="H981">
        <v>4</v>
      </c>
      <c r="I981">
        <v>3</v>
      </c>
      <c r="J981">
        <v>0</v>
      </c>
      <c r="K981">
        <v>64</v>
      </c>
      <c r="L981" t="s">
        <v>37</v>
      </c>
      <c r="M981" t="s">
        <v>38</v>
      </c>
      <c r="N981" s="1">
        <v>45807</v>
      </c>
      <c r="O981" s="2">
        <v>0.54048611111111111</v>
      </c>
      <c r="P981" s="2">
        <v>0.91675925925925927</v>
      </c>
      <c r="Q981">
        <v>9.0299999999999994</v>
      </c>
      <c r="R981">
        <v>8.17</v>
      </c>
      <c r="S981">
        <v>0.85</v>
      </c>
      <c r="T981">
        <v>0</v>
      </c>
      <c r="U981">
        <v>0</v>
      </c>
      <c r="V981">
        <v>0.32</v>
      </c>
      <c r="W981">
        <v>6.46</v>
      </c>
      <c r="X981">
        <v>0.51</v>
      </c>
      <c r="Y981">
        <v>0</v>
      </c>
      <c r="Z981">
        <v>0</v>
      </c>
      <c r="AA981">
        <v>0</v>
      </c>
      <c r="AB981">
        <v>0.04</v>
      </c>
      <c r="AC981">
        <v>8.17</v>
      </c>
      <c r="AD981">
        <v>10.34</v>
      </c>
      <c r="AE981">
        <v>0</v>
      </c>
      <c r="AF981">
        <v>0</v>
      </c>
      <c r="AG981">
        <v>3.9</v>
      </c>
      <c r="AH981">
        <v>79.069999999999993</v>
      </c>
      <c r="AI981">
        <v>6.24</v>
      </c>
      <c r="AJ981">
        <v>0</v>
      </c>
      <c r="AK981">
        <v>0</v>
      </c>
      <c r="AL981">
        <v>0</v>
      </c>
      <c r="AM981">
        <v>0.45</v>
      </c>
      <c r="AN981">
        <f t="shared" si="46"/>
        <v>6</v>
      </c>
      <c r="AO981" t="str">
        <f t="shared" si="47"/>
        <v>Friday</v>
      </c>
    </row>
    <row r="982" spans="1:41" x14ac:dyDescent="0.2">
      <c r="A982" t="s">
        <v>52</v>
      </c>
      <c r="B982" s="1">
        <v>45807</v>
      </c>
      <c r="C982" s="1">
        <f t="shared" si="45"/>
        <v>45808</v>
      </c>
      <c r="D982">
        <v>25</v>
      </c>
      <c r="E982">
        <v>44</v>
      </c>
      <c r="F982">
        <v>2</v>
      </c>
      <c r="G982">
        <v>0</v>
      </c>
      <c r="H982">
        <v>3</v>
      </c>
      <c r="I982">
        <v>0</v>
      </c>
      <c r="J982">
        <v>0</v>
      </c>
      <c r="K982">
        <v>23</v>
      </c>
      <c r="L982" t="s">
        <v>52</v>
      </c>
      <c r="M982" t="s">
        <v>38</v>
      </c>
      <c r="N982" s="1">
        <v>45807</v>
      </c>
      <c r="O982" s="2">
        <v>4.1724537037037039E-2</v>
      </c>
      <c r="P982" s="2">
        <v>0.91651620370370368</v>
      </c>
      <c r="Q982">
        <v>20.98</v>
      </c>
      <c r="R982">
        <v>7.68</v>
      </c>
      <c r="S982">
        <v>1.1299999999999999</v>
      </c>
      <c r="T982">
        <v>0.8</v>
      </c>
      <c r="U982">
        <v>0</v>
      </c>
      <c r="V982">
        <v>0.35</v>
      </c>
      <c r="W982">
        <v>4.97</v>
      </c>
      <c r="X982">
        <v>0.38</v>
      </c>
      <c r="Y982">
        <v>0</v>
      </c>
      <c r="Z982">
        <v>0</v>
      </c>
      <c r="AA982">
        <v>0</v>
      </c>
      <c r="AB982">
        <v>0.05</v>
      </c>
      <c r="AC982">
        <v>7.68</v>
      </c>
      <c r="AD982">
        <v>14.78</v>
      </c>
      <c r="AE982">
        <v>10.39</v>
      </c>
      <c r="AF982">
        <v>0</v>
      </c>
      <c r="AG982">
        <v>4.53</v>
      </c>
      <c r="AH982">
        <v>64.73</v>
      </c>
      <c r="AI982">
        <v>4.95</v>
      </c>
      <c r="AJ982">
        <v>0</v>
      </c>
      <c r="AK982">
        <v>0</v>
      </c>
      <c r="AL982">
        <v>0</v>
      </c>
      <c r="AM982">
        <v>0.62</v>
      </c>
      <c r="AN982">
        <f t="shared" si="46"/>
        <v>6</v>
      </c>
      <c r="AO982" t="str">
        <f t="shared" si="47"/>
        <v>Friday</v>
      </c>
    </row>
    <row r="983" spans="1:41" x14ac:dyDescent="0.2">
      <c r="A983" t="s">
        <v>39</v>
      </c>
      <c r="B983" s="1">
        <v>45807</v>
      </c>
      <c r="C983" s="1">
        <f t="shared" si="45"/>
        <v>45808</v>
      </c>
      <c r="D983">
        <v>28</v>
      </c>
      <c r="E983">
        <v>79</v>
      </c>
      <c r="F983">
        <v>7</v>
      </c>
      <c r="G983">
        <v>2</v>
      </c>
      <c r="H983">
        <v>8</v>
      </c>
      <c r="I983">
        <v>0</v>
      </c>
      <c r="J983">
        <v>0</v>
      </c>
      <c r="K983">
        <v>56</v>
      </c>
      <c r="L983" t="s">
        <v>39</v>
      </c>
      <c r="M983" t="s">
        <v>38</v>
      </c>
      <c r="N983" s="1">
        <v>45807</v>
      </c>
      <c r="O983" s="2">
        <v>0.54175925925925927</v>
      </c>
      <c r="P983" s="2">
        <v>0.91673611111111108</v>
      </c>
      <c r="Q983">
        <v>9</v>
      </c>
      <c r="R983">
        <v>9</v>
      </c>
      <c r="S983">
        <v>0.8</v>
      </c>
      <c r="T983">
        <v>0.09</v>
      </c>
      <c r="U983">
        <v>0</v>
      </c>
      <c r="V983">
        <v>0.02</v>
      </c>
      <c r="W983">
        <v>6.62</v>
      </c>
      <c r="X983">
        <v>1.47</v>
      </c>
      <c r="Y983">
        <v>0</v>
      </c>
      <c r="Z983">
        <v>0</v>
      </c>
      <c r="AA983">
        <v>0</v>
      </c>
      <c r="AB983">
        <v>0</v>
      </c>
      <c r="AC983">
        <v>9</v>
      </c>
      <c r="AD983">
        <v>8.85</v>
      </c>
      <c r="AE983">
        <v>1.02</v>
      </c>
      <c r="AF983">
        <v>0</v>
      </c>
      <c r="AG983">
        <v>0.22</v>
      </c>
      <c r="AH983">
        <v>73.55</v>
      </c>
      <c r="AI983">
        <v>16.309999999999999</v>
      </c>
      <c r="AJ983">
        <v>0</v>
      </c>
      <c r="AK983">
        <v>0</v>
      </c>
      <c r="AL983">
        <v>0</v>
      </c>
      <c r="AM983">
        <v>0.04</v>
      </c>
      <c r="AN983">
        <f t="shared" si="46"/>
        <v>6</v>
      </c>
      <c r="AO983" t="str">
        <f t="shared" si="47"/>
        <v>Friday</v>
      </c>
    </row>
    <row r="984" spans="1:41" x14ac:dyDescent="0.2">
      <c r="A984" t="s">
        <v>41</v>
      </c>
      <c r="B984" s="1">
        <v>45807</v>
      </c>
      <c r="C984" s="1">
        <f t="shared" si="45"/>
        <v>45808</v>
      </c>
      <c r="D984">
        <v>28</v>
      </c>
      <c r="E984">
        <v>70</v>
      </c>
      <c r="F984">
        <v>4</v>
      </c>
      <c r="G984">
        <v>3</v>
      </c>
      <c r="H984">
        <v>4</v>
      </c>
      <c r="I984">
        <v>0</v>
      </c>
      <c r="J984">
        <v>0</v>
      </c>
      <c r="K984">
        <v>48</v>
      </c>
      <c r="L984" t="s">
        <v>41</v>
      </c>
      <c r="M984" t="s">
        <v>38</v>
      </c>
      <c r="N984" s="1">
        <v>45807</v>
      </c>
      <c r="O984" s="2">
        <v>0.54228009259259258</v>
      </c>
      <c r="P984" s="2">
        <v>0.91680555555555554</v>
      </c>
      <c r="Q984">
        <v>9</v>
      </c>
      <c r="R984">
        <v>8.99</v>
      </c>
      <c r="S984">
        <v>0.88</v>
      </c>
      <c r="T984">
        <v>0.13</v>
      </c>
      <c r="U984">
        <v>0</v>
      </c>
      <c r="V984">
        <v>0.22</v>
      </c>
      <c r="W984">
        <v>6.27</v>
      </c>
      <c r="X984">
        <v>1.48</v>
      </c>
      <c r="Y984">
        <v>0</v>
      </c>
      <c r="Z984">
        <v>0</v>
      </c>
      <c r="AA984">
        <v>0</v>
      </c>
      <c r="AB984">
        <v>0.02</v>
      </c>
      <c r="AC984">
        <v>8.99</v>
      </c>
      <c r="AD984">
        <v>9.7799999999999994</v>
      </c>
      <c r="AE984">
        <v>1.41</v>
      </c>
      <c r="AF984">
        <v>0</v>
      </c>
      <c r="AG984">
        <v>2.4</v>
      </c>
      <c r="AH984">
        <v>69.8</v>
      </c>
      <c r="AI984">
        <v>16.45</v>
      </c>
      <c r="AJ984">
        <v>0</v>
      </c>
      <c r="AK984">
        <v>0</v>
      </c>
      <c r="AL984">
        <v>0</v>
      </c>
      <c r="AM984">
        <v>0.17</v>
      </c>
      <c r="AN984">
        <f t="shared" si="46"/>
        <v>6</v>
      </c>
      <c r="AO984" t="str">
        <f t="shared" si="47"/>
        <v>Friday</v>
      </c>
    </row>
    <row r="985" spans="1:41" x14ac:dyDescent="0.2">
      <c r="A985" t="s">
        <v>43</v>
      </c>
      <c r="B985" s="1">
        <v>45807</v>
      </c>
      <c r="C985" s="1">
        <f t="shared" si="45"/>
        <v>45808</v>
      </c>
      <c r="D985">
        <v>25</v>
      </c>
      <c r="E985">
        <v>71</v>
      </c>
      <c r="F985">
        <v>1</v>
      </c>
      <c r="G985">
        <v>1</v>
      </c>
      <c r="H985">
        <v>0</v>
      </c>
      <c r="I985">
        <v>0</v>
      </c>
      <c r="J985">
        <v>0</v>
      </c>
      <c r="K985">
        <v>59</v>
      </c>
      <c r="L985" t="s">
        <v>43</v>
      </c>
      <c r="M985" t="s">
        <v>38</v>
      </c>
      <c r="N985" s="1">
        <v>45807</v>
      </c>
      <c r="O985" s="2">
        <v>0.54246527777777775</v>
      </c>
      <c r="P985" s="2">
        <v>0.91741898148148149</v>
      </c>
      <c r="Q985">
        <v>9</v>
      </c>
      <c r="R985">
        <v>8.9700000000000006</v>
      </c>
      <c r="S985">
        <v>0.25</v>
      </c>
      <c r="T985">
        <v>0.2</v>
      </c>
      <c r="U985">
        <v>0</v>
      </c>
      <c r="V985">
        <v>0.55000000000000004</v>
      </c>
      <c r="W985">
        <v>6.18</v>
      </c>
      <c r="X985">
        <v>1.78</v>
      </c>
      <c r="Y985">
        <v>0</v>
      </c>
      <c r="Z985">
        <v>0</v>
      </c>
      <c r="AA985">
        <v>0</v>
      </c>
      <c r="AB985">
        <v>0.02</v>
      </c>
      <c r="AC985">
        <v>8.9700000000000006</v>
      </c>
      <c r="AD985">
        <v>2.79</v>
      </c>
      <c r="AE985">
        <v>2.2000000000000002</v>
      </c>
      <c r="AF985">
        <v>0</v>
      </c>
      <c r="AG985">
        <v>6.18</v>
      </c>
      <c r="AH985">
        <v>68.83</v>
      </c>
      <c r="AI985">
        <v>19.809999999999999</v>
      </c>
      <c r="AJ985">
        <v>0</v>
      </c>
      <c r="AK985">
        <v>0</v>
      </c>
      <c r="AL985">
        <v>0</v>
      </c>
      <c r="AM985">
        <v>0.18</v>
      </c>
      <c r="AN985">
        <f t="shared" si="46"/>
        <v>6</v>
      </c>
      <c r="AO985" t="str">
        <f t="shared" si="47"/>
        <v>Friday</v>
      </c>
    </row>
    <row r="986" spans="1:41" x14ac:dyDescent="0.2">
      <c r="B986" s="1">
        <v>45807</v>
      </c>
      <c r="C986" s="1">
        <f t="shared" si="45"/>
        <v>45808</v>
      </c>
      <c r="D986">
        <v>577</v>
      </c>
      <c r="E986">
        <v>0</v>
      </c>
      <c r="F986">
        <v>0</v>
      </c>
      <c r="G986">
        <v>0</v>
      </c>
      <c r="H986">
        <v>0</v>
      </c>
      <c r="I986">
        <v>0</v>
      </c>
      <c r="J986">
        <v>0</v>
      </c>
      <c r="K986">
        <v>0</v>
      </c>
      <c r="AN986">
        <f t="shared" si="46"/>
        <v>6</v>
      </c>
      <c r="AO986" t="str">
        <f t="shared" si="47"/>
        <v>Friday</v>
      </c>
    </row>
    <row r="987" spans="1:41" x14ac:dyDescent="0.2">
      <c r="A987" t="s">
        <v>37</v>
      </c>
      <c r="B987" s="1">
        <v>45806</v>
      </c>
      <c r="C987" s="1">
        <f t="shared" si="45"/>
        <v>45808</v>
      </c>
      <c r="D987">
        <v>17</v>
      </c>
      <c r="E987">
        <v>46</v>
      </c>
      <c r="F987">
        <v>3</v>
      </c>
      <c r="G987">
        <v>1</v>
      </c>
      <c r="H987">
        <v>0</v>
      </c>
      <c r="I987">
        <v>0</v>
      </c>
      <c r="J987">
        <v>0</v>
      </c>
      <c r="K987">
        <v>38</v>
      </c>
      <c r="L987" t="s">
        <v>37</v>
      </c>
      <c r="M987" t="s">
        <v>38</v>
      </c>
      <c r="N987" s="1">
        <v>45806</v>
      </c>
      <c r="O987" s="2">
        <v>0.54200231481481487</v>
      </c>
      <c r="P987" s="2">
        <v>0.70839120370370368</v>
      </c>
      <c r="Q987">
        <v>4</v>
      </c>
      <c r="R987">
        <v>3.99</v>
      </c>
      <c r="S987">
        <v>0.75</v>
      </c>
      <c r="T987">
        <v>0.59</v>
      </c>
      <c r="U987">
        <v>0</v>
      </c>
      <c r="V987">
        <v>0.16</v>
      </c>
      <c r="W987">
        <v>2.29</v>
      </c>
      <c r="X987">
        <v>0.2</v>
      </c>
      <c r="Y987">
        <v>0</v>
      </c>
      <c r="Z987">
        <v>0</v>
      </c>
      <c r="AA987">
        <v>0</v>
      </c>
      <c r="AB987">
        <v>0</v>
      </c>
      <c r="AC987">
        <v>3.99</v>
      </c>
      <c r="AD987">
        <v>18.87</v>
      </c>
      <c r="AE987">
        <v>14.66</v>
      </c>
      <c r="AF987">
        <v>0</v>
      </c>
      <c r="AG987">
        <v>3.97</v>
      </c>
      <c r="AH987">
        <v>57.25</v>
      </c>
      <c r="AI987">
        <v>5.13</v>
      </c>
      <c r="AJ987">
        <v>0</v>
      </c>
      <c r="AK987">
        <v>0</v>
      </c>
      <c r="AL987">
        <v>0</v>
      </c>
      <c r="AM987">
        <v>0.12</v>
      </c>
      <c r="AN987">
        <f t="shared" si="46"/>
        <v>5</v>
      </c>
      <c r="AO987" t="str">
        <f t="shared" si="47"/>
        <v>Thursday</v>
      </c>
    </row>
    <row r="988" spans="1:41" x14ac:dyDescent="0.2">
      <c r="A988" t="s">
        <v>52</v>
      </c>
      <c r="B988" s="1">
        <v>45806</v>
      </c>
      <c r="C988" s="1">
        <f t="shared" si="45"/>
        <v>45808</v>
      </c>
      <c r="D988">
        <v>20</v>
      </c>
      <c r="E988">
        <v>38</v>
      </c>
      <c r="F988">
        <v>0</v>
      </c>
      <c r="G988">
        <v>3</v>
      </c>
      <c r="H988">
        <v>5</v>
      </c>
      <c r="I988">
        <v>0</v>
      </c>
      <c r="J988">
        <v>0</v>
      </c>
      <c r="K988">
        <v>20</v>
      </c>
      <c r="L988" t="s">
        <v>52</v>
      </c>
      <c r="M988" t="s">
        <v>38</v>
      </c>
      <c r="N988" s="1">
        <v>45806</v>
      </c>
      <c r="O988" s="2">
        <v>0.54374999999999996</v>
      </c>
      <c r="P988" s="2">
        <v>0.91695601851851849</v>
      </c>
      <c r="Q988">
        <v>8.9499999999999993</v>
      </c>
      <c r="R988">
        <v>7.91</v>
      </c>
      <c r="S988">
        <v>1.25</v>
      </c>
      <c r="T988">
        <v>1.3</v>
      </c>
      <c r="U988">
        <v>0</v>
      </c>
      <c r="V988">
        <v>0.52</v>
      </c>
      <c r="W988">
        <v>3.99</v>
      </c>
      <c r="X988">
        <v>0.79</v>
      </c>
      <c r="Y988">
        <v>0</v>
      </c>
      <c r="Z988">
        <v>0</v>
      </c>
      <c r="AA988">
        <v>0.03</v>
      </c>
      <c r="AB988">
        <v>0.04</v>
      </c>
      <c r="AC988">
        <v>7.91</v>
      </c>
      <c r="AD988">
        <v>15.85</v>
      </c>
      <c r="AE988">
        <v>16.47</v>
      </c>
      <c r="AF988">
        <v>0</v>
      </c>
      <c r="AG988">
        <v>6.51</v>
      </c>
      <c r="AH988">
        <v>50.4</v>
      </c>
      <c r="AI988">
        <v>9.9700000000000006</v>
      </c>
      <c r="AJ988">
        <v>0</v>
      </c>
      <c r="AK988">
        <v>0</v>
      </c>
      <c r="AL988">
        <v>0.34</v>
      </c>
      <c r="AM988">
        <v>0.47</v>
      </c>
      <c r="AN988">
        <f t="shared" si="46"/>
        <v>5</v>
      </c>
      <c r="AO988" t="str">
        <f t="shared" si="47"/>
        <v>Thursday</v>
      </c>
    </row>
    <row r="989" spans="1:41" x14ac:dyDescent="0.2">
      <c r="A989" t="s">
        <v>39</v>
      </c>
      <c r="B989" s="1">
        <v>45806</v>
      </c>
      <c r="C989" s="1">
        <f t="shared" si="45"/>
        <v>45808</v>
      </c>
      <c r="D989">
        <v>31</v>
      </c>
      <c r="E989">
        <v>95</v>
      </c>
      <c r="F989">
        <v>2</v>
      </c>
      <c r="G989">
        <v>2</v>
      </c>
      <c r="H989">
        <v>13</v>
      </c>
      <c r="I989">
        <v>0</v>
      </c>
      <c r="J989">
        <v>1</v>
      </c>
      <c r="K989">
        <v>66</v>
      </c>
      <c r="L989" t="s">
        <v>39</v>
      </c>
      <c r="M989" t="s">
        <v>38</v>
      </c>
      <c r="N989" s="1">
        <v>45806</v>
      </c>
      <c r="O989" s="2">
        <v>0.54509259259259257</v>
      </c>
      <c r="P989" s="2">
        <v>0.91682870370370373</v>
      </c>
      <c r="Q989">
        <v>8.93</v>
      </c>
      <c r="R989">
        <v>8.9</v>
      </c>
      <c r="S989">
        <v>1.27</v>
      </c>
      <c r="T989">
        <v>0.06</v>
      </c>
      <c r="U989">
        <v>0</v>
      </c>
      <c r="V989">
        <v>0.03</v>
      </c>
      <c r="W989">
        <v>6.04</v>
      </c>
      <c r="X989">
        <v>1.42</v>
      </c>
      <c r="Y989">
        <v>0</v>
      </c>
      <c r="Z989">
        <v>0</v>
      </c>
      <c r="AA989">
        <v>0</v>
      </c>
      <c r="AB989">
        <v>0.08</v>
      </c>
      <c r="AC989">
        <v>8.9</v>
      </c>
      <c r="AD989">
        <v>14.23</v>
      </c>
      <c r="AE989">
        <v>0.64</v>
      </c>
      <c r="AF989">
        <v>0</v>
      </c>
      <c r="AG989">
        <v>0.32</v>
      </c>
      <c r="AH989">
        <v>67.88</v>
      </c>
      <c r="AI989">
        <v>16.010000000000002</v>
      </c>
      <c r="AJ989">
        <v>0</v>
      </c>
      <c r="AK989">
        <v>0</v>
      </c>
      <c r="AL989">
        <v>0</v>
      </c>
      <c r="AM989">
        <v>0.93</v>
      </c>
      <c r="AN989">
        <f t="shared" si="46"/>
        <v>5</v>
      </c>
      <c r="AO989" t="str">
        <f t="shared" si="47"/>
        <v>Thursday</v>
      </c>
    </row>
    <row r="990" spans="1:41" x14ac:dyDescent="0.2">
      <c r="A990" t="s">
        <v>41</v>
      </c>
      <c r="B990" s="1">
        <v>45806</v>
      </c>
      <c r="C990" s="1">
        <f t="shared" si="45"/>
        <v>45808</v>
      </c>
      <c r="D990">
        <v>29</v>
      </c>
      <c r="E990">
        <v>87</v>
      </c>
      <c r="F990">
        <v>2</v>
      </c>
      <c r="G990">
        <v>6</v>
      </c>
      <c r="H990">
        <v>13</v>
      </c>
      <c r="I990">
        <v>0</v>
      </c>
      <c r="J990">
        <v>0</v>
      </c>
      <c r="K990">
        <v>58</v>
      </c>
      <c r="L990" t="s">
        <v>41</v>
      </c>
      <c r="M990" t="s">
        <v>38</v>
      </c>
      <c r="N990" s="1">
        <v>45806</v>
      </c>
      <c r="O990" s="2">
        <v>0.54347222222222225</v>
      </c>
      <c r="P990" s="2">
        <v>0.91538194444444443</v>
      </c>
      <c r="Q990">
        <v>8.93</v>
      </c>
      <c r="R990">
        <v>8.93</v>
      </c>
      <c r="S990">
        <v>0.77</v>
      </c>
      <c r="T990">
        <v>0</v>
      </c>
      <c r="U990">
        <v>0</v>
      </c>
      <c r="V990">
        <v>0.24</v>
      </c>
      <c r="W990">
        <v>6.52</v>
      </c>
      <c r="X990">
        <v>1.39</v>
      </c>
      <c r="Y990">
        <v>0</v>
      </c>
      <c r="Z990">
        <v>0</v>
      </c>
      <c r="AA990">
        <v>0</v>
      </c>
      <c r="AB990">
        <v>0.01</v>
      </c>
      <c r="AC990">
        <v>8.93</v>
      </c>
      <c r="AD990">
        <v>8.6</v>
      </c>
      <c r="AE990">
        <v>0</v>
      </c>
      <c r="AF990">
        <v>0</v>
      </c>
      <c r="AG990">
        <v>2.66</v>
      </c>
      <c r="AH990">
        <v>73.040000000000006</v>
      </c>
      <c r="AI990">
        <v>15.63</v>
      </c>
      <c r="AJ990">
        <v>0</v>
      </c>
      <c r="AK990">
        <v>0</v>
      </c>
      <c r="AL990">
        <v>0</v>
      </c>
      <c r="AM990">
        <v>0.08</v>
      </c>
      <c r="AN990">
        <f t="shared" si="46"/>
        <v>5</v>
      </c>
      <c r="AO990" t="str">
        <f t="shared" si="47"/>
        <v>Thursday</v>
      </c>
    </row>
    <row r="991" spans="1:41" x14ac:dyDescent="0.2">
      <c r="A991" t="s">
        <v>43</v>
      </c>
      <c r="B991" s="1">
        <v>45806</v>
      </c>
      <c r="C991" s="1">
        <f t="shared" si="45"/>
        <v>45808</v>
      </c>
      <c r="D991">
        <v>32</v>
      </c>
      <c r="E991">
        <v>86</v>
      </c>
      <c r="F991">
        <v>4</v>
      </c>
      <c r="G991">
        <v>3</v>
      </c>
      <c r="H991">
        <v>11</v>
      </c>
      <c r="I991">
        <v>2</v>
      </c>
      <c r="J991">
        <v>0</v>
      </c>
      <c r="K991">
        <v>52</v>
      </c>
      <c r="L991" t="s">
        <v>43</v>
      </c>
      <c r="M991" t="s">
        <v>38</v>
      </c>
      <c r="N991" s="1">
        <v>45806</v>
      </c>
      <c r="O991" s="2">
        <v>0.54218750000000004</v>
      </c>
      <c r="P991" s="2">
        <v>0.91931712962962964</v>
      </c>
      <c r="Q991">
        <v>9.0500000000000007</v>
      </c>
      <c r="R991">
        <v>9.0500000000000007</v>
      </c>
      <c r="S991">
        <v>2.2799999999999998</v>
      </c>
      <c r="T991">
        <v>0.08</v>
      </c>
      <c r="U991">
        <v>0</v>
      </c>
      <c r="V991">
        <v>0.69</v>
      </c>
      <c r="W991">
        <v>4.6900000000000004</v>
      </c>
      <c r="X991">
        <v>1.31</v>
      </c>
      <c r="Y991">
        <v>0</v>
      </c>
      <c r="Z991">
        <v>0</v>
      </c>
      <c r="AA991">
        <v>0</v>
      </c>
      <c r="AB991">
        <v>0</v>
      </c>
      <c r="AC991">
        <v>9.0500000000000007</v>
      </c>
      <c r="AD991">
        <v>25.14</v>
      </c>
      <c r="AE991">
        <v>0.89</v>
      </c>
      <c r="AF991">
        <v>0</v>
      </c>
      <c r="AG991">
        <v>7.59</v>
      </c>
      <c r="AH991">
        <v>51.84</v>
      </c>
      <c r="AI991">
        <v>14.51</v>
      </c>
      <c r="AJ991">
        <v>0</v>
      </c>
      <c r="AK991">
        <v>0</v>
      </c>
      <c r="AL991">
        <v>0</v>
      </c>
      <c r="AM991">
        <v>0.03</v>
      </c>
      <c r="AN991">
        <f t="shared" si="46"/>
        <v>5</v>
      </c>
      <c r="AO991" t="str">
        <f t="shared" si="47"/>
        <v>Thursday</v>
      </c>
    </row>
    <row r="992" spans="1:41" x14ac:dyDescent="0.2">
      <c r="B992" s="1">
        <v>45806</v>
      </c>
      <c r="C992" s="1">
        <f t="shared" si="45"/>
        <v>45808</v>
      </c>
      <c r="D992">
        <v>584</v>
      </c>
      <c r="E992">
        <v>0</v>
      </c>
      <c r="F992">
        <v>0</v>
      </c>
      <c r="G992">
        <v>0</v>
      </c>
      <c r="H992">
        <v>0</v>
      </c>
      <c r="I992">
        <v>0</v>
      </c>
      <c r="J992">
        <v>0</v>
      </c>
      <c r="K992">
        <v>0</v>
      </c>
      <c r="AN992">
        <f t="shared" si="46"/>
        <v>5</v>
      </c>
      <c r="AO992" t="str">
        <f t="shared" si="47"/>
        <v>Thursday</v>
      </c>
    </row>
    <row r="993" spans="1:41" x14ac:dyDescent="0.2">
      <c r="A993" t="s">
        <v>53</v>
      </c>
      <c r="B993" s="1">
        <v>45805</v>
      </c>
      <c r="C993" s="1">
        <f t="shared" si="45"/>
        <v>45808</v>
      </c>
      <c r="D993">
        <v>1</v>
      </c>
      <c r="E993">
        <v>3</v>
      </c>
      <c r="F993">
        <v>0</v>
      </c>
      <c r="G993">
        <v>0</v>
      </c>
      <c r="H993">
        <v>0</v>
      </c>
      <c r="I993">
        <v>0</v>
      </c>
      <c r="J993">
        <v>0</v>
      </c>
      <c r="K993">
        <v>2</v>
      </c>
      <c r="L993" t="s">
        <v>53</v>
      </c>
      <c r="M993" t="s">
        <v>38</v>
      </c>
      <c r="N993" s="1">
        <v>45805</v>
      </c>
      <c r="O993" s="2">
        <v>0.54210648148148144</v>
      </c>
      <c r="P993" s="2">
        <v>0.6041319444444444</v>
      </c>
      <c r="Q993">
        <v>1.48</v>
      </c>
      <c r="R993">
        <v>1.49</v>
      </c>
      <c r="S993">
        <v>0</v>
      </c>
      <c r="T993">
        <v>0</v>
      </c>
      <c r="U993">
        <v>0</v>
      </c>
      <c r="V993">
        <v>0.01</v>
      </c>
      <c r="W993">
        <v>0.86</v>
      </c>
      <c r="X993">
        <v>0.03</v>
      </c>
      <c r="Y993">
        <v>0.57999999999999996</v>
      </c>
      <c r="Z993">
        <v>0</v>
      </c>
      <c r="AA993">
        <v>0</v>
      </c>
      <c r="AB993">
        <v>0.01</v>
      </c>
      <c r="AC993">
        <v>1.49</v>
      </c>
      <c r="AD993">
        <v>0.13</v>
      </c>
      <c r="AE993">
        <v>0</v>
      </c>
      <c r="AF993">
        <v>0</v>
      </c>
      <c r="AG993">
        <v>0.49</v>
      </c>
      <c r="AH993">
        <v>57.81</v>
      </c>
      <c r="AI993">
        <v>1.83</v>
      </c>
      <c r="AJ993">
        <v>39.07</v>
      </c>
      <c r="AK993">
        <v>0</v>
      </c>
      <c r="AL993">
        <v>0</v>
      </c>
      <c r="AM993">
        <v>0.67</v>
      </c>
      <c r="AN993">
        <f t="shared" si="46"/>
        <v>4</v>
      </c>
      <c r="AO993" t="str">
        <f t="shared" si="47"/>
        <v>Wednesday</v>
      </c>
    </row>
    <row r="994" spans="1:41" x14ac:dyDescent="0.2">
      <c r="A994" t="s">
        <v>37</v>
      </c>
      <c r="B994" s="1">
        <v>45805</v>
      </c>
      <c r="C994" s="1">
        <f t="shared" si="45"/>
        <v>45808</v>
      </c>
      <c r="D994">
        <v>25</v>
      </c>
      <c r="E994">
        <v>69</v>
      </c>
      <c r="F994">
        <v>5</v>
      </c>
      <c r="G994">
        <v>7</v>
      </c>
      <c r="H994">
        <v>12</v>
      </c>
      <c r="I994">
        <v>0</v>
      </c>
      <c r="J994">
        <v>0</v>
      </c>
      <c r="K994">
        <v>42</v>
      </c>
      <c r="L994" t="s">
        <v>37</v>
      </c>
      <c r="M994" t="s">
        <v>38</v>
      </c>
      <c r="N994" s="1">
        <v>45805</v>
      </c>
      <c r="O994" s="2">
        <v>0.53950231481481481</v>
      </c>
      <c r="P994" s="2">
        <v>0.91708333333333336</v>
      </c>
      <c r="Q994">
        <v>9.07</v>
      </c>
      <c r="R994">
        <v>8.98</v>
      </c>
      <c r="S994">
        <v>2.08</v>
      </c>
      <c r="T994">
        <v>0.13</v>
      </c>
      <c r="U994">
        <v>0</v>
      </c>
      <c r="V994">
        <v>0.38</v>
      </c>
      <c r="W994">
        <v>3.74</v>
      </c>
      <c r="X994">
        <v>1.38</v>
      </c>
      <c r="Y994">
        <v>1.21</v>
      </c>
      <c r="Z994">
        <v>0</v>
      </c>
      <c r="AA994">
        <v>0</v>
      </c>
      <c r="AB994">
        <v>7.0000000000000007E-2</v>
      </c>
      <c r="AC994">
        <v>8.98</v>
      </c>
      <c r="AD994">
        <v>23.15</v>
      </c>
      <c r="AE994">
        <v>1.4</v>
      </c>
      <c r="AF994">
        <v>0</v>
      </c>
      <c r="AG994">
        <v>4.25</v>
      </c>
      <c r="AH994">
        <v>41.58</v>
      </c>
      <c r="AI994">
        <v>15.37</v>
      </c>
      <c r="AJ994">
        <v>13.44</v>
      </c>
      <c r="AK994">
        <v>0</v>
      </c>
      <c r="AL994">
        <v>0</v>
      </c>
      <c r="AM994">
        <v>0.8</v>
      </c>
      <c r="AN994">
        <f t="shared" si="46"/>
        <v>4</v>
      </c>
      <c r="AO994" t="str">
        <f t="shared" si="47"/>
        <v>Wednesday</v>
      </c>
    </row>
    <row r="995" spans="1:41" x14ac:dyDescent="0.2">
      <c r="A995" t="s">
        <v>52</v>
      </c>
      <c r="B995" s="1">
        <v>45805</v>
      </c>
      <c r="C995" s="1">
        <f t="shared" si="45"/>
        <v>45808</v>
      </c>
      <c r="D995">
        <v>25</v>
      </c>
      <c r="E995">
        <v>67</v>
      </c>
      <c r="F995">
        <v>1</v>
      </c>
      <c r="G995">
        <v>3</v>
      </c>
      <c r="H995">
        <v>5</v>
      </c>
      <c r="I995">
        <v>0</v>
      </c>
      <c r="J995">
        <v>0</v>
      </c>
      <c r="K995">
        <v>40</v>
      </c>
      <c r="L995" t="s">
        <v>52</v>
      </c>
      <c r="M995" t="s">
        <v>38</v>
      </c>
      <c r="N995" s="1">
        <v>45805</v>
      </c>
      <c r="O995" s="2">
        <v>0.53694444444444445</v>
      </c>
      <c r="P995" s="2">
        <v>0.91672453703703705</v>
      </c>
      <c r="Q995">
        <v>9.1199999999999992</v>
      </c>
      <c r="R995">
        <v>8.25</v>
      </c>
      <c r="S995">
        <v>2.0299999999999998</v>
      </c>
      <c r="T995">
        <v>0.96</v>
      </c>
      <c r="U995">
        <v>0</v>
      </c>
      <c r="V995">
        <v>0.41</v>
      </c>
      <c r="W995">
        <v>2.58</v>
      </c>
      <c r="X995">
        <v>0.65</v>
      </c>
      <c r="Y995">
        <v>1.4</v>
      </c>
      <c r="Z995">
        <v>0.01</v>
      </c>
      <c r="AA995">
        <v>0.19</v>
      </c>
      <c r="AB995">
        <v>0.02</v>
      </c>
      <c r="AC995">
        <v>8.25</v>
      </c>
      <c r="AD995">
        <v>24.58</v>
      </c>
      <c r="AE995">
        <v>11.62</v>
      </c>
      <c r="AF995">
        <v>0</v>
      </c>
      <c r="AG995">
        <v>4.91</v>
      </c>
      <c r="AH995">
        <v>31.31</v>
      </c>
      <c r="AI995">
        <v>7.86</v>
      </c>
      <c r="AJ995">
        <v>17.010000000000002</v>
      </c>
      <c r="AK995">
        <v>0.1</v>
      </c>
      <c r="AL995">
        <v>2.34</v>
      </c>
      <c r="AM995">
        <v>0.28000000000000003</v>
      </c>
      <c r="AN995">
        <f t="shared" si="46"/>
        <v>4</v>
      </c>
      <c r="AO995" t="str">
        <f t="shared" si="47"/>
        <v>Wednesday</v>
      </c>
    </row>
    <row r="996" spans="1:41" x14ac:dyDescent="0.2">
      <c r="A996" t="s">
        <v>39</v>
      </c>
      <c r="B996" s="1">
        <v>45805</v>
      </c>
      <c r="C996" s="1">
        <f t="shared" si="45"/>
        <v>45808</v>
      </c>
      <c r="D996">
        <v>36</v>
      </c>
      <c r="E996">
        <v>96</v>
      </c>
      <c r="F996">
        <v>6</v>
      </c>
      <c r="G996">
        <v>3</v>
      </c>
      <c r="H996">
        <v>7</v>
      </c>
      <c r="I996">
        <v>0</v>
      </c>
      <c r="J996">
        <v>0</v>
      </c>
      <c r="K996">
        <v>68</v>
      </c>
      <c r="L996" t="s">
        <v>39</v>
      </c>
      <c r="M996" t="s">
        <v>38</v>
      </c>
      <c r="N996" s="1">
        <v>45805</v>
      </c>
      <c r="O996" s="2">
        <v>0.54180555555555554</v>
      </c>
      <c r="P996" s="2">
        <v>0.91667824074074078</v>
      </c>
      <c r="Q996">
        <v>9</v>
      </c>
      <c r="R996">
        <v>9</v>
      </c>
      <c r="S996">
        <v>1.43</v>
      </c>
      <c r="T996">
        <v>0.04</v>
      </c>
      <c r="U996">
        <v>0</v>
      </c>
      <c r="V996">
        <v>0.05</v>
      </c>
      <c r="W996">
        <v>4.79</v>
      </c>
      <c r="X996">
        <v>1.46</v>
      </c>
      <c r="Y996">
        <v>1.21</v>
      </c>
      <c r="Z996">
        <v>0</v>
      </c>
      <c r="AA996">
        <v>0</v>
      </c>
      <c r="AB996">
        <v>0</v>
      </c>
      <c r="AC996">
        <v>9</v>
      </c>
      <c r="AD996">
        <v>15.95</v>
      </c>
      <c r="AE996">
        <v>0.5</v>
      </c>
      <c r="AF996">
        <v>0</v>
      </c>
      <c r="AG996">
        <v>0.51</v>
      </c>
      <c r="AH996">
        <v>53.24</v>
      </c>
      <c r="AI996">
        <v>16.28</v>
      </c>
      <c r="AJ996">
        <v>13.48</v>
      </c>
      <c r="AK996">
        <v>0</v>
      </c>
      <c r="AL996">
        <v>0</v>
      </c>
      <c r="AM996">
        <v>0.04</v>
      </c>
      <c r="AN996">
        <f t="shared" si="46"/>
        <v>4</v>
      </c>
      <c r="AO996" t="str">
        <f t="shared" si="47"/>
        <v>Wednesday</v>
      </c>
    </row>
    <row r="997" spans="1:41" x14ac:dyDescent="0.2">
      <c r="A997" t="s">
        <v>41</v>
      </c>
      <c r="B997" s="1">
        <v>45805</v>
      </c>
      <c r="C997" s="1">
        <f t="shared" si="45"/>
        <v>45808</v>
      </c>
      <c r="D997">
        <v>40</v>
      </c>
      <c r="E997">
        <v>135</v>
      </c>
      <c r="F997">
        <v>11</v>
      </c>
      <c r="G997">
        <v>12</v>
      </c>
      <c r="H997">
        <v>2</v>
      </c>
      <c r="I997">
        <v>3</v>
      </c>
      <c r="J997">
        <v>2</v>
      </c>
      <c r="K997">
        <v>81</v>
      </c>
      <c r="L997" t="s">
        <v>41</v>
      </c>
      <c r="M997" t="s">
        <v>38</v>
      </c>
      <c r="N997" s="1">
        <v>45805</v>
      </c>
      <c r="O997" s="2">
        <v>0.54424768518518518</v>
      </c>
      <c r="P997" s="2">
        <v>0.91571759259259256</v>
      </c>
      <c r="Q997">
        <v>8.92</v>
      </c>
      <c r="R997">
        <v>8.92</v>
      </c>
      <c r="S997">
        <v>1.07</v>
      </c>
      <c r="T997">
        <v>0.1</v>
      </c>
      <c r="U997">
        <v>0</v>
      </c>
      <c r="V997">
        <v>0.35</v>
      </c>
      <c r="W997">
        <v>4.71</v>
      </c>
      <c r="X997">
        <v>1.44</v>
      </c>
      <c r="Y997">
        <v>1.23</v>
      </c>
      <c r="Z997">
        <v>0</v>
      </c>
      <c r="AA997">
        <v>0</v>
      </c>
      <c r="AB997">
        <v>0</v>
      </c>
      <c r="AC997">
        <v>8.92</v>
      </c>
      <c r="AD997">
        <v>12</v>
      </c>
      <c r="AE997">
        <v>1.1299999999999999</v>
      </c>
      <c r="AF997">
        <v>0</v>
      </c>
      <c r="AG997">
        <v>3.94</v>
      </c>
      <c r="AH997">
        <v>52.89</v>
      </c>
      <c r="AI997">
        <v>16.21</v>
      </c>
      <c r="AJ997">
        <v>13.79</v>
      </c>
      <c r="AK997">
        <v>0</v>
      </c>
      <c r="AL997">
        <v>0</v>
      </c>
      <c r="AM997">
        <v>0.04</v>
      </c>
      <c r="AN997">
        <f t="shared" si="46"/>
        <v>4</v>
      </c>
      <c r="AO997" t="str">
        <f t="shared" si="47"/>
        <v>Wednesday</v>
      </c>
    </row>
    <row r="998" spans="1:41" x14ac:dyDescent="0.2">
      <c r="A998" t="s">
        <v>43</v>
      </c>
      <c r="B998" s="1">
        <v>45805</v>
      </c>
      <c r="C998" s="1">
        <f t="shared" si="45"/>
        <v>45808</v>
      </c>
      <c r="D998">
        <v>30</v>
      </c>
      <c r="E998">
        <v>89</v>
      </c>
      <c r="F998">
        <v>9</v>
      </c>
      <c r="G998">
        <v>0</v>
      </c>
      <c r="H998">
        <v>22</v>
      </c>
      <c r="I998">
        <v>0</v>
      </c>
      <c r="J998">
        <v>0</v>
      </c>
      <c r="K998">
        <v>53</v>
      </c>
      <c r="L998" t="s">
        <v>43</v>
      </c>
      <c r="M998" t="s">
        <v>38</v>
      </c>
      <c r="N998" s="1">
        <v>45805</v>
      </c>
      <c r="O998" s="2">
        <v>0.54233796296296299</v>
      </c>
      <c r="P998" s="2">
        <v>0.91715277777777782</v>
      </c>
      <c r="Q998">
        <v>9</v>
      </c>
      <c r="R998">
        <v>8.99</v>
      </c>
      <c r="S998">
        <v>1.42</v>
      </c>
      <c r="T998">
        <v>0.13</v>
      </c>
      <c r="U998">
        <v>0</v>
      </c>
      <c r="V998">
        <v>0.36</v>
      </c>
      <c r="W998">
        <v>3.91</v>
      </c>
      <c r="X998">
        <v>1.46</v>
      </c>
      <c r="Y998">
        <v>1.71</v>
      </c>
      <c r="Z998">
        <v>0</v>
      </c>
      <c r="AA998">
        <v>0</v>
      </c>
      <c r="AB998">
        <v>0</v>
      </c>
      <c r="AC998">
        <v>8.99</v>
      </c>
      <c r="AD998">
        <v>15.8</v>
      </c>
      <c r="AE998">
        <v>1.44</v>
      </c>
      <c r="AF998">
        <v>0</v>
      </c>
      <c r="AG998">
        <v>4.01</v>
      </c>
      <c r="AH998">
        <v>43.47</v>
      </c>
      <c r="AI998">
        <v>16.22</v>
      </c>
      <c r="AJ998">
        <v>19.03</v>
      </c>
      <c r="AK998">
        <v>0</v>
      </c>
      <c r="AL998">
        <v>0</v>
      </c>
      <c r="AM998">
        <v>0.04</v>
      </c>
      <c r="AN998">
        <f t="shared" si="46"/>
        <v>4</v>
      </c>
      <c r="AO998" t="str">
        <f t="shared" si="47"/>
        <v>Wednesday</v>
      </c>
    </row>
    <row r="999" spans="1:41" x14ac:dyDescent="0.2">
      <c r="B999" s="1">
        <v>45805</v>
      </c>
      <c r="C999" s="1">
        <f t="shared" si="45"/>
        <v>45808</v>
      </c>
      <c r="D999">
        <v>599</v>
      </c>
      <c r="E999">
        <v>0</v>
      </c>
      <c r="F999">
        <v>0</v>
      </c>
      <c r="G999">
        <v>0</v>
      </c>
      <c r="H999">
        <v>0</v>
      </c>
      <c r="I999">
        <v>0</v>
      </c>
      <c r="J999">
        <v>0</v>
      </c>
      <c r="K999">
        <v>0</v>
      </c>
      <c r="AN999">
        <f t="shared" si="46"/>
        <v>4</v>
      </c>
      <c r="AO999" t="str">
        <f t="shared" si="47"/>
        <v>Wednesday</v>
      </c>
    </row>
    <row r="1000" spans="1:41" x14ac:dyDescent="0.2">
      <c r="A1000" t="s">
        <v>53</v>
      </c>
      <c r="B1000" s="1">
        <v>45804</v>
      </c>
      <c r="C1000" s="1">
        <f t="shared" si="45"/>
        <v>45808</v>
      </c>
      <c r="D1000">
        <v>24</v>
      </c>
      <c r="E1000">
        <v>68</v>
      </c>
      <c r="F1000">
        <v>1</v>
      </c>
      <c r="G1000">
        <v>1</v>
      </c>
      <c r="H1000">
        <v>6</v>
      </c>
      <c r="I1000">
        <v>0</v>
      </c>
      <c r="J1000">
        <v>2</v>
      </c>
      <c r="K1000">
        <v>48</v>
      </c>
      <c r="L1000" t="s">
        <v>53</v>
      </c>
      <c r="M1000" t="s">
        <v>38</v>
      </c>
      <c r="N1000" s="1">
        <v>45804</v>
      </c>
      <c r="O1000" s="2">
        <v>0.54166666666666663</v>
      </c>
      <c r="P1000" s="2">
        <v>0.91672453703703705</v>
      </c>
      <c r="Q1000">
        <v>9</v>
      </c>
      <c r="R1000">
        <v>9</v>
      </c>
      <c r="S1000">
        <v>0.71</v>
      </c>
      <c r="T1000">
        <v>0</v>
      </c>
      <c r="U1000">
        <v>0</v>
      </c>
      <c r="V1000">
        <v>0.15</v>
      </c>
      <c r="W1000">
        <v>7.01</v>
      </c>
      <c r="X1000">
        <v>1.1200000000000001</v>
      </c>
      <c r="Y1000">
        <v>0</v>
      </c>
      <c r="Z1000">
        <v>0</v>
      </c>
      <c r="AA1000">
        <v>0</v>
      </c>
      <c r="AB1000">
        <v>0</v>
      </c>
      <c r="AC1000">
        <v>9</v>
      </c>
      <c r="AD1000">
        <v>7.89</v>
      </c>
      <c r="AE1000">
        <v>0</v>
      </c>
      <c r="AF1000">
        <v>0</v>
      </c>
      <c r="AG1000">
        <v>1.68</v>
      </c>
      <c r="AH1000">
        <v>77.91</v>
      </c>
      <c r="AI1000">
        <v>12.49</v>
      </c>
      <c r="AJ1000">
        <v>0</v>
      </c>
      <c r="AK1000">
        <v>0</v>
      </c>
      <c r="AL1000">
        <v>0</v>
      </c>
      <c r="AM1000">
        <v>0.04</v>
      </c>
      <c r="AN1000">
        <f t="shared" si="46"/>
        <v>3</v>
      </c>
      <c r="AO1000" t="str">
        <f t="shared" si="47"/>
        <v>Tuesday</v>
      </c>
    </row>
    <row r="1001" spans="1:41" x14ac:dyDescent="0.2">
      <c r="A1001" t="s">
        <v>37</v>
      </c>
      <c r="B1001" s="1">
        <v>45804</v>
      </c>
      <c r="C1001" s="1">
        <f t="shared" si="45"/>
        <v>45808</v>
      </c>
      <c r="D1001">
        <v>23</v>
      </c>
      <c r="E1001">
        <v>77</v>
      </c>
      <c r="F1001">
        <v>1</v>
      </c>
      <c r="G1001">
        <v>0</v>
      </c>
      <c r="H1001">
        <v>1</v>
      </c>
      <c r="I1001">
        <v>0</v>
      </c>
      <c r="J1001">
        <v>1</v>
      </c>
      <c r="K1001">
        <v>63</v>
      </c>
      <c r="L1001" t="s">
        <v>37</v>
      </c>
      <c r="M1001" t="s">
        <v>38</v>
      </c>
      <c r="N1001" s="1">
        <v>45804</v>
      </c>
      <c r="O1001" s="2">
        <v>0.54244212962962968</v>
      </c>
      <c r="P1001" s="2">
        <v>0.91675925925925927</v>
      </c>
      <c r="Q1001">
        <v>8.98</v>
      </c>
      <c r="R1001">
        <v>8.07</v>
      </c>
      <c r="S1001">
        <v>0.16</v>
      </c>
      <c r="T1001">
        <v>0.22</v>
      </c>
      <c r="U1001">
        <v>0</v>
      </c>
      <c r="V1001">
        <v>0.1</v>
      </c>
      <c r="W1001">
        <v>7.06</v>
      </c>
      <c r="X1001">
        <v>0.51</v>
      </c>
      <c r="Y1001">
        <v>0</v>
      </c>
      <c r="Z1001">
        <v>0</v>
      </c>
      <c r="AA1001">
        <v>0</v>
      </c>
      <c r="AB1001">
        <v>0.03</v>
      </c>
      <c r="AC1001">
        <v>8.07</v>
      </c>
      <c r="AD1001">
        <v>2.04</v>
      </c>
      <c r="AE1001">
        <v>2.69</v>
      </c>
      <c r="AF1001">
        <v>0</v>
      </c>
      <c r="AG1001">
        <v>1.19</v>
      </c>
      <c r="AH1001">
        <v>87.41</v>
      </c>
      <c r="AI1001">
        <v>6.36</v>
      </c>
      <c r="AJ1001">
        <v>0</v>
      </c>
      <c r="AK1001">
        <v>0</v>
      </c>
      <c r="AL1001">
        <v>0</v>
      </c>
      <c r="AM1001">
        <v>0.31</v>
      </c>
      <c r="AN1001">
        <f t="shared" si="46"/>
        <v>3</v>
      </c>
      <c r="AO1001" t="str">
        <f t="shared" si="47"/>
        <v>Tuesday</v>
      </c>
    </row>
    <row r="1002" spans="1:41" x14ac:dyDescent="0.2">
      <c r="A1002" t="s">
        <v>52</v>
      </c>
      <c r="B1002" s="1">
        <v>45804</v>
      </c>
      <c r="C1002" s="1">
        <f t="shared" si="45"/>
        <v>45808</v>
      </c>
      <c r="D1002">
        <v>15</v>
      </c>
      <c r="E1002">
        <v>41</v>
      </c>
      <c r="F1002">
        <v>1</v>
      </c>
      <c r="G1002">
        <v>3</v>
      </c>
      <c r="H1002">
        <v>2</v>
      </c>
      <c r="I1002">
        <v>0</v>
      </c>
      <c r="J1002">
        <v>0</v>
      </c>
      <c r="K1002">
        <v>26</v>
      </c>
      <c r="L1002" t="s">
        <v>52</v>
      </c>
      <c r="M1002" t="s">
        <v>38</v>
      </c>
      <c r="N1002" s="1">
        <v>45804</v>
      </c>
      <c r="O1002" s="2">
        <v>0.54199074074074072</v>
      </c>
      <c r="P1002" s="2">
        <v>0.91681712962962958</v>
      </c>
      <c r="Q1002">
        <v>9</v>
      </c>
      <c r="R1002">
        <v>8.44</v>
      </c>
      <c r="S1002">
        <v>0.56999999999999995</v>
      </c>
      <c r="T1002">
        <v>1.51</v>
      </c>
      <c r="U1002">
        <v>0</v>
      </c>
      <c r="V1002">
        <v>0.52</v>
      </c>
      <c r="W1002">
        <v>4.9000000000000004</v>
      </c>
      <c r="X1002">
        <v>0.92</v>
      </c>
      <c r="Y1002">
        <v>0</v>
      </c>
      <c r="Z1002">
        <v>0</v>
      </c>
      <c r="AA1002">
        <v>0</v>
      </c>
      <c r="AB1002">
        <v>0.02</v>
      </c>
      <c r="AC1002">
        <v>8.44</v>
      </c>
      <c r="AD1002">
        <v>6.76</v>
      </c>
      <c r="AE1002">
        <v>17.899999999999999</v>
      </c>
      <c r="AF1002">
        <v>0</v>
      </c>
      <c r="AG1002">
        <v>6.15</v>
      </c>
      <c r="AH1002">
        <v>58.05</v>
      </c>
      <c r="AI1002">
        <v>10.92</v>
      </c>
      <c r="AJ1002">
        <v>0</v>
      </c>
      <c r="AK1002">
        <v>0</v>
      </c>
      <c r="AL1002">
        <v>0</v>
      </c>
      <c r="AM1002">
        <v>0.22</v>
      </c>
      <c r="AN1002">
        <f t="shared" si="46"/>
        <v>3</v>
      </c>
      <c r="AO1002" t="str">
        <f t="shared" si="47"/>
        <v>Tuesday</v>
      </c>
    </row>
    <row r="1003" spans="1:41" x14ac:dyDescent="0.2">
      <c r="A1003" t="s">
        <v>39</v>
      </c>
      <c r="B1003" s="1">
        <v>45804</v>
      </c>
      <c r="C1003" s="1">
        <f t="shared" si="45"/>
        <v>45808</v>
      </c>
      <c r="D1003">
        <v>22</v>
      </c>
      <c r="E1003">
        <v>47</v>
      </c>
      <c r="F1003">
        <v>3</v>
      </c>
      <c r="G1003">
        <v>5</v>
      </c>
      <c r="H1003">
        <v>8</v>
      </c>
      <c r="I1003">
        <v>0</v>
      </c>
      <c r="J1003">
        <v>0</v>
      </c>
      <c r="K1003">
        <v>26</v>
      </c>
      <c r="L1003" t="s">
        <v>39</v>
      </c>
      <c r="M1003" t="s">
        <v>38</v>
      </c>
      <c r="N1003" s="1">
        <v>45804</v>
      </c>
      <c r="O1003" s="2">
        <v>0.54236111111111107</v>
      </c>
      <c r="P1003" s="2">
        <v>0.91686342592592596</v>
      </c>
      <c r="Q1003">
        <v>8.98</v>
      </c>
      <c r="R1003">
        <v>8.99</v>
      </c>
      <c r="S1003">
        <v>0.87</v>
      </c>
      <c r="T1003">
        <v>0.08</v>
      </c>
      <c r="U1003">
        <v>0</v>
      </c>
      <c r="V1003">
        <v>0.02</v>
      </c>
      <c r="W1003">
        <v>6.54</v>
      </c>
      <c r="X1003">
        <v>1.47</v>
      </c>
      <c r="Y1003">
        <v>0</v>
      </c>
      <c r="Z1003">
        <v>0</v>
      </c>
      <c r="AA1003">
        <v>0</v>
      </c>
      <c r="AB1003">
        <v>0</v>
      </c>
      <c r="AC1003">
        <v>8.99</v>
      </c>
      <c r="AD1003">
        <v>9.6999999999999993</v>
      </c>
      <c r="AE1003">
        <v>0.89</v>
      </c>
      <c r="AF1003">
        <v>0</v>
      </c>
      <c r="AG1003">
        <v>0.23</v>
      </c>
      <c r="AH1003">
        <v>72.8</v>
      </c>
      <c r="AI1003">
        <v>16.329999999999998</v>
      </c>
      <c r="AJ1003">
        <v>0</v>
      </c>
      <c r="AK1003">
        <v>0</v>
      </c>
      <c r="AL1003">
        <v>0</v>
      </c>
      <c r="AM1003">
        <v>0.04</v>
      </c>
      <c r="AN1003">
        <f t="shared" si="46"/>
        <v>3</v>
      </c>
      <c r="AO1003" t="str">
        <f t="shared" si="47"/>
        <v>Tuesday</v>
      </c>
    </row>
    <row r="1004" spans="1:41" x14ac:dyDescent="0.2">
      <c r="A1004" t="s">
        <v>41</v>
      </c>
      <c r="B1004" s="1">
        <v>45804</v>
      </c>
      <c r="C1004" s="1">
        <f t="shared" si="45"/>
        <v>45808</v>
      </c>
      <c r="D1004">
        <v>22</v>
      </c>
      <c r="E1004">
        <v>60</v>
      </c>
      <c r="F1004">
        <v>1</v>
      </c>
      <c r="G1004">
        <v>1</v>
      </c>
      <c r="H1004">
        <v>3</v>
      </c>
      <c r="I1004">
        <v>0</v>
      </c>
      <c r="J1004">
        <v>0</v>
      </c>
      <c r="K1004">
        <v>46</v>
      </c>
      <c r="L1004" t="s">
        <v>41</v>
      </c>
      <c r="M1004" t="s">
        <v>38</v>
      </c>
      <c r="N1004" s="1">
        <v>45804</v>
      </c>
      <c r="O1004" s="2">
        <v>0.54398148148148151</v>
      </c>
      <c r="P1004" s="2">
        <v>0.91670138888888886</v>
      </c>
      <c r="Q1004">
        <v>8.9499999999999993</v>
      </c>
      <c r="R1004">
        <v>8.9499999999999993</v>
      </c>
      <c r="S1004">
        <v>0.43</v>
      </c>
      <c r="T1004">
        <v>0.15</v>
      </c>
      <c r="U1004">
        <v>0</v>
      </c>
      <c r="V1004">
        <v>7.0000000000000007E-2</v>
      </c>
      <c r="W1004">
        <v>6.84</v>
      </c>
      <c r="X1004">
        <v>1.46</v>
      </c>
      <c r="Y1004">
        <v>0</v>
      </c>
      <c r="Z1004">
        <v>0</v>
      </c>
      <c r="AA1004">
        <v>0</v>
      </c>
      <c r="AB1004">
        <v>0</v>
      </c>
      <c r="AC1004">
        <v>8.9499999999999993</v>
      </c>
      <c r="AD1004">
        <v>4.84</v>
      </c>
      <c r="AE1004">
        <v>1.62</v>
      </c>
      <c r="AF1004">
        <v>0</v>
      </c>
      <c r="AG1004">
        <v>0.73</v>
      </c>
      <c r="AH1004">
        <v>76.47</v>
      </c>
      <c r="AI1004">
        <v>16.29</v>
      </c>
      <c r="AJ1004">
        <v>0</v>
      </c>
      <c r="AK1004">
        <v>0</v>
      </c>
      <c r="AL1004">
        <v>0</v>
      </c>
      <c r="AM1004">
        <v>0.05</v>
      </c>
      <c r="AN1004">
        <f t="shared" si="46"/>
        <v>3</v>
      </c>
      <c r="AO1004" t="str">
        <f t="shared" si="47"/>
        <v>Tuesday</v>
      </c>
    </row>
    <row r="1005" spans="1:41" x14ac:dyDescent="0.2">
      <c r="A1005" t="s">
        <v>43</v>
      </c>
      <c r="B1005" s="1">
        <v>45804</v>
      </c>
      <c r="C1005" s="1">
        <f t="shared" si="45"/>
        <v>45808</v>
      </c>
      <c r="D1005">
        <v>23</v>
      </c>
      <c r="E1005">
        <v>59</v>
      </c>
      <c r="F1005">
        <v>1</v>
      </c>
      <c r="G1005">
        <v>5</v>
      </c>
      <c r="H1005">
        <v>4</v>
      </c>
      <c r="I1005">
        <v>3</v>
      </c>
      <c r="J1005">
        <v>0</v>
      </c>
      <c r="K1005">
        <v>38</v>
      </c>
      <c r="L1005" t="s">
        <v>43</v>
      </c>
      <c r="M1005" t="s">
        <v>38</v>
      </c>
      <c r="N1005" s="1">
        <v>45804</v>
      </c>
      <c r="O1005" s="2">
        <v>0.54222222222222227</v>
      </c>
      <c r="P1005" s="2">
        <v>0.9173958333333333</v>
      </c>
      <c r="Q1005">
        <v>9.02</v>
      </c>
      <c r="R1005">
        <v>9</v>
      </c>
      <c r="S1005">
        <v>1.78</v>
      </c>
      <c r="T1005">
        <v>0.2</v>
      </c>
      <c r="U1005">
        <v>0</v>
      </c>
      <c r="V1005">
        <v>0.51</v>
      </c>
      <c r="W1005">
        <v>4.76</v>
      </c>
      <c r="X1005">
        <v>1.47</v>
      </c>
      <c r="Y1005">
        <v>0.28000000000000003</v>
      </c>
      <c r="Z1005">
        <v>0</v>
      </c>
      <c r="AA1005">
        <v>0</v>
      </c>
      <c r="AB1005">
        <v>0</v>
      </c>
      <c r="AC1005">
        <v>9</v>
      </c>
      <c r="AD1005">
        <v>19.77</v>
      </c>
      <c r="AE1005">
        <v>2.19</v>
      </c>
      <c r="AF1005">
        <v>0</v>
      </c>
      <c r="AG1005">
        <v>5.72</v>
      </c>
      <c r="AH1005">
        <v>52.84</v>
      </c>
      <c r="AI1005">
        <v>16.36</v>
      </c>
      <c r="AJ1005">
        <v>3.09</v>
      </c>
      <c r="AK1005">
        <v>0</v>
      </c>
      <c r="AL1005">
        <v>0</v>
      </c>
      <c r="AM1005">
        <v>0.03</v>
      </c>
      <c r="AN1005">
        <f t="shared" si="46"/>
        <v>3</v>
      </c>
      <c r="AO1005" t="str">
        <f t="shared" si="47"/>
        <v>Tuesday</v>
      </c>
    </row>
    <row r="1006" spans="1:41" x14ac:dyDescent="0.2">
      <c r="B1006" s="1">
        <v>45804</v>
      </c>
      <c r="C1006" s="1">
        <f t="shared" si="45"/>
        <v>45808</v>
      </c>
      <c r="D1006">
        <v>569</v>
      </c>
      <c r="E1006">
        <v>0</v>
      </c>
      <c r="F1006">
        <v>0</v>
      </c>
      <c r="G1006">
        <v>0</v>
      </c>
      <c r="H1006">
        <v>0</v>
      </c>
      <c r="I1006">
        <v>0</v>
      </c>
      <c r="J1006">
        <v>0</v>
      </c>
      <c r="K1006">
        <v>0</v>
      </c>
      <c r="AN1006">
        <f t="shared" si="46"/>
        <v>3</v>
      </c>
      <c r="AO1006" t="str">
        <f t="shared" si="47"/>
        <v>Tuesday</v>
      </c>
    </row>
    <row r="1007" spans="1:41" x14ac:dyDescent="0.2">
      <c r="A1007" t="s">
        <v>53</v>
      </c>
      <c r="B1007" s="1">
        <v>45800</v>
      </c>
      <c r="C1007" s="1">
        <f t="shared" si="45"/>
        <v>45808</v>
      </c>
      <c r="D1007">
        <v>4</v>
      </c>
      <c r="E1007">
        <v>10</v>
      </c>
      <c r="F1007">
        <v>0</v>
      </c>
      <c r="G1007">
        <v>0</v>
      </c>
      <c r="H1007">
        <v>0</v>
      </c>
      <c r="I1007">
        <v>0</v>
      </c>
      <c r="J1007">
        <v>0</v>
      </c>
      <c r="K1007">
        <v>10</v>
      </c>
      <c r="L1007" t="s">
        <v>53</v>
      </c>
      <c r="M1007" t="s">
        <v>38</v>
      </c>
      <c r="N1007" s="1">
        <v>45800</v>
      </c>
      <c r="O1007" s="2">
        <v>0.62896990740740744</v>
      </c>
      <c r="P1007" s="2">
        <v>0.63800925925925922</v>
      </c>
      <c r="Q1007">
        <v>0.22</v>
      </c>
      <c r="R1007">
        <v>0.22</v>
      </c>
      <c r="S1007">
        <v>0</v>
      </c>
      <c r="T1007">
        <v>0</v>
      </c>
      <c r="U1007">
        <v>0</v>
      </c>
      <c r="V1007">
        <v>0.01</v>
      </c>
      <c r="W1007">
        <v>0.2</v>
      </c>
      <c r="X1007">
        <v>0</v>
      </c>
      <c r="Y1007">
        <v>0</v>
      </c>
      <c r="Z1007">
        <v>0</v>
      </c>
      <c r="AA1007">
        <v>0</v>
      </c>
      <c r="AB1007">
        <v>0</v>
      </c>
      <c r="AC1007">
        <v>0.22</v>
      </c>
      <c r="AD1007">
        <v>1.8</v>
      </c>
      <c r="AE1007">
        <v>0</v>
      </c>
      <c r="AF1007">
        <v>0</v>
      </c>
      <c r="AG1007">
        <v>2.57</v>
      </c>
      <c r="AH1007">
        <v>93.71</v>
      </c>
      <c r="AI1007">
        <v>0</v>
      </c>
      <c r="AJ1007">
        <v>0</v>
      </c>
      <c r="AK1007">
        <v>0</v>
      </c>
      <c r="AL1007">
        <v>0</v>
      </c>
      <c r="AM1007">
        <v>1.93</v>
      </c>
      <c r="AN1007">
        <f t="shared" si="46"/>
        <v>6</v>
      </c>
      <c r="AO1007" t="str">
        <f t="shared" si="47"/>
        <v>Friday</v>
      </c>
    </row>
    <row r="1008" spans="1:41" x14ac:dyDescent="0.2">
      <c r="A1008" t="s">
        <v>37</v>
      </c>
      <c r="B1008" s="1">
        <v>45800</v>
      </c>
      <c r="C1008" s="1">
        <f t="shared" si="45"/>
        <v>45808</v>
      </c>
      <c r="D1008">
        <v>37</v>
      </c>
      <c r="E1008">
        <v>94</v>
      </c>
      <c r="F1008">
        <v>8</v>
      </c>
      <c r="G1008">
        <v>5</v>
      </c>
      <c r="H1008">
        <v>3</v>
      </c>
      <c r="I1008">
        <v>0</v>
      </c>
      <c r="J1008">
        <v>0</v>
      </c>
      <c r="K1008">
        <v>65</v>
      </c>
      <c r="L1008" t="s">
        <v>37</v>
      </c>
      <c r="M1008" t="s">
        <v>38</v>
      </c>
      <c r="N1008" s="1">
        <v>45800</v>
      </c>
      <c r="O1008" s="2">
        <v>0.5420949074074074</v>
      </c>
      <c r="P1008" s="2">
        <v>0.91671296296296301</v>
      </c>
      <c r="Q1008">
        <v>9</v>
      </c>
      <c r="R1008">
        <v>8.17</v>
      </c>
      <c r="S1008">
        <v>1.5</v>
      </c>
      <c r="T1008">
        <v>0.05</v>
      </c>
      <c r="U1008">
        <v>0</v>
      </c>
      <c r="V1008">
        <v>0.31</v>
      </c>
      <c r="W1008">
        <v>5.59</v>
      </c>
      <c r="X1008">
        <v>0.68</v>
      </c>
      <c r="Y1008">
        <v>0</v>
      </c>
      <c r="Z1008">
        <v>0</v>
      </c>
      <c r="AA1008">
        <v>0</v>
      </c>
      <c r="AB1008">
        <v>0.04</v>
      </c>
      <c r="AC1008">
        <v>8.17</v>
      </c>
      <c r="AD1008">
        <v>18.39</v>
      </c>
      <c r="AE1008">
        <v>0.64</v>
      </c>
      <c r="AF1008">
        <v>0</v>
      </c>
      <c r="AG1008">
        <v>3.79</v>
      </c>
      <c r="AH1008">
        <v>68.41</v>
      </c>
      <c r="AI1008">
        <v>8.34</v>
      </c>
      <c r="AJ1008">
        <v>0</v>
      </c>
      <c r="AK1008">
        <v>0</v>
      </c>
      <c r="AL1008">
        <v>0</v>
      </c>
      <c r="AM1008">
        <v>0.43</v>
      </c>
      <c r="AN1008">
        <f t="shared" si="46"/>
        <v>6</v>
      </c>
      <c r="AO1008" t="str">
        <f t="shared" si="47"/>
        <v>Friday</v>
      </c>
    </row>
    <row r="1009" spans="1:41" x14ac:dyDescent="0.2">
      <c r="A1009" t="s">
        <v>52</v>
      </c>
      <c r="B1009" s="1">
        <v>45800</v>
      </c>
      <c r="C1009" s="1">
        <f t="shared" si="45"/>
        <v>45808</v>
      </c>
      <c r="D1009">
        <v>24</v>
      </c>
      <c r="E1009">
        <v>75</v>
      </c>
      <c r="F1009">
        <v>0</v>
      </c>
      <c r="G1009">
        <v>0</v>
      </c>
      <c r="H1009">
        <v>3</v>
      </c>
      <c r="I1009">
        <v>0</v>
      </c>
      <c r="J1009">
        <v>0</v>
      </c>
      <c r="K1009">
        <v>58</v>
      </c>
      <c r="L1009" t="s">
        <v>52</v>
      </c>
      <c r="M1009" t="s">
        <v>38</v>
      </c>
      <c r="N1009" s="1">
        <v>45800</v>
      </c>
      <c r="O1009" s="2">
        <v>0.54592592592592593</v>
      </c>
      <c r="P1009" s="2">
        <v>0.9198263888888889</v>
      </c>
      <c r="Q1009">
        <v>8.9700000000000006</v>
      </c>
      <c r="R1009">
        <v>8.9600000000000009</v>
      </c>
      <c r="S1009">
        <v>0.77</v>
      </c>
      <c r="T1009">
        <v>1.31</v>
      </c>
      <c r="U1009">
        <v>0</v>
      </c>
      <c r="V1009">
        <v>0.42</v>
      </c>
      <c r="W1009">
        <v>4.95</v>
      </c>
      <c r="X1009">
        <v>1.51</v>
      </c>
      <c r="Y1009">
        <v>0</v>
      </c>
      <c r="Z1009">
        <v>0</v>
      </c>
      <c r="AA1009">
        <v>0</v>
      </c>
      <c r="AB1009">
        <v>0.01</v>
      </c>
      <c r="AC1009">
        <v>8.9600000000000009</v>
      </c>
      <c r="AD1009">
        <v>8.64</v>
      </c>
      <c r="AE1009">
        <v>14.58</v>
      </c>
      <c r="AF1009">
        <v>0</v>
      </c>
      <c r="AG1009">
        <v>4.6500000000000004</v>
      </c>
      <c r="AH1009">
        <v>55.2</v>
      </c>
      <c r="AI1009">
        <v>16.84</v>
      </c>
      <c r="AJ1009">
        <v>0</v>
      </c>
      <c r="AK1009">
        <v>0</v>
      </c>
      <c r="AL1009">
        <v>0</v>
      </c>
      <c r="AM1009">
        <v>0.09</v>
      </c>
      <c r="AN1009">
        <f t="shared" si="46"/>
        <v>6</v>
      </c>
      <c r="AO1009" t="str">
        <f t="shared" si="47"/>
        <v>Friday</v>
      </c>
    </row>
    <row r="1010" spans="1:41" x14ac:dyDescent="0.2">
      <c r="A1010" t="s">
        <v>39</v>
      </c>
      <c r="B1010" s="1">
        <v>45800</v>
      </c>
      <c r="C1010" s="1">
        <f t="shared" si="45"/>
        <v>45808</v>
      </c>
      <c r="D1010">
        <v>39</v>
      </c>
      <c r="E1010">
        <v>104</v>
      </c>
      <c r="F1010">
        <v>5</v>
      </c>
      <c r="G1010">
        <v>5</v>
      </c>
      <c r="H1010">
        <v>10</v>
      </c>
      <c r="I1010">
        <v>0</v>
      </c>
      <c r="J1010">
        <v>0</v>
      </c>
      <c r="K1010">
        <v>67</v>
      </c>
      <c r="L1010" t="s">
        <v>39</v>
      </c>
      <c r="M1010" t="s">
        <v>38</v>
      </c>
      <c r="N1010" s="1">
        <v>45800</v>
      </c>
      <c r="O1010" s="2">
        <v>0.54190972222222222</v>
      </c>
      <c r="P1010" s="2">
        <v>0.91668981481481482</v>
      </c>
      <c r="Q1010">
        <v>9</v>
      </c>
      <c r="R1010">
        <v>8.99</v>
      </c>
      <c r="S1010">
        <v>2.17</v>
      </c>
      <c r="T1010">
        <v>0.12</v>
      </c>
      <c r="U1010">
        <v>0</v>
      </c>
      <c r="V1010">
        <v>0.04</v>
      </c>
      <c r="W1010">
        <v>4.9800000000000004</v>
      </c>
      <c r="X1010">
        <v>1.46</v>
      </c>
      <c r="Y1010">
        <v>0.22</v>
      </c>
      <c r="Z1010">
        <v>0</v>
      </c>
      <c r="AA1010">
        <v>0</v>
      </c>
      <c r="AB1010">
        <v>0</v>
      </c>
      <c r="AC1010">
        <v>8.99</v>
      </c>
      <c r="AD1010">
        <v>24.08</v>
      </c>
      <c r="AE1010">
        <v>1.35</v>
      </c>
      <c r="AF1010">
        <v>0</v>
      </c>
      <c r="AG1010">
        <v>0.49</v>
      </c>
      <c r="AH1010">
        <v>55.37</v>
      </c>
      <c r="AI1010">
        <v>16.18</v>
      </c>
      <c r="AJ1010">
        <v>2.4900000000000002</v>
      </c>
      <c r="AK1010">
        <v>0</v>
      </c>
      <c r="AL1010">
        <v>0</v>
      </c>
      <c r="AM1010">
        <v>0.04</v>
      </c>
      <c r="AN1010">
        <f t="shared" si="46"/>
        <v>6</v>
      </c>
      <c r="AO1010" t="str">
        <f t="shared" si="47"/>
        <v>Friday</v>
      </c>
    </row>
    <row r="1011" spans="1:41" x14ac:dyDescent="0.2">
      <c r="A1011" t="s">
        <v>54</v>
      </c>
      <c r="B1011" s="1">
        <v>45800</v>
      </c>
      <c r="C1011" s="1">
        <f t="shared" si="45"/>
        <v>45808</v>
      </c>
      <c r="D1011">
        <v>1</v>
      </c>
      <c r="E1011">
        <v>1</v>
      </c>
      <c r="F1011">
        <v>0</v>
      </c>
      <c r="G1011">
        <v>0</v>
      </c>
      <c r="H1011">
        <v>0</v>
      </c>
      <c r="I1011">
        <v>0</v>
      </c>
      <c r="J1011">
        <v>0</v>
      </c>
      <c r="K1011">
        <v>0</v>
      </c>
      <c r="AN1011">
        <f t="shared" si="46"/>
        <v>6</v>
      </c>
      <c r="AO1011" t="str">
        <f t="shared" si="47"/>
        <v>Friday</v>
      </c>
    </row>
    <row r="1012" spans="1:41" x14ac:dyDescent="0.2">
      <c r="A1012" t="s">
        <v>42</v>
      </c>
      <c r="B1012" s="1">
        <v>45800</v>
      </c>
      <c r="C1012" s="1">
        <f t="shared" si="45"/>
        <v>45808</v>
      </c>
      <c r="D1012">
        <v>1</v>
      </c>
      <c r="E1012">
        <v>5</v>
      </c>
      <c r="F1012">
        <v>1</v>
      </c>
      <c r="G1012">
        <v>0</v>
      </c>
      <c r="H1012">
        <v>5</v>
      </c>
      <c r="I1012">
        <v>0</v>
      </c>
      <c r="J1012">
        <v>0</v>
      </c>
      <c r="K1012">
        <v>0</v>
      </c>
      <c r="L1012" t="s">
        <v>42</v>
      </c>
      <c r="M1012" t="s">
        <v>38</v>
      </c>
      <c r="N1012" s="1">
        <v>45800</v>
      </c>
      <c r="O1012" s="2">
        <v>0.85128472222222218</v>
      </c>
      <c r="P1012" s="2">
        <v>0.87123842592592593</v>
      </c>
      <c r="Q1012">
        <v>0.48</v>
      </c>
      <c r="R1012">
        <v>0.48</v>
      </c>
      <c r="S1012">
        <v>0.43</v>
      </c>
      <c r="T1012">
        <v>0.03</v>
      </c>
      <c r="U1012">
        <v>0</v>
      </c>
      <c r="V1012">
        <v>0</v>
      </c>
      <c r="W1012">
        <v>0.02</v>
      </c>
      <c r="X1012">
        <v>0</v>
      </c>
      <c r="Y1012">
        <v>0</v>
      </c>
      <c r="Z1012">
        <v>0</v>
      </c>
      <c r="AA1012">
        <v>0</v>
      </c>
      <c r="AB1012">
        <v>0</v>
      </c>
      <c r="AC1012">
        <v>0.48</v>
      </c>
      <c r="AD1012">
        <v>89.5</v>
      </c>
      <c r="AE1012">
        <v>5.22</v>
      </c>
      <c r="AF1012">
        <v>0</v>
      </c>
      <c r="AG1012">
        <v>0.75</v>
      </c>
      <c r="AH1012">
        <v>3.71</v>
      </c>
      <c r="AI1012">
        <v>0</v>
      </c>
      <c r="AJ1012">
        <v>0</v>
      </c>
      <c r="AK1012">
        <v>0</v>
      </c>
      <c r="AL1012">
        <v>0</v>
      </c>
      <c r="AM1012">
        <v>0.81</v>
      </c>
      <c r="AN1012">
        <f t="shared" si="46"/>
        <v>6</v>
      </c>
      <c r="AO1012" t="str">
        <f t="shared" si="47"/>
        <v>Friday</v>
      </c>
    </row>
    <row r="1013" spans="1:41" x14ac:dyDescent="0.2">
      <c r="B1013" s="1">
        <v>45800</v>
      </c>
      <c r="C1013" s="1">
        <f t="shared" si="45"/>
        <v>45808</v>
      </c>
      <c r="D1013">
        <v>572</v>
      </c>
      <c r="E1013">
        <v>0</v>
      </c>
      <c r="F1013">
        <v>0</v>
      </c>
      <c r="G1013">
        <v>0</v>
      </c>
      <c r="H1013">
        <v>0</v>
      </c>
      <c r="I1013">
        <v>0</v>
      </c>
      <c r="J1013">
        <v>0</v>
      </c>
      <c r="K1013">
        <v>0</v>
      </c>
      <c r="AN1013">
        <f t="shared" si="46"/>
        <v>6</v>
      </c>
      <c r="AO1013" t="str">
        <f t="shared" si="47"/>
        <v>Friday</v>
      </c>
    </row>
    <row r="1014" spans="1:41" x14ac:dyDescent="0.2">
      <c r="A1014" t="s">
        <v>53</v>
      </c>
      <c r="B1014" s="1">
        <v>45799</v>
      </c>
      <c r="C1014" s="1">
        <f t="shared" si="45"/>
        <v>45808</v>
      </c>
      <c r="D1014">
        <v>17</v>
      </c>
      <c r="E1014">
        <v>39</v>
      </c>
      <c r="F1014">
        <v>3</v>
      </c>
      <c r="G1014">
        <v>0</v>
      </c>
      <c r="H1014">
        <v>4</v>
      </c>
      <c r="I1014">
        <v>0</v>
      </c>
      <c r="J1014">
        <v>1</v>
      </c>
      <c r="K1014">
        <v>22</v>
      </c>
      <c r="L1014" t="s">
        <v>53</v>
      </c>
      <c r="M1014" t="s">
        <v>38</v>
      </c>
      <c r="N1014" s="1">
        <v>45799</v>
      </c>
      <c r="O1014" s="2">
        <v>0.54245370370370372</v>
      </c>
      <c r="P1014" s="2">
        <v>0.91675925925925927</v>
      </c>
      <c r="Q1014">
        <v>8.98</v>
      </c>
      <c r="R1014">
        <v>8.84</v>
      </c>
      <c r="S1014">
        <v>1.58</v>
      </c>
      <c r="T1014">
        <v>0</v>
      </c>
      <c r="U1014">
        <v>0</v>
      </c>
      <c r="V1014">
        <v>0.08</v>
      </c>
      <c r="W1014">
        <v>5.33</v>
      </c>
      <c r="X1014">
        <v>1.25</v>
      </c>
      <c r="Y1014">
        <v>0.56999999999999995</v>
      </c>
      <c r="Z1014">
        <v>0</v>
      </c>
      <c r="AA1014">
        <v>0</v>
      </c>
      <c r="AB1014">
        <v>0.03</v>
      </c>
      <c r="AC1014">
        <v>8.84</v>
      </c>
      <c r="AD1014">
        <v>17.86</v>
      </c>
      <c r="AE1014">
        <v>0</v>
      </c>
      <c r="AF1014">
        <v>0</v>
      </c>
      <c r="AG1014">
        <v>0.92</v>
      </c>
      <c r="AH1014">
        <v>60.36</v>
      </c>
      <c r="AI1014">
        <v>14.11</v>
      </c>
      <c r="AJ1014">
        <v>6.39</v>
      </c>
      <c r="AK1014">
        <v>0</v>
      </c>
      <c r="AL1014">
        <v>0</v>
      </c>
      <c r="AM1014">
        <v>0.36</v>
      </c>
      <c r="AN1014">
        <f t="shared" si="46"/>
        <v>5</v>
      </c>
      <c r="AO1014" t="str">
        <f t="shared" si="47"/>
        <v>Thursday</v>
      </c>
    </row>
    <row r="1015" spans="1:41" x14ac:dyDescent="0.2">
      <c r="A1015" t="s">
        <v>37</v>
      </c>
      <c r="B1015" s="1">
        <v>45799</v>
      </c>
      <c r="C1015" s="1">
        <f t="shared" si="45"/>
        <v>45808</v>
      </c>
      <c r="D1015">
        <v>21</v>
      </c>
      <c r="E1015">
        <v>56</v>
      </c>
      <c r="F1015">
        <v>2</v>
      </c>
      <c r="G1015">
        <v>1</v>
      </c>
      <c r="H1015">
        <v>5</v>
      </c>
      <c r="I1015">
        <v>4</v>
      </c>
      <c r="J1015">
        <v>2</v>
      </c>
      <c r="K1015">
        <v>33</v>
      </c>
      <c r="L1015" t="s">
        <v>37</v>
      </c>
      <c r="M1015" t="s">
        <v>38</v>
      </c>
      <c r="N1015" s="1">
        <v>45799</v>
      </c>
      <c r="O1015" s="2">
        <v>0.54165509259259259</v>
      </c>
      <c r="P1015" s="2">
        <v>0.91695601851851849</v>
      </c>
      <c r="Q1015">
        <v>9.02</v>
      </c>
      <c r="R1015">
        <v>8.2799999999999994</v>
      </c>
      <c r="S1015">
        <v>1.41</v>
      </c>
      <c r="T1015">
        <v>0.48</v>
      </c>
      <c r="U1015">
        <v>0</v>
      </c>
      <c r="V1015">
        <v>0.28000000000000003</v>
      </c>
      <c r="W1015">
        <v>4.8600000000000003</v>
      </c>
      <c r="X1015">
        <v>0.68</v>
      </c>
      <c r="Y1015">
        <v>0.54</v>
      </c>
      <c r="Z1015">
        <v>0</v>
      </c>
      <c r="AA1015">
        <v>0</v>
      </c>
      <c r="AB1015">
        <v>0.03</v>
      </c>
      <c r="AC1015">
        <v>8.2799999999999994</v>
      </c>
      <c r="AD1015">
        <v>16.989999999999998</v>
      </c>
      <c r="AE1015">
        <v>5.78</v>
      </c>
      <c r="AF1015">
        <v>0</v>
      </c>
      <c r="AG1015">
        <v>3.4</v>
      </c>
      <c r="AH1015">
        <v>58.76</v>
      </c>
      <c r="AI1015">
        <v>8.23</v>
      </c>
      <c r="AJ1015">
        <v>6.48</v>
      </c>
      <c r="AK1015">
        <v>0</v>
      </c>
      <c r="AL1015">
        <v>0</v>
      </c>
      <c r="AM1015">
        <v>0.37</v>
      </c>
      <c r="AN1015">
        <f t="shared" si="46"/>
        <v>5</v>
      </c>
      <c r="AO1015" t="str">
        <f t="shared" si="47"/>
        <v>Thursday</v>
      </c>
    </row>
    <row r="1016" spans="1:41" x14ac:dyDescent="0.2">
      <c r="A1016" t="s">
        <v>52</v>
      </c>
      <c r="B1016" s="1">
        <v>45799</v>
      </c>
      <c r="C1016" s="1">
        <f t="shared" si="45"/>
        <v>45808</v>
      </c>
      <c r="D1016">
        <v>24</v>
      </c>
      <c r="E1016">
        <v>66</v>
      </c>
      <c r="F1016">
        <v>0</v>
      </c>
      <c r="G1016">
        <v>1</v>
      </c>
      <c r="H1016">
        <v>4</v>
      </c>
      <c r="I1016">
        <v>0</v>
      </c>
      <c r="J1016">
        <v>0</v>
      </c>
      <c r="K1016">
        <v>47</v>
      </c>
      <c r="L1016" t="s">
        <v>52</v>
      </c>
      <c r="M1016" t="s">
        <v>38</v>
      </c>
      <c r="N1016" s="1">
        <v>45799</v>
      </c>
      <c r="O1016" s="2">
        <v>0.54101851851851857</v>
      </c>
      <c r="P1016" s="2">
        <v>0.91615740740740736</v>
      </c>
      <c r="Q1016">
        <v>9</v>
      </c>
      <c r="R1016">
        <v>8.99</v>
      </c>
      <c r="S1016">
        <v>1.04</v>
      </c>
      <c r="T1016">
        <v>0.45</v>
      </c>
      <c r="U1016">
        <v>0</v>
      </c>
      <c r="V1016">
        <v>0.27</v>
      </c>
      <c r="W1016">
        <v>5.07</v>
      </c>
      <c r="X1016">
        <v>1.5</v>
      </c>
      <c r="Y1016">
        <v>0.56000000000000005</v>
      </c>
      <c r="Z1016">
        <v>0</v>
      </c>
      <c r="AA1016">
        <v>0.08</v>
      </c>
      <c r="AB1016">
        <v>0.03</v>
      </c>
      <c r="AC1016">
        <v>8.99</v>
      </c>
      <c r="AD1016">
        <v>11.52</v>
      </c>
      <c r="AE1016">
        <v>5.01</v>
      </c>
      <c r="AF1016">
        <v>0</v>
      </c>
      <c r="AG1016">
        <v>3</v>
      </c>
      <c r="AH1016">
        <v>56.35</v>
      </c>
      <c r="AI1016">
        <v>16.7</v>
      </c>
      <c r="AJ1016">
        <v>6.26</v>
      </c>
      <c r="AK1016">
        <v>0</v>
      </c>
      <c r="AL1016">
        <v>0.87</v>
      </c>
      <c r="AM1016">
        <v>0.3</v>
      </c>
      <c r="AN1016">
        <f t="shared" si="46"/>
        <v>5</v>
      </c>
      <c r="AO1016" t="str">
        <f t="shared" si="47"/>
        <v>Thursday</v>
      </c>
    </row>
    <row r="1017" spans="1:41" x14ac:dyDescent="0.2">
      <c r="A1017" t="s">
        <v>39</v>
      </c>
      <c r="B1017" s="1">
        <v>45799</v>
      </c>
      <c r="C1017" s="1">
        <f t="shared" si="45"/>
        <v>45808</v>
      </c>
      <c r="D1017">
        <v>18</v>
      </c>
      <c r="E1017">
        <v>40</v>
      </c>
      <c r="F1017">
        <v>5</v>
      </c>
      <c r="G1017">
        <v>1</v>
      </c>
      <c r="H1017">
        <v>4</v>
      </c>
      <c r="I1017">
        <v>0</v>
      </c>
      <c r="J1017">
        <v>0</v>
      </c>
      <c r="K1017">
        <v>24</v>
      </c>
      <c r="L1017" t="s">
        <v>39</v>
      </c>
      <c r="M1017" t="s">
        <v>38</v>
      </c>
      <c r="N1017" s="1">
        <v>45799</v>
      </c>
      <c r="O1017" s="2">
        <v>0.541875</v>
      </c>
      <c r="P1017" s="2">
        <v>0.91668981481481482</v>
      </c>
      <c r="Q1017">
        <v>9</v>
      </c>
      <c r="R1017">
        <v>9</v>
      </c>
      <c r="S1017">
        <v>1.1299999999999999</v>
      </c>
      <c r="T1017">
        <v>0.12</v>
      </c>
      <c r="U1017">
        <v>0</v>
      </c>
      <c r="V1017">
        <v>0.02</v>
      </c>
      <c r="W1017">
        <v>5.71</v>
      </c>
      <c r="X1017">
        <v>1.46</v>
      </c>
      <c r="Y1017">
        <v>0.54</v>
      </c>
      <c r="Z1017">
        <v>0</v>
      </c>
      <c r="AA1017">
        <v>0</v>
      </c>
      <c r="AB1017">
        <v>0</v>
      </c>
      <c r="AC1017">
        <v>9</v>
      </c>
      <c r="AD1017">
        <v>12.59</v>
      </c>
      <c r="AE1017">
        <v>1.32</v>
      </c>
      <c r="AF1017">
        <v>0</v>
      </c>
      <c r="AG1017">
        <v>0.23</v>
      </c>
      <c r="AH1017">
        <v>63.52</v>
      </c>
      <c r="AI1017">
        <v>16.27</v>
      </c>
      <c r="AJ1017">
        <v>6.01</v>
      </c>
      <c r="AK1017">
        <v>0</v>
      </c>
      <c r="AL1017">
        <v>0</v>
      </c>
      <c r="AM1017">
        <v>0.05</v>
      </c>
      <c r="AN1017">
        <f t="shared" si="46"/>
        <v>5</v>
      </c>
      <c r="AO1017" t="str">
        <f t="shared" si="47"/>
        <v>Thursday</v>
      </c>
    </row>
    <row r="1018" spans="1:41" x14ac:dyDescent="0.2">
      <c r="A1018" t="s">
        <v>41</v>
      </c>
      <c r="B1018" s="1">
        <v>45799</v>
      </c>
      <c r="C1018" s="1">
        <f t="shared" si="45"/>
        <v>45808</v>
      </c>
      <c r="D1018">
        <v>27</v>
      </c>
      <c r="E1018">
        <v>61</v>
      </c>
      <c r="F1018">
        <v>5</v>
      </c>
      <c r="G1018">
        <v>1</v>
      </c>
      <c r="H1018">
        <v>5</v>
      </c>
      <c r="I1018">
        <v>0</v>
      </c>
      <c r="J1018">
        <v>1</v>
      </c>
      <c r="K1018">
        <v>33</v>
      </c>
      <c r="L1018" t="s">
        <v>41</v>
      </c>
      <c r="M1018" t="s">
        <v>38</v>
      </c>
      <c r="N1018" s="1">
        <v>45799</v>
      </c>
      <c r="O1018" s="2">
        <v>0.54302083333333329</v>
      </c>
      <c r="P1018" s="2">
        <v>0.91615740740740736</v>
      </c>
      <c r="Q1018">
        <v>8.9700000000000006</v>
      </c>
      <c r="R1018">
        <v>8.9600000000000009</v>
      </c>
      <c r="S1018">
        <v>0.52</v>
      </c>
      <c r="T1018">
        <v>0.13</v>
      </c>
      <c r="U1018">
        <v>0</v>
      </c>
      <c r="V1018">
        <v>0.21</v>
      </c>
      <c r="W1018">
        <v>6.06</v>
      </c>
      <c r="X1018">
        <v>1.48</v>
      </c>
      <c r="Y1018">
        <v>0.54</v>
      </c>
      <c r="Z1018">
        <v>0</v>
      </c>
      <c r="AA1018">
        <v>0</v>
      </c>
      <c r="AB1018">
        <v>0.01</v>
      </c>
      <c r="AC1018">
        <v>8.9600000000000009</v>
      </c>
      <c r="AD1018">
        <v>5.79</v>
      </c>
      <c r="AE1018">
        <v>1.49</v>
      </c>
      <c r="AF1018">
        <v>0</v>
      </c>
      <c r="AG1018">
        <v>2.39</v>
      </c>
      <c r="AH1018">
        <v>67.66</v>
      </c>
      <c r="AI1018">
        <v>16.54</v>
      </c>
      <c r="AJ1018">
        <v>6.03</v>
      </c>
      <c r="AK1018">
        <v>0</v>
      </c>
      <c r="AL1018">
        <v>0</v>
      </c>
      <c r="AM1018">
        <v>0.1</v>
      </c>
      <c r="AN1018">
        <f t="shared" si="46"/>
        <v>5</v>
      </c>
      <c r="AO1018" t="str">
        <f t="shared" si="47"/>
        <v>Thursday</v>
      </c>
    </row>
    <row r="1019" spans="1:41" x14ac:dyDescent="0.2">
      <c r="A1019" t="s">
        <v>42</v>
      </c>
      <c r="B1019" s="1">
        <v>45799</v>
      </c>
      <c r="C1019" s="1">
        <f t="shared" si="45"/>
        <v>45808</v>
      </c>
      <c r="D1019">
        <v>1</v>
      </c>
      <c r="E1019">
        <v>1</v>
      </c>
      <c r="F1019">
        <v>0</v>
      </c>
      <c r="G1019">
        <v>0</v>
      </c>
      <c r="H1019">
        <v>0</v>
      </c>
      <c r="I1019">
        <v>0</v>
      </c>
      <c r="J1019">
        <v>0</v>
      </c>
      <c r="K1019">
        <v>1</v>
      </c>
      <c r="L1019" t="s">
        <v>42</v>
      </c>
      <c r="M1019" t="s">
        <v>38</v>
      </c>
      <c r="N1019" s="1">
        <v>45799</v>
      </c>
      <c r="O1019" s="2">
        <v>0.73488425925925926</v>
      </c>
      <c r="P1019" s="2">
        <v>0.7578125</v>
      </c>
      <c r="Q1019">
        <v>0.55000000000000004</v>
      </c>
      <c r="R1019">
        <v>0.09</v>
      </c>
      <c r="S1019">
        <v>7.0000000000000007E-2</v>
      </c>
      <c r="T1019">
        <v>0</v>
      </c>
      <c r="U1019">
        <v>0</v>
      </c>
      <c r="V1019">
        <v>0</v>
      </c>
      <c r="W1019">
        <v>0</v>
      </c>
      <c r="X1019">
        <v>0</v>
      </c>
      <c r="Y1019">
        <v>0</v>
      </c>
      <c r="Z1019">
        <v>0</v>
      </c>
      <c r="AA1019">
        <v>0</v>
      </c>
      <c r="AB1019">
        <v>0.02</v>
      </c>
      <c r="AC1019">
        <v>0.09</v>
      </c>
      <c r="AD1019">
        <v>75.599999999999994</v>
      </c>
      <c r="AE1019">
        <v>0</v>
      </c>
      <c r="AF1019">
        <v>0</v>
      </c>
      <c r="AG1019">
        <v>3.31</v>
      </c>
      <c r="AH1019">
        <v>0</v>
      </c>
      <c r="AI1019">
        <v>0</v>
      </c>
      <c r="AJ1019">
        <v>0</v>
      </c>
      <c r="AK1019">
        <v>0</v>
      </c>
      <c r="AL1019">
        <v>0</v>
      </c>
      <c r="AM1019">
        <v>21.08</v>
      </c>
      <c r="AN1019">
        <f t="shared" si="46"/>
        <v>5</v>
      </c>
      <c r="AO1019" t="str">
        <f t="shared" si="47"/>
        <v>Thursday</v>
      </c>
    </row>
    <row r="1020" spans="1:41" x14ac:dyDescent="0.2">
      <c r="A1020" t="s">
        <v>43</v>
      </c>
      <c r="B1020" s="1">
        <v>45799</v>
      </c>
      <c r="C1020" s="1">
        <f t="shared" si="45"/>
        <v>45808</v>
      </c>
      <c r="D1020">
        <v>25</v>
      </c>
      <c r="E1020">
        <v>67</v>
      </c>
      <c r="F1020">
        <v>1</v>
      </c>
      <c r="G1020">
        <v>4</v>
      </c>
      <c r="H1020">
        <v>6</v>
      </c>
      <c r="I1020">
        <v>0</v>
      </c>
      <c r="J1020">
        <v>0</v>
      </c>
      <c r="K1020">
        <v>39</v>
      </c>
      <c r="L1020" t="s">
        <v>43</v>
      </c>
      <c r="M1020" t="s">
        <v>38</v>
      </c>
      <c r="N1020" s="1">
        <v>45799</v>
      </c>
      <c r="O1020" s="2">
        <v>0.5571990740740741</v>
      </c>
      <c r="P1020" s="2">
        <v>0.93232638888888886</v>
      </c>
      <c r="Q1020">
        <v>9</v>
      </c>
      <c r="R1020">
        <v>8.94</v>
      </c>
      <c r="S1020">
        <v>1.3</v>
      </c>
      <c r="T1020">
        <v>0.12</v>
      </c>
      <c r="U1020">
        <v>0</v>
      </c>
      <c r="V1020">
        <v>0.41</v>
      </c>
      <c r="W1020">
        <v>4.99</v>
      </c>
      <c r="X1020">
        <v>1.45</v>
      </c>
      <c r="Y1020">
        <v>0.56000000000000005</v>
      </c>
      <c r="Z1020">
        <v>0</v>
      </c>
      <c r="AA1020">
        <v>0.1</v>
      </c>
      <c r="AB1020">
        <v>0.03</v>
      </c>
      <c r="AC1020">
        <v>8.94</v>
      </c>
      <c r="AD1020">
        <v>14.54</v>
      </c>
      <c r="AE1020">
        <v>1.3</v>
      </c>
      <c r="AF1020">
        <v>0</v>
      </c>
      <c r="AG1020">
        <v>4.55</v>
      </c>
      <c r="AH1020">
        <v>55.75</v>
      </c>
      <c r="AI1020">
        <v>16.22</v>
      </c>
      <c r="AJ1020">
        <v>6.25</v>
      </c>
      <c r="AK1020">
        <v>0</v>
      </c>
      <c r="AL1020">
        <v>1.07</v>
      </c>
      <c r="AM1020">
        <v>0.32</v>
      </c>
      <c r="AN1020">
        <f t="shared" si="46"/>
        <v>5</v>
      </c>
      <c r="AO1020" t="str">
        <f t="shared" si="47"/>
        <v>Thursday</v>
      </c>
    </row>
    <row r="1021" spans="1:41" x14ac:dyDescent="0.2">
      <c r="B1021" s="1">
        <v>45799</v>
      </c>
      <c r="C1021" s="1">
        <f t="shared" si="45"/>
        <v>45808</v>
      </c>
      <c r="D1021">
        <v>584</v>
      </c>
      <c r="E1021">
        <v>0</v>
      </c>
      <c r="F1021">
        <v>0</v>
      </c>
      <c r="G1021">
        <v>0</v>
      </c>
      <c r="H1021">
        <v>0</v>
      </c>
      <c r="I1021">
        <v>0</v>
      </c>
      <c r="J1021">
        <v>0</v>
      </c>
      <c r="K1021">
        <v>0</v>
      </c>
      <c r="AN1021">
        <f t="shared" si="46"/>
        <v>5</v>
      </c>
      <c r="AO1021" t="str">
        <f t="shared" si="47"/>
        <v>Thursday</v>
      </c>
    </row>
    <row r="1022" spans="1:41" x14ac:dyDescent="0.2">
      <c r="A1022" t="s">
        <v>53</v>
      </c>
      <c r="B1022" s="1">
        <v>45798</v>
      </c>
      <c r="C1022" s="1">
        <f t="shared" si="45"/>
        <v>45808</v>
      </c>
      <c r="D1022">
        <v>21</v>
      </c>
      <c r="E1022">
        <v>53</v>
      </c>
      <c r="F1022">
        <v>2</v>
      </c>
      <c r="G1022">
        <v>4</v>
      </c>
      <c r="H1022">
        <v>1</v>
      </c>
      <c r="I1022">
        <v>0</v>
      </c>
      <c r="J1022">
        <v>0</v>
      </c>
      <c r="K1022">
        <v>36</v>
      </c>
      <c r="L1022" t="s">
        <v>53</v>
      </c>
      <c r="M1022" t="s">
        <v>38</v>
      </c>
      <c r="N1022" s="1">
        <v>45798</v>
      </c>
      <c r="O1022" s="2">
        <v>0.54520833333333329</v>
      </c>
      <c r="P1022" s="2">
        <v>0.92034722222222221</v>
      </c>
      <c r="Q1022">
        <v>9</v>
      </c>
      <c r="R1022">
        <v>8.98</v>
      </c>
      <c r="S1022">
        <v>0.37</v>
      </c>
      <c r="T1022">
        <v>0</v>
      </c>
      <c r="U1022">
        <v>0</v>
      </c>
      <c r="V1022">
        <v>0.16</v>
      </c>
      <c r="W1022">
        <v>6.38</v>
      </c>
      <c r="X1022">
        <v>1.37</v>
      </c>
      <c r="Y1022">
        <v>0.7</v>
      </c>
      <c r="Z1022">
        <v>0</v>
      </c>
      <c r="AA1022">
        <v>0</v>
      </c>
      <c r="AB1022">
        <v>0.01</v>
      </c>
      <c r="AC1022">
        <v>8.98</v>
      </c>
      <c r="AD1022">
        <v>4.0999999999999996</v>
      </c>
      <c r="AE1022">
        <v>0</v>
      </c>
      <c r="AF1022">
        <v>0</v>
      </c>
      <c r="AG1022">
        <v>1.77</v>
      </c>
      <c r="AH1022">
        <v>71.02</v>
      </c>
      <c r="AI1022">
        <v>15.23</v>
      </c>
      <c r="AJ1022">
        <v>7.79</v>
      </c>
      <c r="AK1022">
        <v>0</v>
      </c>
      <c r="AL1022">
        <v>0</v>
      </c>
      <c r="AM1022">
        <v>0.09</v>
      </c>
      <c r="AN1022">
        <f t="shared" si="46"/>
        <v>4</v>
      </c>
      <c r="AO1022" t="str">
        <f t="shared" si="47"/>
        <v>Wednesday</v>
      </c>
    </row>
    <row r="1023" spans="1:41" x14ac:dyDescent="0.2">
      <c r="A1023" t="s">
        <v>37</v>
      </c>
      <c r="B1023" s="1">
        <v>45798</v>
      </c>
      <c r="C1023" s="1">
        <f t="shared" si="45"/>
        <v>45808</v>
      </c>
      <c r="D1023">
        <v>23</v>
      </c>
      <c r="E1023">
        <v>62</v>
      </c>
      <c r="F1023">
        <v>3</v>
      </c>
      <c r="G1023">
        <v>0</v>
      </c>
      <c r="H1023">
        <v>4</v>
      </c>
      <c r="I1023">
        <v>0</v>
      </c>
      <c r="J1023">
        <v>0</v>
      </c>
      <c r="K1023">
        <v>44</v>
      </c>
      <c r="L1023" t="s">
        <v>37</v>
      </c>
      <c r="M1023" t="s">
        <v>38</v>
      </c>
      <c r="N1023" s="1">
        <v>45798</v>
      </c>
      <c r="O1023" s="2">
        <v>0.54295138888888894</v>
      </c>
      <c r="P1023" s="2">
        <v>0.91671296296296301</v>
      </c>
      <c r="Q1023">
        <v>8.98</v>
      </c>
      <c r="R1023">
        <v>8.1</v>
      </c>
      <c r="S1023">
        <v>0.54</v>
      </c>
      <c r="T1023">
        <v>0.09</v>
      </c>
      <c r="U1023">
        <v>0</v>
      </c>
      <c r="V1023">
        <v>0.15</v>
      </c>
      <c r="W1023">
        <v>6.91</v>
      </c>
      <c r="X1023">
        <v>0.41</v>
      </c>
      <c r="Y1023">
        <v>0</v>
      </c>
      <c r="Z1023">
        <v>0</v>
      </c>
      <c r="AA1023">
        <v>0</v>
      </c>
      <c r="AB1023">
        <v>0.01</v>
      </c>
      <c r="AC1023">
        <v>8.1</v>
      </c>
      <c r="AD1023">
        <v>6.68</v>
      </c>
      <c r="AE1023">
        <v>1.1100000000000001</v>
      </c>
      <c r="AF1023">
        <v>0</v>
      </c>
      <c r="AG1023">
        <v>1.8</v>
      </c>
      <c r="AH1023">
        <v>85.25</v>
      </c>
      <c r="AI1023">
        <v>5.0199999999999996</v>
      </c>
      <c r="AJ1023">
        <v>0</v>
      </c>
      <c r="AK1023">
        <v>0</v>
      </c>
      <c r="AL1023">
        <v>0</v>
      </c>
      <c r="AM1023">
        <v>0.13</v>
      </c>
      <c r="AN1023">
        <f t="shared" si="46"/>
        <v>4</v>
      </c>
      <c r="AO1023" t="str">
        <f t="shared" si="47"/>
        <v>Wednesday</v>
      </c>
    </row>
    <row r="1024" spans="1:41" x14ac:dyDescent="0.2">
      <c r="A1024" t="s">
        <v>52</v>
      </c>
      <c r="B1024" s="1">
        <v>45798</v>
      </c>
      <c r="C1024" s="1">
        <f t="shared" si="45"/>
        <v>45808</v>
      </c>
      <c r="D1024">
        <v>19</v>
      </c>
      <c r="E1024">
        <v>40</v>
      </c>
      <c r="F1024">
        <v>3</v>
      </c>
      <c r="G1024">
        <v>3</v>
      </c>
      <c r="H1024">
        <v>0</v>
      </c>
      <c r="I1024">
        <v>0</v>
      </c>
      <c r="J1024">
        <v>0</v>
      </c>
      <c r="K1024">
        <v>28</v>
      </c>
      <c r="L1024" t="s">
        <v>52</v>
      </c>
      <c r="M1024" t="s">
        <v>38</v>
      </c>
      <c r="N1024" s="1">
        <v>45798</v>
      </c>
      <c r="O1024" s="2">
        <v>0.54063657407407406</v>
      </c>
      <c r="P1024" s="2">
        <v>0.91646990740740741</v>
      </c>
      <c r="Q1024">
        <v>9.02</v>
      </c>
      <c r="R1024">
        <v>9.02</v>
      </c>
      <c r="S1024">
        <v>0.84</v>
      </c>
      <c r="T1024">
        <v>0.33</v>
      </c>
      <c r="U1024">
        <v>0</v>
      </c>
      <c r="V1024">
        <v>0.21</v>
      </c>
      <c r="W1024">
        <v>5.73</v>
      </c>
      <c r="X1024">
        <v>1.51</v>
      </c>
      <c r="Y1024">
        <v>0.34</v>
      </c>
      <c r="Z1024">
        <v>0</v>
      </c>
      <c r="AA1024">
        <v>0.05</v>
      </c>
      <c r="AB1024">
        <v>0.01</v>
      </c>
      <c r="AC1024">
        <v>9.02</v>
      </c>
      <c r="AD1024">
        <v>9.33</v>
      </c>
      <c r="AE1024">
        <v>3.71</v>
      </c>
      <c r="AF1024">
        <v>0</v>
      </c>
      <c r="AG1024">
        <v>2.31</v>
      </c>
      <c r="AH1024">
        <v>63.56</v>
      </c>
      <c r="AI1024">
        <v>16.73</v>
      </c>
      <c r="AJ1024">
        <v>3.77</v>
      </c>
      <c r="AK1024">
        <v>0</v>
      </c>
      <c r="AL1024">
        <v>0.51</v>
      </c>
      <c r="AM1024">
        <v>0.08</v>
      </c>
      <c r="AN1024">
        <f t="shared" si="46"/>
        <v>4</v>
      </c>
      <c r="AO1024" t="str">
        <f t="shared" si="47"/>
        <v>Wednesday</v>
      </c>
    </row>
    <row r="1025" spans="1:41" x14ac:dyDescent="0.2">
      <c r="A1025" t="s">
        <v>39</v>
      </c>
      <c r="B1025" s="1">
        <v>45798</v>
      </c>
      <c r="C1025" s="1">
        <f t="shared" si="45"/>
        <v>45808</v>
      </c>
      <c r="D1025">
        <v>23</v>
      </c>
      <c r="E1025">
        <v>58</v>
      </c>
      <c r="F1025">
        <v>4</v>
      </c>
      <c r="G1025">
        <v>0</v>
      </c>
      <c r="H1025">
        <v>3</v>
      </c>
      <c r="I1025">
        <v>0</v>
      </c>
      <c r="J1025">
        <v>0</v>
      </c>
      <c r="K1025">
        <v>39</v>
      </c>
      <c r="L1025" t="s">
        <v>39</v>
      </c>
      <c r="M1025" t="s">
        <v>38</v>
      </c>
      <c r="N1025" s="1">
        <v>45798</v>
      </c>
      <c r="O1025" s="2">
        <v>0.54174768518518523</v>
      </c>
      <c r="P1025" s="2">
        <v>0.91670138888888886</v>
      </c>
      <c r="Q1025">
        <v>9</v>
      </c>
      <c r="R1025">
        <v>9</v>
      </c>
      <c r="S1025">
        <v>0.53</v>
      </c>
      <c r="T1025">
        <v>0.08</v>
      </c>
      <c r="U1025">
        <v>0</v>
      </c>
      <c r="V1025">
        <v>0.02</v>
      </c>
      <c r="W1025">
        <v>6.89</v>
      </c>
      <c r="X1025">
        <v>1.46</v>
      </c>
      <c r="Y1025">
        <v>0</v>
      </c>
      <c r="Z1025">
        <v>0</v>
      </c>
      <c r="AA1025">
        <v>0</v>
      </c>
      <c r="AB1025">
        <v>0</v>
      </c>
      <c r="AC1025">
        <v>9</v>
      </c>
      <c r="AD1025">
        <v>5.92</v>
      </c>
      <c r="AE1025">
        <v>0.93</v>
      </c>
      <c r="AF1025">
        <v>0</v>
      </c>
      <c r="AG1025">
        <v>0.24</v>
      </c>
      <c r="AH1025">
        <v>76.62</v>
      </c>
      <c r="AI1025">
        <v>16.25</v>
      </c>
      <c r="AJ1025">
        <v>0</v>
      </c>
      <c r="AK1025">
        <v>0</v>
      </c>
      <c r="AL1025">
        <v>0</v>
      </c>
      <c r="AM1025">
        <v>0.05</v>
      </c>
      <c r="AN1025">
        <f t="shared" si="46"/>
        <v>4</v>
      </c>
      <c r="AO1025" t="str">
        <f t="shared" si="47"/>
        <v>Wednesday</v>
      </c>
    </row>
    <row r="1026" spans="1:41" x14ac:dyDescent="0.2">
      <c r="A1026" t="s">
        <v>41</v>
      </c>
      <c r="B1026" s="1">
        <v>45798</v>
      </c>
      <c r="C1026" s="1">
        <f t="shared" si="45"/>
        <v>45808</v>
      </c>
      <c r="D1026">
        <v>29</v>
      </c>
      <c r="E1026">
        <v>66</v>
      </c>
      <c r="F1026">
        <v>7</v>
      </c>
      <c r="G1026">
        <v>3</v>
      </c>
      <c r="H1026">
        <v>0</v>
      </c>
      <c r="I1026">
        <v>0</v>
      </c>
      <c r="J1026">
        <v>2</v>
      </c>
      <c r="K1026">
        <v>35</v>
      </c>
      <c r="L1026" t="s">
        <v>41</v>
      </c>
      <c r="M1026" t="s">
        <v>38</v>
      </c>
      <c r="N1026" s="1">
        <v>45798</v>
      </c>
      <c r="O1026" s="2">
        <v>0.54263888888888889</v>
      </c>
      <c r="P1026" s="2">
        <v>0.91600694444444442</v>
      </c>
      <c r="Q1026">
        <v>8.9700000000000006</v>
      </c>
      <c r="R1026">
        <v>8.75</v>
      </c>
      <c r="S1026">
        <v>0.7</v>
      </c>
      <c r="T1026">
        <v>0.09</v>
      </c>
      <c r="U1026">
        <v>0</v>
      </c>
      <c r="V1026">
        <v>0.13</v>
      </c>
      <c r="W1026">
        <v>6.57</v>
      </c>
      <c r="X1026">
        <v>1.25</v>
      </c>
      <c r="Y1026">
        <v>0</v>
      </c>
      <c r="Z1026">
        <v>0</v>
      </c>
      <c r="AA1026">
        <v>0</v>
      </c>
      <c r="AB1026">
        <v>0.01</v>
      </c>
      <c r="AC1026">
        <v>8.75</v>
      </c>
      <c r="AD1026">
        <v>7.99</v>
      </c>
      <c r="AE1026">
        <v>1</v>
      </c>
      <c r="AF1026">
        <v>0</v>
      </c>
      <c r="AG1026">
        <v>1.51</v>
      </c>
      <c r="AH1026">
        <v>75.08</v>
      </c>
      <c r="AI1026">
        <v>14.28</v>
      </c>
      <c r="AJ1026">
        <v>0</v>
      </c>
      <c r="AK1026">
        <v>0</v>
      </c>
      <c r="AL1026">
        <v>0</v>
      </c>
      <c r="AM1026">
        <v>0.14000000000000001</v>
      </c>
      <c r="AN1026">
        <f t="shared" si="46"/>
        <v>4</v>
      </c>
      <c r="AO1026" t="str">
        <f t="shared" si="47"/>
        <v>Wednesday</v>
      </c>
    </row>
    <row r="1027" spans="1:41" x14ac:dyDescent="0.2">
      <c r="A1027" t="s">
        <v>43</v>
      </c>
      <c r="B1027" s="1">
        <v>45798</v>
      </c>
      <c r="C1027" s="1">
        <f t="shared" ref="C1027:C1090" si="48">EOMONTH(B1027,0)</f>
        <v>45808</v>
      </c>
      <c r="D1027">
        <v>19</v>
      </c>
      <c r="E1027">
        <v>52</v>
      </c>
      <c r="F1027">
        <v>1</v>
      </c>
      <c r="G1027">
        <v>0</v>
      </c>
      <c r="H1027">
        <v>7</v>
      </c>
      <c r="I1027">
        <v>0</v>
      </c>
      <c r="J1027">
        <v>0</v>
      </c>
      <c r="K1027">
        <v>38</v>
      </c>
      <c r="L1027" t="s">
        <v>43</v>
      </c>
      <c r="M1027" t="s">
        <v>38</v>
      </c>
      <c r="N1027" s="1">
        <v>45798</v>
      </c>
      <c r="O1027" s="2">
        <v>0.541875</v>
      </c>
      <c r="P1027" s="2">
        <v>0.91746527777777775</v>
      </c>
      <c r="Q1027">
        <v>9.02</v>
      </c>
      <c r="R1027">
        <v>8.92</v>
      </c>
      <c r="S1027">
        <v>1.31</v>
      </c>
      <c r="T1027">
        <v>0.17</v>
      </c>
      <c r="U1027">
        <v>0</v>
      </c>
      <c r="V1027">
        <v>0.26</v>
      </c>
      <c r="W1027">
        <v>5.43</v>
      </c>
      <c r="X1027">
        <v>1.46</v>
      </c>
      <c r="Y1027">
        <v>0</v>
      </c>
      <c r="Z1027">
        <v>0</v>
      </c>
      <c r="AA1027">
        <v>0.26</v>
      </c>
      <c r="AB1027">
        <v>0.03</v>
      </c>
      <c r="AC1027">
        <v>8.92</v>
      </c>
      <c r="AD1027">
        <v>14.72</v>
      </c>
      <c r="AE1027">
        <v>1.85</v>
      </c>
      <c r="AF1027">
        <v>0</v>
      </c>
      <c r="AG1027">
        <v>2.97</v>
      </c>
      <c r="AH1027">
        <v>60.86</v>
      </c>
      <c r="AI1027">
        <v>16.41</v>
      </c>
      <c r="AJ1027">
        <v>0</v>
      </c>
      <c r="AK1027">
        <v>0</v>
      </c>
      <c r="AL1027">
        <v>2.89</v>
      </c>
      <c r="AM1027">
        <v>0.3</v>
      </c>
      <c r="AN1027">
        <f t="shared" ref="AN1027:AN1090" si="49">WEEKDAY(B1027,1)</f>
        <v>4</v>
      </c>
      <c r="AO1027" t="str">
        <f t="shared" ref="AO1027:AO1090" si="50">VLOOKUP(AN1027,$AY$2:$AZ$8,2,FALSE)</f>
        <v>Wednesday</v>
      </c>
    </row>
    <row r="1028" spans="1:41" x14ac:dyDescent="0.2">
      <c r="B1028" s="1">
        <v>45798</v>
      </c>
      <c r="C1028" s="1">
        <f t="shared" si="48"/>
        <v>45808</v>
      </c>
      <c r="D1028">
        <v>597</v>
      </c>
      <c r="E1028">
        <v>0</v>
      </c>
      <c r="F1028">
        <v>0</v>
      </c>
      <c r="G1028">
        <v>0</v>
      </c>
      <c r="H1028">
        <v>0</v>
      </c>
      <c r="I1028">
        <v>0</v>
      </c>
      <c r="J1028">
        <v>0</v>
      </c>
      <c r="K1028">
        <v>0</v>
      </c>
      <c r="AN1028">
        <f t="shared" si="49"/>
        <v>4</v>
      </c>
      <c r="AO1028" t="str">
        <f t="shared" si="50"/>
        <v>Wednesday</v>
      </c>
    </row>
    <row r="1029" spans="1:41" x14ac:dyDescent="0.2">
      <c r="A1029" t="s">
        <v>53</v>
      </c>
      <c r="B1029" s="1">
        <v>45797</v>
      </c>
      <c r="C1029" s="1">
        <f t="shared" si="48"/>
        <v>45808</v>
      </c>
      <c r="D1029">
        <v>26</v>
      </c>
      <c r="E1029">
        <v>60</v>
      </c>
      <c r="F1029">
        <v>7</v>
      </c>
      <c r="G1029">
        <v>3</v>
      </c>
      <c r="H1029">
        <v>5</v>
      </c>
      <c r="I1029">
        <v>0</v>
      </c>
      <c r="J1029">
        <v>0</v>
      </c>
      <c r="K1029">
        <v>32</v>
      </c>
      <c r="L1029" t="s">
        <v>53</v>
      </c>
      <c r="M1029" t="s">
        <v>38</v>
      </c>
      <c r="N1029" s="1">
        <v>45797</v>
      </c>
      <c r="O1029" s="2">
        <v>0.54199074074074072</v>
      </c>
      <c r="P1029" s="2">
        <v>0.91682870370370373</v>
      </c>
      <c r="Q1029">
        <v>9</v>
      </c>
      <c r="R1029">
        <v>9</v>
      </c>
      <c r="S1029">
        <v>1.38</v>
      </c>
      <c r="T1029">
        <v>0</v>
      </c>
      <c r="U1029">
        <v>0</v>
      </c>
      <c r="V1029">
        <v>0.11</v>
      </c>
      <c r="W1029">
        <v>5.58</v>
      </c>
      <c r="X1029">
        <v>1.42</v>
      </c>
      <c r="Y1029">
        <v>0.49</v>
      </c>
      <c r="Z1029">
        <v>0</v>
      </c>
      <c r="AA1029">
        <v>0</v>
      </c>
      <c r="AB1029">
        <v>0</v>
      </c>
      <c r="AC1029">
        <v>9</v>
      </c>
      <c r="AD1029">
        <v>15.38</v>
      </c>
      <c r="AE1029">
        <v>0</v>
      </c>
      <c r="AF1029">
        <v>0</v>
      </c>
      <c r="AG1029">
        <v>1.27</v>
      </c>
      <c r="AH1029">
        <v>62.06</v>
      </c>
      <c r="AI1029">
        <v>15.75</v>
      </c>
      <c r="AJ1029">
        <v>5.5</v>
      </c>
      <c r="AK1029">
        <v>0</v>
      </c>
      <c r="AL1029">
        <v>0</v>
      </c>
      <c r="AM1029">
        <v>0.04</v>
      </c>
      <c r="AN1029">
        <f t="shared" si="49"/>
        <v>3</v>
      </c>
      <c r="AO1029" t="str">
        <f t="shared" si="50"/>
        <v>Tuesday</v>
      </c>
    </row>
    <row r="1030" spans="1:41" x14ac:dyDescent="0.2">
      <c r="A1030" t="s">
        <v>37</v>
      </c>
      <c r="B1030" s="1">
        <v>45797</v>
      </c>
      <c r="C1030" s="1">
        <f t="shared" si="48"/>
        <v>45808</v>
      </c>
      <c r="D1030">
        <v>33</v>
      </c>
      <c r="E1030">
        <v>88</v>
      </c>
      <c r="F1030">
        <v>7</v>
      </c>
      <c r="G1030">
        <v>3</v>
      </c>
      <c r="H1030">
        <v>9</v>
      </c>
      <c r="I1030">
        <v>0</v>
      </c>
      <c r="J1030">
        <v>5</v>
      </c>
      <c r="K1030">
        <v>46</v>
      </c>
      <c r="L1030" t="s">
        <v>37</v>
      </c>
      <c r="M1030" t="s">
        <v>38</v>
      </c>
      <c r="N1030" s="1">
        <v>45797</v>
      </c>
      <c r="O1030" s="2">
        <v>0.5426157407407407</v>
      </c>
      <c r="P1030" s="2">
        <v>0.9193055555555556</v>
      </c>
      <c r="Q1030">
        <v>9.0299999999999994</v>
      </c>
      <c r="R1030">
        <v>8.11</v>
      </c>
      <c r="S1030">
        <v>1.32</v>
      </c>
      <c r="T1030">
        <v>0.16</v>
      </c>
      <c r="U1030">
        <v>0</v>
      </c>
      <c r="V1030">
        <v>0.4</v>
      </c>
      <c r="W1030">
        <v>5.66</v>
      </c>
      <c r="X1030">
        <v>0.55000000000000004</v>
      </c>
      <c r="Y1030">
        <v>0</v>
      </c>
      <c r="Z1030">
        <v>0</v>
      </c>
      <c r="AA1030">
        <v>0</v>
      </c>
      <c r="AB1030">
        <v>0.01</v>
      </c>
      <c r="AC1030">
        <v>8.11</v>
      </c>
      <c r="AD1030">
        <v>16.25</v>
      </c>
      <c r="AE1030">
        <v>2.02</v>
      </c>
      <c r="AF1030">
        <v>0</v>
      </c>
      <c r="AG1030">
        <v>4.95</v>
      </c>
      <c r="AH1030">
        <v>69.849999999999994</v>
      </c>
      <c r="AI1030">
        <v>6.83</v>
      </c>
      <c r="AJ1030">
        <v>0</v>
      </c>
      <c r="AK1030">
        <v>0</v>
      </c>
      <c r="AL1030">
        <v>0</v>
      </c>
      <c r="AM1030">
        <v>0.11</v>
      </c>
      <c r="AN1030">
        <f t="shared" si="49"/>
        <v>3</v>
      </c>
      <c r="AO1030" t="str">
        <f t="shared" si="50"/>
        <v>Tuesday</v>
      </c>
    </row>
    <row r="1031" spans="1:41" x14ac:dyDescent="0.2">
      <c r="A1031" t="s">
        <v>52</v>
      </c>
      <c r="B1031" s="1">
        <v>45797</v>
      </c>
      <c r="C1031" s="1">
        <f t="shared" si="48"/>
        <v>45808</v>
      </c>
      <c r="D1031">
        <v>35</v>
      </c>
      <c r="E1031">
        <v>96</v>
      </c>
      <c r="F1031">
        <v>2</v>
      </c>
      <c r="G1031">
        <v>13</v>
      </c>
      <c r="H1031">
        <v>8</v>
      </c>
      <c r="I1031">
        <v>0</v>
      </c>
      <c r="J1031">
        <v>0</v>
      </c>
      <c r="K1031">
        <v>51</v>
      </c>
      <c r="L1031" t="s">
        <v>52</v>
      </c>
      <c r="M1031" t="s">
        <v>38</v>
      </c>
      <c r="N1031" s="1">
        <v>45797</v>
      </c>
      <c r="O1031" s="2">
        <v>0.54146990740740741</v>
      </c>
      <c r="P1031" s="2">
        <v>0.91716435185185186</v>
      </c>
      <c r="Q1031">
        <v>9.02</v>
      </c>
      <c r="R1031">
        <v>9.02</v>
      </c>
      <c r="S1031">
        <v>1.67</v>
      </c>
      <c r="T1031">
        <v>0.64</v>
      </c>
      <c r="U1031">
        <v>0</v>
      </c>
      <c r="V1031">
        <v>0.41</v>
      </c>
      <c r="W1031">
        <v>4.72</v>
      </c>
      <c r="X1031">
        <v>1.5</v>
      </c>
      <c r="Y1031">
        <v>0.06</v>
      </c>
      <c r="Z1031">
        <v>0</v>
      </c>
      <c r="AA1031">
        <v>0</v>
      </c>
      <c r="AB1031">
        <v>0.02</v>
      </c>
      <c r="AC1031">
        <v>9.02</v>
      </c>
      <c r="AD1031">
        <v>18.48</v>
      </c>
      <c r="AE1031">
        <v>7.07</v>
      </c>
      <c r="AF1031">
        <v>0</v>
      </c>
      <c r="AG1031">
        <v>4.5999999999999996</v>
      </c>
      <c r="AH1031">
        <v>52.32</v>
      </c>
      <c r="AI1031">
        <v>16.68</v>
      </c>
      <c r="AJ1031">
        <v>0.68</v>
      </c>
      <c r="AK1031">
        <v>0</v>
      </c>
      <c r="AL1031">
        <v>0</v>
      </c>
      <c r="AM1031">
        <v>0.17</v>
      </c>
      <c r="AN1031">
        <f t="shared" si="49"/>
        <v>3</v>
      </c>
      <c r="AO1031" t="str">
        <f t="shared" si="50"/>
        <v>Tuesday</v>
      </c>
    </row>
    <row r="1032" spans="1:41" x14ac:dyDescent="0.2">
      <c r="A1032" t="s">
        <v>41</v>
      </c>
      <c r="B1032" s="1">
        <v>45797</v>
      </c>
      <c r="C1032" s="1">
        <f t="shared" si="48"/>
        <v>45808</v>
      </c>
      <c r="D1032">
        <v>31</v>
      </c>
      <c r="E1032">
        <v>82</v>
      </c>
      <c r="F1032">
        <v>6</v>
      </c>
      <c r="G1032">
        <v>4</v>
      </c>
      <c r="H1032">
        <v>11</v>
      </c>
      <c r="I1032">
        <v>0</v>
      </c>
      <c r="J1032">
        <v>0</v>
      </c>
      <c r="K1032">
        <v>51</v>
      </c>
      <c r="L1032" t="s">
        <v>41</v>
      </c>
      <c r="M1032" t="s">
        <v>38</v>
      </c>
      <c r="N1032" s="1">
        <v>45797</v>
      </c>
      <c r="O1032" s="2">
        <v>0.54347222222222225</v>
      </c>
      <c r="P1032" s="2">
        <v>0.91680555555555554</v>
      </c>
      <c r="Q1032">
        <v>8.9700000000000006</v>
      </c>
      <c r="R1032">
        <v>8.92</v>
      </c>
      <c r="S1032">
        <v>1.1100000000000001</v>
      </c>
      <c r="T1032">
        <v>0.1</v>
      </c>
      <c r="U1032">
        <v>0</v>
      </c>
      <c r="V1032">
        <v>0.28000000000000003</v>
      </c>
      <c r="W1032">
        <v>5.95</v>
      </c>
      <c r="X1032">
        <v>1.47</v>
      </c>
      <c r="Y1032">
        <v>0</v>
      </c>
      <c r="Z1032">
        <v>0</v>
      </c>
      <c r="AA1032">
        <v>0</v>
      </c>
      <c r="AB1032">
        <v>0.02</v>
      </c>
      <c r="AC1032">
        <v>8.92</v>
      </c>
      <c r="AD1032">
        <v>12.44</v>
      </c>
      <c r="AE1032">
        <v>1.1100000000000001</v>
      </c>
      <c r="AF1032">
        <v>0</v>
      </c>
      <c r="AG1032">
        <v>3.09</v>
      </c>
      <c r="AH1032">
        <v>66.66</v>
      </c>
      <c r="AI1032">
        <v>16.46</v>
      </c>
      <c r="AJ1032">
        <v>0</v>
      </c>
      <c r="AK1032">
        <v>0</v>
      </c>
      <c r="AL1032">
        <v>0</v>
      </c>
      <c r="AM1032">
        <v>0.24</v>
      </c>
      <c r="AN1032">
        <f t="shared" si="49"/>
        <v>3</v>
      </c>
      <c r="AO1032" t="str">
        <f t="shared" si="50"/>
        <v>Tuesday</v>
      </c>
    </row>
    <row r="1033" spans="1:41" x14ac:dyDescent="0.2">
      <c r="A1033" t="s">
        <v>42</v>
      </c>
      <c r="B1033" s="1">
        <v>45797</v>
      </c>
      <c r="C1033" s="1">
        <f t="shared" si="48"/>
        <v>45808</v>
      </c>
      <c r="D1033">
        <v>1</v>
      </c>
      <c r="E1033">
        <v>1</v>
      </c>
      <c r="F1033">
        <v>1</v>
      </c>
      <c r="G1033">
        <v>0</v>
      </c>
      <c r="H1033">
        <v>0</v>
      </c>
      <c r="I1033">
        <v>0</v>
      </c>
      <c r="J1033">
        <v>0</v>
      </c>
      <c r="K1033">
        <v>0</v>
      </c>
      <c r="L1033" t="s">
        <v>42</v>
      </c>
      <c r="M1033" t="s">
        <v>38</v>
      </c>
      <c r="N1033" s="1">
        <v>45797</v>
      </c>
      <c r="O1033" s="2">
        <v>0.80118055555555556</v>
      </c>
      <c r="P1033" s="2">
        <v>0.97269675925925925</v>
      </c>
      <c r="Q1033">
        <v>4.12</v>
      </c>
      <c r="R1033">
        <v>4.12</v>
      </c>
      <c r="S1033">
        <v>4.1100000000000003</v>
      </c>
      <c r="T1033">
        <v>0</v>
      </c>
      <c r="U1033">
        <v>0</v>
      </c>
      <c r="V1033">
        <v>0</v>
      </c>
      <c r="W1033">
        <v>0</v>
      </c>
      <c r="X1033">
        <v>0</v>
      </c>
      <c r="Y1033">
        <v>0</v>
      </c>
      <c r="Z1033">
        <v>0</v>
      </c>
      <c r="AA1033">
        <v>0</v>
      </c>
      <c r="AB1033">
        <v>0</v>
      </c>
      <c r="AC1033">
        <v>4.12</v>
      </c>
      <c r="AD1033">
        <v>99.83</v>
      </c>
      <c r="AE1033">
        <v>0</v>
      </c>
      <c r="AF1033">
        <v>0</v>
      </c>
      <c r="AG1033">
        <v>0.09</v>
      </c>
      <c r="AH1033">
        <v>0</v>
      </c>
      <c r="AI1033">
        <v>0</v>
      </c>
      <c r="AJ1033">
        <v>0</v>
      </c>
      <c r="AK1033">
        <v>0</v>
      </c>
      <c r="AL1033">
        <v>0</v>
      </c>
      <c r="AM1033">
        <v>0.08</v>
      </c>
      <c r="AN1033">
        <f t="shared" si="49"/>
        <v>3</v>
      </c>
      <c r="AO1033" t="str">
        <f t="shared" si="50"/>
        <v>Tuesday</v>
      </c>
    </row>
    <row r="1034" spans="1:41" x14ac:dyDescent="0.2">
      <c r="A1034" t="s">
        <v>43</v>
      </c>
      <c r="B1034" s="1">
        <v>45797</v>
      </c>
      <c r="C1034" s="1">
        <f t="shared" si="48"/>
        <v>45808</v>
      </c>
      <c r="D1034">
        <v>30</v>
      </c>
      <c r="E1034">
        <v>94</v>
      </c>
      <c r="F1034">
        <v>2</v>
      </c>
      <c r="G1034">
        <v>3</v>
      </c>
      <c r="H1034">
        <v>21</v>
      </c>
      <c r="I1034">
        <v>1</v>
      </c>
      <c r="J1034">
        <v>0</v>
      </c>
      <c r="K1034">
        <v>49</v>
      </c>
      <c r="L1034" t="s">
        <v>43</v>
      </c>
      <c r="M1034" t="s">
        <v>38</v>
      </c>
      <c r="N1034" s="1">
        <v>45797</v>
      </c>
      <c r="O1034" s="2">
        <v>0.5408680555555555</v>
      </c>
      <c r="P1034" s="2">
        <v>0.94312499999999999</v>
      </c>
      <c r="Q1034">
        <v>9.67</v>
      </c>
      <c r="R1034">
        <v>9.66</v>
      </c>
      <c r="S1034">
        <v>1.97</v>
      </c>
      <c r="T1034">
        <v>0.28000000000000003</v>
      </c>
      <c r="U1034">
        <v>0</v>
      </c>
      <c r="V1034">
        <v>0.59</v>
      </c>
      <c r="W1034">
        <v>5.18</v>
      </c>
      <c r="X1034">
        <v>1.46</v>
      </c>
      <c r="Y1034">
        <v>0.18</v>
      </c>
      <c r="Z1034">
        <v>0</v>
      </c>
      <c r="AA1034">
        <v>0</v>
      </c>
      <c r="AB1034">
        <v>0</v>
      </c>
      <c r="AC1034">
        <v>9.66</v>
      </c>
      <c r="AD1034">
        <v>20.39</v>
      </c>
      <c r="AE1034">
        <v>2.9</v>
      </c>
      <c r="AF1034">
        <v>0</v>
      </c>
      <c r="AG1034">
        <v>6.06</v>
      </c>
      <c r="AH1034">
        <v>53.65</v>
      </c>
      <c r="AI1034">
        <v>15.12</v>
      </c>
      <c r="AJ1034">
        <v>1.84</v>
      </c>
      <c r="AK1034">
        <v>0</v>
      </c>
      <c r="AL1034">
        <v>0</v>
      </c>
      <c r="AM1034">
        <v>0.04</v>
      </c>
      <c r="AN1034">
        <f t="shared" si="49"/>
        <v>3</v>
      </c>
      <c r="AO1034" t="str">
        <f t="shared" si="50"/>
        <v>Tuesday</v>
      </c>
    </row>
    <row r="1035" spans="1:41" x14ac:dyDescent="0.2">
      <c r="B1035" s="1">
        <v>45797</v>
      </c>
      <c r="C1035" s="1">
        <f t="shared" si="48"/>
        <v>45808</v>
      </c>
      <c r="D1035">
        <v>610</v>
      </c>
      <c r="E1035">
        <v>0</v>
      </c>
      <c r="F1035">
        <v>0</v>
      </c>
      <c r="G1035">
        <v>0</v>
      </c>
      <c r="H1035">
        <v>0</v>
      </c>
      <c r="I1035">
        <v>0</v>
      </c>
      <c r="J1035">
        <v>0</v>
      </c>
      <c r="K1035">
        <v>0</v>
      </c>
      <c r="AN1035">
        <f t="shared" si="49"/>
        <v>3</v>
      </c>
      <c r="AO1035" t="str">
        <f t="shared" si="50"/>
        <v>Tuesday</v>
      </c>
    </row>
    <row r="1036" spans="1:41" x14ac:dyDescent="0.2">
      <c r="A1036" t="s">
        <v>53</v>
      </c>
      <c r="B1036" s="1">
        <v>45796</v>
      </c>
      <c r="C1036" s="1">
        <f t="shared" si="48"/>
        <v>45808</v>
      </c>
      <c r="D1036">
        <v>24</v>
      </c>
      <c r="E1036">
        <v>61</v>
      </c>
      <c r="F1036">
        <v>6</v>
      </c>
      <c r="G1036">
        <v>5</v>
      </c>
      <c r="H1036">
        <v>8</v>
      </c>
      <c r="I1036">
        <v>0</v>
      </c>
      <c r="J1036">
        <v>0</v>
      </c>
      <c r="K1036">
        <v>33</v>
      </c>
      <c r="L1036" t="s">
        <v>53</v>
      </c>
      <c r="M1036" t="s">
        <v>38</v>
      </c>
      <c r="N1036" s="1">
        <v>45796</v>
      </c>
      <c r="O1036" s="2">
        <v>0.54302083333333329</v>
      </c>
      <c r="P1036" s="2">
        <v>0.92631944444444447</v>
      </c>
      <c r="Q1036">
        <v>9.1999999999999993</v>
      </c>
      <c r="R1036">
        <v>9.1999999999999993</v>
      </c>
      <c r="S1036">
        <v>1.4</v>
      </c>
      <c r="T1036">
        <v>0</v>
      </c>
      <c r="U1036">
        <v>0</v>
      </c>
      <c r="V1036">
        <v>0.19</v>
      </c>
      <c r="W1036">
        <v>6.11</v>
      </c>
      <c r="X1036">
        <v>1.46</v>
      </c>
      <c r="Y1036">
        <v>0</v>
      </c>
      <c r="Z1036">
        <v>0</v>
      </c>
      <c r="AA1036">
        <v>0</v>
      </c>
      <c r="AB1036">
        <v>0.03</v>
      </c>
      <c r="AC1036">
        <v>9.1999999999999993</v>
      </c>
      <c r="AD1036">
        <v>15.19</v>
      </c>
      <c r="AE1036">
        <v>0</v>
      </c>
      <c r="AF1036">
        <v>0</v>
      </c>
      <c r="AG1036">
        <v>2.1</v>
      </c>
      <c r="AH1036">
        <v>66.45</v>
      </c>
      <c r="AI1036">
        <v>15.92</v>
      </c>
      <c r="AJ1036">
        <v>0</v>
      </c>
      <c r="AK1036">
        <v>0</v>
      </c>
      <c r="AL1036">
        <v>0</v>
      </c>
      <c r="AM1036">
        <v>0.35</v>
      </c>
      <c r="AN1036">
        <f t="shared" si="49"/>
        <v>2</v>
      </c>
      <c r="AO1036" t="str">
        <f t="shared" si="50"/>
        <v>Monday</v>
      </c>
    </row>
    <row r="1037" spans="1:41" x14ac:dyDescent="0.2">
      <c r="A1037" t="s">
        <v>37</v>
      </c>
      <c r="B1037" s="1">
        <v>45796</v>
      </c>
      <c r="C1037" s="1">
        <f t="shared" si="48"/>
        <v>45808</v>
      </c>
      <c r="D1037">
        <v>37</v>
      </c>
      <c r="E1037">
        <v>110</v>
      </c>
      <c r="F1037">
        <v>1</v>
      </c>
      <c r="G1037">
        <v>0</v>
      </c>
      <c r="H1037">
        <v>3</v>
      </c>
      <c r="I1037">
        <v>0</v>
      </c>
      <c r="J1037">
        <v>4</v>
      </c>
      <c r="K1037">
        <v>76</v>
      </c>
      <c r="L1037" t="s">
        <v>37</v>
      </c>
      <c r="M1037" t="s">
        <v>38</v>
      </c>
      <c r="N1037" s="1">
        <v>45796</v>
      </c>
      <c r="O1037" s="2">
        <v>0.54254629629629625</v>
      </c>
      <c r="P1037" s="2">
        <v>0.91704861111111113</v>
      </c>
      <c r="Q1037">
        <v>8.98</v>
      </c>
      <c r="R1037">
        <v>8.1</v>
      </c>
      <c r="S1037">
        <v>0.78</v>
      </c>
      <c r="T1037">
        <v>0.27</v>
      </c>
      <c r="U1037">
        <v>0</v>
      </c>
      <c r="V1037">
        <v>0.31</v>
      </c>
      <c r="W1037">
        <v>6.11</v>
      </c>
      <c r="X1037">
        <v>0.57999999999999996</v>
      </c>
      <c r="Y1037">
        <v>0</v>
      </c>
      <c r="Z1037">
        <v>0</v>
      </c>
      <c r="AA1037">
        <v>0</v>
      </c>
      <c r="AB1037">
        <v>0.05</v>
      </c>
      <c r="AC1037">
        <v>8.1</v>
      </c>
      <c r="AD1037">
        <v>9.6300000000000008</v>
      </c>
      <c r="AE1037">
        <v>3.38</v>
      </c>
      <c r="AF1037">
        <v>0</v>
      </c>
      <c r="AG1037">
        <v>3.84</v>
      </c>
      <c r="AH1037">
        <v>75.41</v>
      </c>
      <c r="AI1037">
        <v>7.18</v>
      </c>
      <c r="AJ1037">
        <v>0</v>
      </c>
      <c r="AK1037">
        <v>0</v>
      </c>
      <c r="AL1037">
        <v>0</v>
      </c>
      <c r="AM1037">
        <v>0.56000000000000005</v>
      </c>
      <c r="AN1037">
        <f t="shared" si="49"/>
        <v>2</v>
      </c>
      <c r="AO1037" t="str">
        <f t="shared" si="50"/>
        <v>Monday</v>
      </c>
    </row>
    <row r="1038" spans="1:41" x14ac:dyDescent="0.2">
      <c r="A1038" t="s">
        <v>52</v>
      </c>
      <c r="B1038" s="1">
        <v>45796</v>
      </c>
      <c r="C1038" s="1">
        <f t="shared" si="48"/>
        <v>45808</v>
      </c>
      <c r="D1038">
        <v>25</v>
      </c>
      <c r="E1038">
        <v>58</v>
      </c>
      <c r="F1038">
        <v>4</v>
      </c>
      <c r="G1038">
        <v>7</v>
      </c>
      <c r="H1038">
        <v>8</v>
      </c>
      <c r="I1038">
        <v>0</v>
      </c>
      <c r="J1038">
        <v>0</v>
      </c>
      <c r="K1038">
        <v>30</v>
      </c>
      <c r="L1038" t="s">
        <v>52</v>
      </c>
      <c r="M1038" t="s">
        <v>38</v>
      </c>
      <c r="N1038" s="1">
        <v>45796</v>
      </c>
      <c r="O1038" s="2">
        <v>0.54228009259259258</v>
      </c>
      <c r="P1038" s="2">
        <v>0.91680555555555554</v>
      </c>
      <c r="Q1038">
        <v>9</v>
      </c>
      <c r="R1038">
        <v>8.99</v>
      </c>
      <c r="S1038">
        <v>2.15</v>
      </c>
      <c r="T1038">
        <v>0.22</v>
      </c>
      <c r="U1038">
        <v>0</v>
      </c>
      <c r="V1038">
        <v>0.4</v>
      </c>
      <c r="W1038">
        <v>4.1100000000000003</v>
      </c>
      <c r="X1038">
        <v>1.52</v>
      </c>
      <c r="Y1038">
        <v>0.57999999999999996</v>
      </c>
      <c r="Z1038">
        <v>0</v>
      </c>
      <c r="AA1038">
        <v>0</v>
      </c>
      <c r="AB1038">
        <v>0.01</v>
      </c>
      <c r="AC1038">
        <v>8.99</v>
      </c>
      <c r="AD1038">
        <v>23.95</v>
      </c>
      <c r="AE1038">
        <v>2.4700000000000002</v>
      </c>
      <c r="AF1038">
        <v>0</v>
      </c>
      <c r="AG1038">
        <v>4.45</v>
      </c>
      <c r="AH1038">
        <v>45.72</v>
      </c>
      <c r="AI1038">
        <v>16.920000000000002</v>
      </c>
      <c r="AJ1038">
        <v>6.42</v>
      </c>
      <c r="AK1038">
        <v>0</v>
      </c>
      <c r="AL1038">
        <v>0</v>
      </c>
      <c r="AM1038">
        <v>0.08</v>
      </c>
      <c r="AN1038">
        <f t="shared" si="49"/>
        <v>2</v>
      </c>
      <c r="AO1038" t="str">
        <f t="shared" si="50"/>
        <v>Monday</v>
      </c>
    </row>
    <row r="1039" spans="1:41" x14ac:dyDescent="0.2">
      <c r="A1039" t="s">
        <v>41</v>
      </c>
      <c r="B1039" s="1">
        <v>45796</v>
      </c>
      <c r="C1039" s="1">
        <f t="shared" si="48"/>
        <v>45808</v>
      </c>
      <c r="D1039">
        <v>32</v>
      </c>
      <c r="E1039">
        <v>102</v>
      </c>
      <c r="F1039">
        <v>2</v>
      </c>
      <c r="G1039">
        <v>3</v>
      </c>
      <c r="H1039">
        <v>6</v>
      </c>
      <c r="I1039">
        <v>0</v>
      </c>
      <c r="J1039">
        <v>0</v>
      </c>
      <c r="K1039">
        <v>78</v>
      </c>
      <c r="L1039" t="s">
        <v>41</v>
      </c>
      <c r="M1039" t="s">
        <v>38</v>
      </c>
      <c r="N1039" s="1">
        <v>45796</v>
      </c>
      <c r="O1039" s="2">
        <v>0.54420138888888892</v>
      </c>
      <c r="P1039" s="2">
        <v>0.91759259259259263</v>
      </c>
      <c r="Q1039">
        <v>8.9700000000000006</v>
      </c>
      <c r="R1039">
        <v>8.9600000000000009</v>
      </c>
      <c r="S1039">
        <v>1.26</v>
      </c>
      <c r="T1039">
        <v>0.23</v>
      </c>
      <c r="U1039">
        <v>0</v>
      </c>
      <c r="V1039">
        <v>0.25</v>
      </c>
      <c r="W1039">
        <v>5.74</v>
      </c>
      <c r="X1039">
        <v>1.47</v>
      </c>
      <c r="Y1039">
        <v>0</v>
      </c>
      <c r="Z1039">
        <v>0</v>
      </c>
      <c r="AA1039">
        <v>0</v>
      </c>
      <c r="AB1039">
        <v>0.01</v>
      </c>
      <c r="AC1039">
        <v>8.9600000000000009</v>
      </c>
      <c r="AD1039">
        <v>14.05</v>
      </c>
      <c r="AE1039">
        <v>2.56</v>
      </c>
      <c r="AF1039">
        <v>0</v>
      </c>
      <c r="AG1039">
        <v>2.79</v>
      </c>
      <c r="AH1039">
        <v>64.11</v>
      </c>
      <c r="AI1039">
        <v>16.43</v>
      </c>
      <c r="AJ1039">
        <v>0</v>
      </c>
      <c r="AK1039">
        <v>0</v>
      </c>
      <c r="AL1039">
        <v>0</v>
      </c>
      <c r="AM1039">
        <v>0.06</v>
      </c>
      <c r="AN1039">
        <f t="shared" si="49"/>
        <v>2</v>
      </c>
      <c r="AO1039" t="str">
        <f t="shared" si="50"/>
        <v>Monday</v>
      </c>
    </row>
    <row r="1040" spans="1:41" x14ac:dyDescent="0.2">
      <c r="A1040" t="s">
        <v>42</v>
      </c>
      <c r="B1040" s="1">
        <v>45796</v>
      </c>
      <c r="C1040" s="1">
        <f t="shared" si="48"/>
        <v>45808</v>
      </c>
      <c r="D1040">
        <v>1</v>
      </c>
      <c r="E1040">
        <v>3</v>
      </c>
      <c r="F1040">
        <v>0</v>
      </c>
      <c r="G1040">
        <v>0</v>
      </c>
      <c r="H1040">
        <v>1</v>
      </c>
      <c r="I1040">
        <v>0</v>
      </c>
      <c r="J1040">
        <v>0</v>
      </c>
      <c r="K1040">
        <v>0</v>
      </c>
      <c r="L1040" t="s">
        <v>42</v>
      </c>
      <c r="M1040" t="s">
        <v>38</v>
      </c>
      <c r="N1040" s="1">
        <v>45796</v>
      </c>
      <c r="O1040" s="2">
        <v>0.84667824074074072</v>
      </c>
      <c r="P1040" s="2">
        <v>0.86745370370370367</v>
      </c>
      <c r="Q1040">
        <v>0.5</v>
      </c>
      <c r="R1040">
        <v>0.5</v>
      </c>
      <c r="S1040">
        <v>0.48</v>
      </c>
      <c r="T1040">
        <v>0</v>
      </c>
      <c r="U1040">
        <v>0</v>
      </c>
      <c r="V1040">
        <v>0.01</v>
      </c>
      <c r="W1040">
        <v>0</v>
      </c>
      <c r="X1040">
        <v>0</v>
      </c>
      <c r="Y1040">
        <v>0</v>
      </c>
      <c r="Z1040">
        <v>0</v>
      </c>
      <c r="AA1040">
        <v>0</v>
      </c>
      <c r="AB1040">
        <v>0.01</v>
      </c>
      <c r="AC1040">
        <v>0.5</v>
      </c>
      <c r="AD1040">
        <v>96.1</v>
      </c>
      <c r="AE1040">
        <v>0.5</v>
      </c>
      <c r="AF1040">
        <v>0</v>
      </c>
      <c r="AG1040">
        <v>1.9</v>
      </c>
      <c r="AH1040">
        <v>0</v>
      </c>
      <c r="AI1040">
        <v>0</v>
      </c>
      <c r="AJ1040">
        <v>0</v>
      </c>
      <c r="AK1040">
        <v>0</v>
      </c>
      <c r="AL1040">
        <v>0</v>
      </c>
      <c r="AM1040">
        <v>1.51</v>
      </c>
      <c r="AN1040">
        <f t="shared" si="49"/>
        <v>2</v>
      </c>
      <c r="AO1040" t="str">
        <f t="shared" si="50"/>
        <v>Monday</v>
      </c>
    </row>
    <row r="1041" spans="1:41" x14ac:dyDescent="0.2">
      <c r="A1041" t="s">
        <v>43</v>
      </c>
      <c r="B1041" s="1">
        <v>45796</v>
      </c>
      <c r="C1041" s="1">
        <f t="shared" si="48"/>
        <v>45808</v>
      </c>
      <c r="D1041">
        <v>23</v>
      </c>
      <c r="E1041">
        <v>75</v>
      </c>
      <c r="F1041">
        <v>12</v>
      </c>
      <c r="G1041">
        <v>2</v>
      </c>
      <c r="H1041">
        <v>14</v>
      </c>
      <c r="I1041">
        <v>0</v>
      </c>
      <c r="J1041">
        <v>1</v>
      </c>
      <c r="K1041">
        <v>34</v>
      </c>
      <c r="L1041" t="s">
        <v>43</v>
      </c>
      <c r="M1041" t="s">
        <v>38</v>
      </c>
      <c r="N1041" s="1">
        <v>45796</v>
      </c>
      <c r="O1041" s="2">
        <v>0.54178240740740746</v>
      </c>
      <c r="P1041" s="2">
        <v>0.91744212962962968</v>
      </c>
      <c r="Q1041">
        <v>9.02</v>
      </c>
      <c r="R1041">
        <v>9.02</v>
      </c>
      <c r="S1041">
        <v>1.82</v>
      </c>
      <c r="T1041">
        <v>0.27</v>
      </c>
      <c r="U1041">
        <v>0</v>
      </c>
      <c r="V1041">
        <v>0.36</v>
      </c>
      <c r="W1041">
        <v>5.09</v>
      </c>
      <c r="X1041">
        <v>1.47</v>
      </c>
      <c r="Y1041">
        <v>0</v>
      </c>
      <c r="Z1041">
        <v>0</v>
      </c>
      <c r="AA1041">
        <v>0</v>
      </c>
      <c r="AB1041">
        <v>0</v>
      </c>
      <c r="AC1041">
        <v>9.02</v>
      </c>
      <c r="AD1041">
        <v>20.239999999999998</v>
      </c>
      <c r="AE1041">
        <v>2.95</v>
      </c>
      <c r="AF1041">
        <v>0</v>
      </c>
      <c r="AG1041">
        <v>3.98</v>
      </c>
      <c r="AH1041">
        <v>56.47</v>
      </c>
      <c r="AI1041">
        <v>16.309999999999999</v>
      </c>
      <c r="AJ1041">
        <v>0</v>
      </c>
      <c r="AK1041">
        <v>0</v>
      </c>
      <c r="AL1041">
        <v>0</v>
      </c>
      <c r="AM1041">
        <v>0.04</v>
      </c>
      <c r="AN1041">
        <f t="shared" si="49"/>
        <v>2</v>
      </c>
      <c r="AO1041" t="str">
        <f t="shared" si="50"/>
        <v>Monday</v>
      </c>
    </row>
    <row r="1042" spans="1:41" x14ac:dyDescent="0.2">
      <c r="B1042" s="1">
        <v>45796</v>
      </c>
      <c r="C1042" s="1">
        <f t="shared" si="48"/>
        <v>45808</v>
      </c>
      <c r="D1042">
        <v>562</v>
      </c>
      <c r="E1042">
        <v>0</v>
      </c>
      <c r="F1042">
        <v>0</v>
      </c>
      <c r="G1042">
        <v>0</v>
      </c>
      <c r="H1042">
        <v>0</v>
      </c>
      <c r="I1042">
        <v>0</v>
      </c>
      <c r="J1042">
        <v>0</v>
      </c>
      <c r="K1042">
        <v>0</v>
      </c>
      <c r="AN1042">
        <f t="shared" si="49"/>
        <v>2</v>
      </c>
      <c r="AO1042" t="str">
        <f t="shared" si="50"/>
        <v>Monday</v>
      </c>
    </row>
    <row r="1043" spans="1:41" x14ac:dyDescent="0.2">
      <c r="A1043" t="s">
        <v>53</v>
      </c>
      <c r="B1043" s="1">
        <v>45793</v>
      </c>
      <c r="C1043" s="1">
        <f t="shared" si="48"/>
        <v>45808</v>
      </c>
      <c r="D1043">
        <v>26</v>
      </c>
      <c r="E1043">
        <v>61</v>
      </c>
      <c r="F1043">
        <v>1</v>
      </c>
      <c r="G1043">
        <v>3</v>
      </c>
      <c r="H1043">
        <v>8</v>
      </c>
      <c r="I1043">
        <v>0</v>
      </c>
      <c r="J1043">
        <v>0</v>
      </c>
      <c r="K1043">
        <v>41</v>
      </c>
      <c r="L1043" t="s">
        <v>53</v>
      </c>
      <c r="M1043" t="s">
        <v>38</v>
      </c>
      <c r="N1043" s="1">
        <v>45793</v>
      </c>
      <c r="O1043" s="2">
        <v>0.54193287037037041</v>
      </c>
      <c r="P1043" s="2">
        <v>0.91680555555555554</v>
      </c>
      <c r="Q1043">
        <v>9</v>
      </c>
      <c r="R1043">
        <v>9</v>
      </c>
      <c r="S1043">
        <v>1.5</v>
      </c>
      <c r="T1043">
        <v>0</v>
      </c>
      <c r="U1043">
        <v>0</v>
      </c>
      <c r="V1043">
        <v>0.23</v>
      </c>
      <c r="W1043">
        <v>5.51</v>
      </c>
      <c r="X1043">
        <v>1.39</v>
      </c>
      <c r="Y1043">
        <v>0.36</v>
      </c>
      <c r="Z1043">
        <v>0</v>
      </c>
      <c r="AA1043">
        <v>0</v>
      </c>
      <c r="AB1043">
        <v>0</v>
      </c>
      <c r="AC1043">
        <v>9</v>
      </c>
      <c r="AD1043">
        <v>16.670000000000002</v>
      </c>
      <c r="AE1043">
        <v>0</v>
      </c>
      <c r="AF1043">
        <v>0</v>
      </c>
      <c r="AG1043">
        <v>2.52</v>
      </c>
      <c r="AH1043">
        <v>61.28</v>
      </c>
      <c r="AI1043">
        <v>15.5</v>
      </c>
      <c r="AJ1043">
        <v>3.98</v>
      </c>
      <c r="AK1043">
        <v>0</v>
      </c>
      <c r="AL1043">
        <v>0</v>
      </c>
      <c r="AM1043">
        <v>0.05</v>
      </c>
      <c r="AN1043">
        <f t="shared" si="49"/>
        <v>6</v>
      </c>
      <c r="AO1043" t="str">
        <f t="shared" si="50"/>
        <v>Friday</v>
      </c>
    </row>
    <row r="1044" spans="1:41" x14ac:dyDescent="0.2">
      <c r="A1044" t="s">
        <v>37</v>
      </c>
      <c r="B1044" s="1">
        <v>45793</v>
      </c>
      <c r="C1044" s="1">
        <f t="shared" si="48"/>
        <v>45808</v>
      </c>
      <c r="D1044">
        <v>34</v>
      </c>
      <c r="E1044">
        <v>71</v>
      </c>
      <c r="F1044">
        <v>5</v>
      </c>
      <c r="G1044">
        <v>3</v>
      </c>
      <c r="H1044">
        <v>6</v>
      </c>
      <c r="I1044">
        <v>0</v>
      </c>
      <c r="J1044">
        <v>0</v>
      </c>
      <c r="K1044">
        <v>41</v>
      </c>
      <c r="L1044" t="s">
        <v>37</v>
      </c>
      <c r="M1044" t="s">
        <v>38</v>
      </c>
      <c r="N1044" s="1">
        <v>45793</v>
      </c>
      <c r="O1044" s="2">
        <v>0.54159722222222217</v>
      </c>
      <c r="P1044" s="2">
        <v>0.91680555555555554</v>
      </c>
      <c r="Q1044">
        <v>9.02</v>
      </c>
      <c r="R1044">
        <v>8.16</v>
      </c>
      <c r="S1044">
        <v>1.4</v>
      </c>
      <c r="T1044">
        <v>0.17</v>
      </c>
      <c r="U1044">
        <v>0</v>
      </c>
      <c r="V1044">
        <v>0.37</v>
      </c>
      <c r="W1044">
        <v>5.09</v>
      </c>
      <c r="X1044">
        <v>0.68</v>
      </c>
      <c r="Y1044">
        <v>0.44</v>
      </c>
      <c r="Z1044">
        <v>0</v>
      </c>
      <c r="AA1044">
        <v>0</v>
      </c>
      <c r="AB1044">
        <v>0.02</v>
      </c>
      <c r="AC1044">
        <v>8.16</v>
      </c>
      <c r="AD1044">
        <v>17.190000000000001</v>
      </c>
      <c r="AE1044">
        <v>2.0699999999999998</v>
      </c>
      <c r="AF1044">
        <v>0</v>
      </c>
      <c r="AG1044">
        <v>4.51</v>
      </c>
      <c r="AH1044">
        <v>62.31</v>
      </c>
      <c r="AI1044">
        <v>8.31</v>
      </c>
      <c r="AJ1044">
        <v>5.41</v>
      </c>
      <c r="AK1044">
        <v>0</v>
      </c>
      <c r="AL1044">
        <v>0</v>
      </c>
      <c r="AM1044">
        <v>0.2</v>
      </c>
      <c r="AN1044">
        <f t="shared" si="49"/>
        <v>6</v>
      </c>
      <c r="AO1044" t="str">
        <f t="shared" si="50"/>
        <v>Friday</v>
      </c>
    </row>
    <row r="1045" spans="1:41" x14ac:dyDescent="0.2">
      <c r="A1045" t="s">
        <v>41</v>
      </c>
      <c r="B1045" s="1">
        <v>45793</v>
      </c>
      <c r="C1045" s="1">
        <f t="shared" si="48"/>
        <v>45808</v>
      </c>
      <c r="D1045">
        <v>41</v>
      </c>
      <c r="E1045">
        <v>116</v>
      </c>
      <c r="F1045">
        <v>8</v>
      </c>
      <c r="G1045">
        <v>0</v>
      </c>
      <c r="H1045">
        <v>4</v>
      </c>
      <c r="I1045">
        <v>0</v>
      </c>
      <c r="J1045">
        <v>1</v>
      </c>
      <c r="K1045">
        <v>81</v>
      </c>
      <c r="L1045" t="s">
        <v>41</v>
      </c>
      <c r="M1045" t="s">
        <v>38</v>
      </c>
      <c r="N1045" s="1">
        <v>45793</v>
      </c>
      <c r="O1045" s="2">
        <v>0.54392361111111109</v>
      </c>
      <c r="P1045" s="2">
        <v>0.91628472222222224</v>
      </c>
      <c r="Q1045">
        <v>8.93</v>
      </c>
      <c r="R1045">
        <v>8.84</v>
      </c>
      <c r="S1045">
        <v>0.69</v>
      </c>
      <c r="T1045">
        <v>7.0000000000000007E-2</v>
      </c>
      <c r="U1045">
        <v>0</v>
      </c>
      <c r="V1045">
        <v>0.26</v>
      </c>
      <c r="W1045">
        <v>6.11</v>
      </c>
      <c r="X1045">
        <v>1.68</v>
      </c>
      <c r="Y1045">
        <v>0</v>
      </c>
      <c r="Z1045">
        <v>0</v>
      </c>
      <c r="AA1045">
        <v>0</v>
      </c>
      <c r="AB1045">
        <v>0.04</v>
      </c>
      <c r="AC1045">
        <v>8.84</v>
      </c>
      <c r="AD1045">
        <v>7.76</v>
      </c>
      <c r="AE1045">
        <v>0.82</v>
      </c>
      <c r="AF1045">
        <v>0</v>
      </c>
      <c r="AG1045">
        <v>2.89</v>
      </c>
      <c r="AH1045">
        <v>69.08</v>
      </c>
      <c r="AI1045">
        <v>19.05</v>
      </c>
      <c r="AJ1045">
        <v>0</v>
      </c>
      <c r="AK1045">
        <v>0</v>
      </c>
      <c r="AL1045">
        <v>0</v>
      </c>
      <c r="AM1045">
        <v>0.4</v>
      </c>
      <c r="AN1045">
        <f t="shared" si="49"/>
        <v>6</v>
      </c>
      <c r="AO1045" t="str">
        <f t="shared" si="50"/>
        <v>Friday</v>
      </c>
    </row>
    <row r="1046" spans="1:41" x14ac:dyDescent="0.2">
      <c r="A1046" t="s">
        <v>43</v>
      </c>
      <c r="B1046" s="1">
        <v>45793</v>
      </c>
      <c r="C1046" s="1">
        <f t="shared" si="48"/>
        <v>45808</v>
      </c>
      <c r="D1046">
        <v>21</v>
      </c>
      <c r="E1046">
        <v>48</v>
      </c>
      <c r="F1046">
        <v>3</v>
      </c>
      <c r="G1046">
        <v>1</v>
      </c>
      <c r="H1046">
        <v>12</v>
      </c>
      <c r="I1046">
        <v>0</v>
      </c>
      <c r="J1046">
        <v>0</v>
      </c>
      <c r="K1046">
        <v>24</v>
      </c>
      <c r="L1046" t="s">
        <v>43</v>
      </c>
      <c r="M1046" t="s">
        <v>38</v>
      </c>
      <c r="N1046" s="1">
        <v>45793</v>
      </c>
      <c r="O1046" s="2">
        <v>0.54216435185185186</v>
      </c>
      <c r="P1046" s="2">
        <v>0.91811342592592593</v>
      </c>
      <c r="Q1046">
        <v>9.0299999999999994</v>
      </c>
      <c r="R1046">
        <v>9.02</v>
      </c>
      <c r="S1046">
        <v>1.42</v>
      </c>
      <c r="T1046">
        <v>0.15</v>
      </c>
      <c r="U1046">
        <v>0</v>
      </c>
      <c r="V1046">
        <v>0.46</v>
      </c>
      <c r="W1046">
        <v>5.0199999999999996</v>
      </c>
      <c r="X1046">
        <v>1.97</v>
      </c>
      <c r="Y1046">
        <v>0</v>
      </c>
      <c r="Z1046">
        <v>0</v>
      </c>
      <c r="AA1046">
        <v>0</v>
      </c>
      <c r="AB1046">
        <v>0</v>
      </c>
      <c r="AC1046">
        <v>9.02</v>
      </c>
      <c r="AD1046">
        <v>15.75</v>
      </c>
      <c r="AE1046">
        <v>1.65</v>
      </c>
      <c r="AF1046">
        <v>0</v>
      </c>
      <c r="AG1046">
        <v>5.07</v>
      </c>
      <c r="AH1046">
        <v>55.62</v>
      </c>
      <c r="AI1046">
        <v>21.87</v>
      </c>
      <c r="AJ1046">
        <v>0</v>
      </c>
      <c r="AK1046">
        <v>0</v>
      </c>
      <c r="AL1046">
        <v>0</v>
      </c>
      <c r="AM1046">
        <v>0.04</v>
      </c>
      <c r="AN1046">
        <f t="shared" si="49"/>
        <v>6</v>
      </c>
      <c r="AO1046" t="str">
        <f t="shared" si="50"/>
        <v>Friday</v>
      </c>
    </row>
    <row r="1047" spans="1:41" x14ac:dyDescent="0.2">
      <c r="B1047" s="1">
        <v>45793</v>
      </c>
      <c r="C1047" s="1">
        <f t="shared" si="48"/>
        <v>45808</v>
      </c>
      <c r="D1047">
        <v>587</v>
      </c>
      <c r="E1047">
        <v>0</v>
      </c>
      <c r="F1047">
        <v>0</v>
      </c>
      <c r="G1047">
        <v>0</v>
      </c>
      <c r="H1047">
        <v>0</v>
      </c>
      <c r="I1047">
        <v>0</v>
      </c>
      <c r="J1047">
        <v>0</v>
      </c>
      <c r="K1047">
        <v>0</v>
      </c>
      <c r="AN1047">
        <f t="shared" si="49"/>
        <v>6</v>
      </c>
      <c r="AO1047" t="str">
        <f t="shared" si="50"/>
        <v>Friday</v>
      </c>
    </row>
    <row r="1048" spans="1:41" x14ac:dyDescent="0.2">
      <c r="A1048" t="s">
        <v>53</v>
      </c>
      <c r="B1048" s="1">
        <v>45792</v>
      </c>
      <c r="C1048" s="1">
        <f t="shared" si="48"/>
        <v>45808</v>
      </c>
      <c r="D1048">
        <v>31</v>
      </c>
      <c r="E1048">
        <v>75</v>
      </c>
      <c r="F1048">
        <v>7</v>
      </c>
      <c r="G1048">
        <v>0</v>
      </c>
      <c r="H1048">
        <v>2</v>
      </c>
      <c r="I1048">
        <v>0</v>
      </c>
      <c r="J1048">
        <v>0</v>
      </c>
      <c r="K1048">
        <v>47</v>
      </c>
      <c r="L1048" t="s">
        <v>53</v>
      </c>
      <c r="M1048" t="s">
        <v>38</v>
      </c>
      <c r="N1048" s="1">
        <v>45792</v>
      </c>
      <c r="O1048" s="2">
        <v>0.54234953703703703</v>
      </c>
      <c r="P1048" s="2">
        <v>0.91870370370370369</v>
      </c>
      <c r="Q1048">
        <v>9.0299999999999994</v>
      </c>
      <c r="R1048">
        <v>9.0299999999999994</v>
      </c>
      <c r="S1048">
        <v>1.06</v>
      </c>
      <c r="T1048">
        <v>0</v>
      </c>
      <c r="U1048">
        <v>0</v>
      </c>
      <c r="V1048">
        <v>0.21</v>
      </c>
      <c r="W1048">
        <v>6.06</v>
      </c>
      <c r="X1048">
        <v>1.69</v>
      </c>
      <c r="Y1048">
        <v>0.01</v>
      </c>
      <c r="Z1048">
        <v>0</v>
      </c>
      <c r="AA1048">
        <v>0</v>
      </c>
      <c r="AB1048">
        <v>0</v>
      </c>
      <c r="AC1048">
        <v>9.0299999999999994</v>
      </c>
      <c r="AD1048">
        <v>11.7</v>
      </c>
      <c r="AE1048">
        <v>0</v>
      </c>
      <c r="AF1048">
        <v>0</v>
      </c>
      <c r="AG1048">
        <v>2.35</v>
      </c>
      <c r="AH1048">
        <v>67.069999999999993</v>
      </c>
      <c r="AI1048">
        <v>18.72</v>
      </c>
      <c r="AJ1048">
        <v>0.12</v>
      </c>
      <c r="AK1048">
        <v>0</v>
      </c>
      <c r="AL1048">
        <v>0</v>
      </c>
      <c r="AM1048">
        <v>0.04</v>
      </c>
      <c r="AN1048">
        <f t="shared" si="49"/>
        <v>5</v>
      </c>
      <c r="AO1048" t="str">
        <f t="shared" si="50"/>
        <v>Thursday</v>
      </c>
    </row>
    <row r="1049" spans="1:41" x14ac:dyDescent="0.2">
      <c r="A1049" t="s">
        <v>37</v>
      </c>
      <c r="B1049" s="1">
        <v>45792</v>
      </c>
      <c r="C1049" s="1">
        <f t="shared" si="48"/>
        <v>45808</v>
      </c>
      <c r="D1049">
        <v>31</v>
      </c>
      <c r="E1049">
        <v>75</v>
      </c>
      <c r="F1049">
        <v>3</v>
      </c>
      <c r="G1049">
        <v>0</v>
      </c>
      <c r="H1049">
        <v>2</v>
      </c>
      <c r="I1049">
        <v>0</v>
      </c>
      <c r="J1049">
        <v>0</v>
      </c>
      <c r="K1049">
        <v>47</v>
      </c>
      <c r="L1049" t="s">
        <v>37</v>
      </c>
      <c r="M1049" t="s">
        <v>38</v>
      </c>
      <c r="N1049" s="1">
        <v>45792</v>
      </c>
      <c r="O1049" s="2">
        <v>0.54293981481481479</v>
      </c>
      <c r="P1049" s="2">
        <v>0.91702546296296295</v>
      </c>
      <c r="Q1049">
        <v>8.98</v>
      </c>
      <c r="R1049">
        <v>8.19</v>
      </c>
      <c r="S1049">
        <v>0.55000000000000004</v>
      </c>
      <c r="T1049">
        <v>0.19</v>
      </c>
      <c r="U1049">
        <v>0</v>
      </c>
      <c r="V1049">
        <v>0.16</v>
      </c>
      <c r="W1049">
        <v>6.58</v>
      </c>
      <c r="X1049">
        <v>0.71</v>
      </c>
      <c r="Y1049">
        <v>0</v>
      </c>
      <c r="Z1049">
        <v>0</v>
      </c>
      <c r="AA1049">
        <v>0</v>
      </c>
      <c r="AB1049">
        <v>0.01</v>
      </c>
      <c r="AC1049">
        <v>8.19</v>
      </c>
      <c r="AD1049">
        <v>6.69</v>
      </c>
      <c r="AE1049">
        <v>2.27</v>
      </c>
      <c r="AF1049">
        <v>0</v>
      </c>
      <c r="AG1049">
        <v>1.92</v>
      </c>
      <c r="AH1049">
        <v>80.319999999999993</v>
      </c>
      <c r="AI1049">
        <v>8.65</v>
      </c>
      <c r="AJ1049">
        <v>0</v>
      </c>
      <c r="AK1049">
        <v>0</v>
      </c>
      <c r="AL1049">
        <v>0</v>
      </c>
      <c r="AM1049">
        <v>0.15</v>
      </c>
      <c r="AN1049">
        <f t="shared" si="49"/>
        <v>5</v>
      </c>
      <c r="AO1049" t="str">
        <f t="shared" si="50"/>
        <v>Thursday</v>
      </c>
    </row>
    <row r="1050" spans="1:41" x14ac:dyDescent="0.2">
      <c r="A1050" t="s">
        <v>41</v>
      </c>
      <c r="B1050" s="1">
        <v>45792</v>
      </c>
      <c r="C1050" s="1">
        <f t="shared" si="48"/>
        <v>45808</v>
      </c>
      <c r="D1050">
        <v>27</v>
      </c>
      <c r="E1050">
        <v>55</v>
      </c>
      <c r="F1050">
        <v>0</v>
      </c>
      <c r="G1050">
        <v>5</v>
      </c>
      <c r="H1050">
        <v>4</v>
      </c>
      <c r="I1050">
        <v>0</v>
      </c>
      <c r="J1050">
        <v>0</v>
      </c>
      <c r="K1050">
        <v>34</v>
      </c>
      <c r="L1050" t="s">
        <v>41</v>
      </c>
      <c r="M1050" t="s">
        <v>38</v>
      </c>
      <c r="N1050" s="1">
        <v>45792</v>
      </c>
      <c r="O1050" s="2">
        <v>0.54488425925925921</v>
      </c>
      <c r="P1050" s="2">
        <v>0.91644675925925922</v>
      </c>
      <c r="Q1050">
        <v>8.92</v>
      </c>
      <c r="R1050">
        <v>8.92</v>
      </c>
      <c r="S1050">
        <v>0.86</v>
      </c>
      <c r="T1050">
        <v>0.06</v>
      </c>
      <c r="U1050">
        <v>0</v>
      </c>
      <c r="V1050">
        <v>0.14000000000000001</v>
      </c>
      <c r="W1050">
        <v>6.41</v>
      </c>
      <c r="X1050">
        <v>1.44</v>
      </c>
      <c r="Y1050">
        <v>0</v>
      </c>
      <c r="Z1050">
        <v>0</v>
      </c>
      <c r="AA1050">
        <v>0</v>
      </c>
      <c r="AB1050">
        <v>0</v>
      </c>
      <c r="AC1050">
        <v>8.92</v>
      </c>
      <c r="AD1050">
        <v>9.67</v>
      </c>
      <c r="AE1050">
        <v>0.72</v>
      </c>
      <c r="AF1050">
        <v>0</v>
      </c>
      <c r="AG1050">
        <v>1.54</v>
      </c>
      <c r="AH1050">
        <v>71.819999999999993</v>
      </c>
      <c r="AI1050">
        <v>16.190000000000001</v>
      </c>
      <c r="AJ1050">
        <v>0</v>
      </c>
      <c r="AK1050">
        <v>0</v>
      </c>
      <c r="AL1050">
        <v>0</v>
      </c>
      <c r="AM1050">
        <v>0.05</v>
      </c>
      <c r="AN1050">
        <f t="shared" si="49"/>
        <v>5</v>
      </c>
      <c r="AO1050" t="str">
        <f t="shared" si="50"/>
        <v>Thursday</v>
      </c>
    </row>
    <row r="1051" spans="1:41" x14ac:dyDescent="0.2">
      <c r="A1051" t="s">
        <v>43</v>
      </c>
      <c r="B1051" s="1">
        <v>45792</v>
      </c>
      <c r="C1051" s="1">
        <f t="shared" si="48"/>
        <v>45808</v>
      </c>
      <c r="D1051">
        <v>31</v>
      </c>
      <c r="E1051">
        <v>85</v>
      </c>
      <c r="F1051">
        <v>3</v>
      </c>
      <c r="G1051">
        <v>3</v>
      </c>
      <c r="H1051">
        <v>9</v>
      </c>
      <c r="I1051">
        <v>2</v>
      </c>
      <c r="J1051">
        <v>0</v>
      </c>
      <c r="K1051">
        <v>53</v>
      </c>
      <c r="L1051" t="s">
        <v>43</v>
      </c>
      <c r="M1051" t="s">
        <v>38</v>
      </c>
      <c r="N1051" s="1">
        <v>45792</v>
      </c>
      <c r="O1051" s="2">
        <v>0.54129629629629628</v>
      </c>
      <c r="P1051" s="2">
        <v>0.91802083333333329</v>
      </c>
      <c r="Q1051">
        <v>9.0299999999999994</v>
      </c>
      <c r="R1051">
        <v>9.0399999999999991</v>
      </c>
      <c r="S1051">
        <v>1.27</v>
      </c>
      <c r="T1051">
        <v>0.31</v>
      </c>
      <c r="U1051">
        <v>0</v>
      </c>
      <c r="V1051">
        <v>0.42</v>
      </c>
      <c r="W1051">
        <v>5.6</v>
      </c>
      <c r="X1051">
        <v>1.44</v>
      </c>
      <c r="Y1051">
        <v>0</v>
      </c>
      <c r="Z1051">
        <v>0</v>
      </c>
      <c r="AA1051">
        <v>0</v>
      </c>
      <c r="AB1051">
        <v>0</v>
      </c>
      <c r="AC1051">
        <v>9.0399999999999991</v>
      </c>
      <c r="AD1051">
        <v>14.07</v>
      </c>
      <c r="AE1051">
        <v>3.38</v>
      </c>
      <c r="AF1051">
        <v>0</v>
      </c>
      <c r="AG1051">
        <v>4.66</v>
      </c>
      <c r="AH1051">
        <v>61.93</v>
      </c>
      <c r="AI1051">
        <v>15.92</v>
      </c>
      <c r="AJ1051">
        <v>0</v>
      </c>
      <c r="AK1051">
        <v>0</v>
      </c>
      <c r="AL1051">
        <v>0</v>
      </c>
      <c r="AM1051">
        <v>0.04</v>
      </c>
      <c r="AN1051">
        <f t="shared" si="49"/>
        <v>5</v>
      </c>
      <c r="AO1051" t="str">
        <f t="shared" si="50"/>
        <v>Thursday</v>
      </c>
    </row>
    <row r="1052" spans="1:41" x14ac:dyDescent="0.2">
      <c r="A1052" t="s">
        <v>46</v>
      </c>
      <c r="B1052" s="1">
        <v>45792</v>
      </c>
      <c r="C1052" s="1">
        <f t="shared" si="48"/>
        <v>45808</v>
      </c>
      <c r="D1052">
        <v>1</v>
      </c>
      <c r="E1052">
        <v>1</v>
      </c>
      <c r="F1052">
        <v>0</v>
      </c>
      <c r="G1052">
        <v>0</v>
      </c>
      <c r="H1052">
        <v>0</v>
      </c>
      <c r="I1052">
        <v>0</v>
      </c>
      <c r="J1052">
        <v>0</v>
      </c>
      <c r="K1052">
        <v>0</v>
      </c>
      <c r="AN1052">
        <f t="shared" si="49"/>
        <v>5</v>
      </c>
      <c r="AO1052" t="str">
        <f t="shared" si="50"/>
        <v>Thursday</v>
      </c>
    </row>
    <row r="1053" spans="1:41" x14ac:dyDescent="0.2">
      <c r="B1053" s="1">
        <v>45792</v>
      </c>
      <c r="C1053" s="1">
        <f t="shared" si="48"/>
        <v>45808</v>
      </c>
      <c r="D1053">
        <v>597</v>
      </c>
      <c r="E1053">
        <v>0</v>
      </c>
      <c r="F1053">
        <v>0</v>
      </c>
      <c r="G1053">
        <v>0</v>
      </c>
      <c r="H1053">
        <v>0</v>
      </c>
      <c r="I1053">
        <v>0</v>
      </c>
      <c r="J1053">
        <v>0</v>
      </c>
      <c r="K1053">
        <v>0</v>
      </c>
      <c r="AN1053">
        <f t="shared" si="49"/>
        <v>5</v>
      </c>
      <c r="AO1053" t="str">
        <f t="shared" si="50"/>
        <v>Thursday</v>
      </c>
    </row>
    <row r="1054" spans="1:41" x14ac:dyDescent="0.2">
      <c r="A1054" t="s">
        <v>53</v>
      </c>
      <c r="B1054" s="1">
        <v>45791</v>
      </c>
      <c r="C1054" s="1">
        <f t="shared" si="48"/>
        <v>45808</v>
      </c>
      <c r="D1054">
        <v>23</v>
      </c>
      <c r="E1054">
        <v>66</v>
      </c>
      <c r="F1054">
        <v>0</v>
      </c>
      <c r="G1054">
        <v>1</v>
      </c>
      <c r="H1054">
        <v>5</v>
      </c>
      <c r="I1054">
        <v>0</v>
      </c>
      <c r="J1054">
        <v>0</v>
      </c>
      <c r="K1054">
        <v>38</v>
      </c>
      <c r="L1054" t="s">
        <v>53</v>
      </c>
      <c r="M1054" t="s">
        <v>38</v>
      </c>
      <c r="N1054" s="1">
        <v>45791</v>
      </c>
      <c r="O1054" s="2">
        <v>0.54393518518518513</v>
      </c>
      <c r="P1054" s="2">
        <v>0.91673611111111108</v>
      </c>
      <c r="Q1054">
        <v>8.9499999999999993</v>
      </c>
      <c r="R1054">
        <v>8.9499999999999993</v>
      </c>
      <c r="S1054">
        <v>0.37</v>
      </c>
      <c r="T1054">
        <v>0</v>
      </c>
      <c r="U1054">
        <v>0</v>
      </c>
      <c r="V1054">
        <v>0.18</v>
      </c>
      <c r="W1054">
        <v>6.97</v>
      </c>
      <c r="X1054">
        <v>1.42</v>
      </c>
      <c r="Y1054">
        <v>0</v>
      </c>
      <c r="Z1054">
        <v>0</v>
      </c>
      <c r="AA1054">
        <v>0</v>
      </c>
      <c r="AB1054">
        <v>0</v>
      </c>
      <c r="AC1054">
        <v>8.9499999999999993</v>
      </c>
      <c r="AD1054">
        <v>4.16</v>
      </c>
      <c r="AE1054">
        <v>0</v>
      </c>
      <c r="AF1054">
        <v>0</v>
      </c>
      <c r="AG1054">
        <v>2.02</v>
      </c>
      <c r="AH1054">
        <v>77.91</v>
      </c>
      <c r="AI1054">
        <v>15.86</v>
      </c>
      <c r="AJ1054">
        <v>0</v>
      </c>
      <c r="AK1054">
        <v>0</v>
      </c>
      <c r="AL1054">
        <v>0</v>
      </c>
      <c r="AM1054">
        <v>0.05</v>
      </c>
      <c r="AN1054">
        <f t="shared" si="49"/>
        <v>4</v>
      </c>
      <c r="AO1054" t="str">
        <f t="shared" si="50"/>
        <v>Wednesday</v>
      </c>
    </row>
    <row r="1055" spans="1:41" x14ac:dyDescent="0.2">
      <c r="A1055" t="s">
        <v>37</v>
      </c>
      <c r="B1055" s="1">
        <v>45791</v>
      </c>
      <c r="C1055" s="1">
        <f t="shared" si="48"/>
        <v>45808</v>
      </c>
      <c r="D1055">
        <v>24</v>
      </c>
      <c r="E1055">
        <v>72</v>
      </c>
      <c r="F1055">
        <v>0</v>
      </c>
      <c r="G1055">
        <v>3</v>
      </c>
      <c r="H1055">
        <v>11</v>
      </c>
      <c r="I1055">
        <v>0</v>
      </c>
      <c r="J1055">
        <v>0</v>
      </c>
      <c r="K1055">
        <v>44</v>
      </c>
      <c r="L1055" t="s">
        <v>37</v>
      </c>
      <c r="M1055" t="s">
        <v>38</v>
      </c>
      <c r="N1055" s="1">
        <v>45791</v>
      </c>
      <c r="O1055" s="2">
        <v>0.54266203703703708</v>
      </c>
      <c r="P1055" s="2">
        <v>0.916875</v>
      </c>
      <c r="Q1055">
        <v>8.98</v>
      </c>
      <c r="R1055">
        <v>8.08</v>
      </c>
      <c r="S1055">
        <v>1.44</v>
      </c>
      <c r="T1055">
        <v>0.26</v>
      </c>
      <c r="U1055">
        <v>0</v>
      </c>
      <c r="V1055">
        <v>0.26</v>
      </c>
      <c r="W1055">
        <v>5.49</v>
      </c>
      <c r="X1055">
        <v>0.62</v>
      </c>
      <c r="Y1055">
        <v>0</v>
      </c>
      <c r="Z1055">
        <v>0</v>
      </c>
      <c r="AA1055">
        <v>0</v>
      </c>
      <c r="AB1055">
        <v>0.01</v>
      </c>
      <c r="AC1055">
        <v>8.08</v>
      </c>
      <c r="AD1055">
        <v>17.809999999999999</v>
      </c>
      <c r="AE1055">
        <v>3.23</v>
      </c>
      <c r="AF1055">
        <v>0</v>
      </c>
      <c r="AG1055">
        <v>3.2</v>
      </c>
      <c r="AH1055">
        <v>67.900000000000006</v>
      </c>
      <c r="AI1055">
        <v>7.73</v>
      </c>
      <c r="AJ1055">
        <v>0</v>
      </c>
      <c r="AK1055">
        <v>0</v>
      </c>
      <c r="AL1055">
        <v>0</v>
      </c>
      <c r="AM1055">
        <v>0.14000000000000001</v>
      </c>
      <c r="AN1055">
        <f t="shared" si="49"/>
        <v>4</v>
      </c>
      <c r="AO1055" t="str">
        <f t="shared" si="50"/>
        <v>Wednesday</v>
      </c>
    </row>
    <row r="1056" spans="1:41" x14ac:dyDescent="0.2">
      <c r="A1056" t="s">
        <v>52</v>
      </c>
      <c r="B1056" s="1">
        <v>45791</v>
      </c>
      <c r="C1056" s="1">
        <f t="shared" si="48"/>
        <v>45808</v>
      </c>
      <c r="D1056">
        <v>24</v>
      </c>
      <c r="E1056">
        <v>51</v>
      </c>
      <c r="F1056">
        <v>5</v>
      </c>
      <c r="G1056">
        <v>3</v>
      </c>
      <c r="H1056">
        <v>8</v>
      </c>
      <c r="I1056">
        <v>0</v>
      </c>
      <c r="J1056">
        <v>0</v>
      </c>
      <c r="K1056">
        <v>23</v>
      </c>
      <c r="L1056" t="s">
        <v>52</v>
      </c>
      <c r="M1056" t="s">
        <v>38</v>
      </c>
      <c r="N1056" s="1">
        <v>45791</v>
      </c>
      <c r="O1056" s="2">
        <v>0.54185185185185181</v>
      </c>
      <c r="P1056" s="2">
        <v>0.91975694444444445</v>
      </c>
      <c r="Q1056">
        <v>9.07</v>
      </c>
      <c r="R1056">
        <v>9.06</v>
      </c>
      <c r="S1056">
        <v>2.62</v>
      </c>
      <c r="T1056">
        <v>0.36</v>
      </c>
      <c r="U1056">
        <v>0</v>
      </c>
      <c r="V1056">
        <v>0.23</v>
      </c>
      <c r="W1056">
        <v>4.34</v>
      </c>
      <c r="X1056">
        <v>1.49</v>
      </c>
      <c r="Y1056">
        <v>0</v>
      </c>
      <c r="Z1056">
        <v>0</v>
      </c>
      <c r="AA1056">
        <v>0</v>
      </c>
      <c r="AB1056">
        <v>0.02</v>
      </c>
      <c r="AC1056">
        <v>9.06</v>
      </c>
      <c r="AD1056">
        <v>28.94</v>
      </c>
      <c r="AE1056">
        <v>3.97</v>
      </c>
      <c r="AF1056">
        <v>0</v>
      </c>
      <c r="AG1056">
        <v>2.5099999999999998</v>
      </c>
      <c r="AH1056">
        <v>47.87</v>
      </c>
      <c r="AI1056">
        <v>16.45</v>
      </c>
      <c r="AJ1056">
        <v>0</v>
      </c>
      <c r="AK1056">
        <v>0</v>
      </c>
      <c r="AL1056">
        <v>0</v>
      </c>
      <c r="AM1056">
        <v>0.26</v>
      </c>
      <c r="AN1056">
        <f t="shared" si="49"/>
        <v>4</v>
      </c>
      <c r="AO1056" t="str">
        <f t="shared" si="50"/>
        <v>Wednesday</v>
      </c>
    </row>
    <row r="1057" spans="1:41" x14ac:dyDescent="0.2">
      <c r="A1057" t="s">
        <v>39</v>
      </c>
      <c r="B1057" s="1">
        <v>45791</v>
      </c>
      <c r="C1057" s="1">
        <f t="shared" si="48"/>
        <v>45808</v>
      </c>
      <c r="D1057">
        <v>21</v>
      </c>
      <c r="E1057">
        <v>49</v>
      </c>
      <c r="F1057">
        <v>7</v>
      </c>
      <c r="G1057">
        <v>6</v>
      </c>
      <c r="H1057">
        <v>6</v>
      </c>
      <c r="I1057">
        <v>0</v>
      </c>
      <c r="J1057">
        <v>0</v>
      </c>
      <c r="K1057">
        <v>25</v>
      </c>
      <c r="L1057" t="s">
        <v>39</v>
      </c>
      <c r="M1057" t="s">
        <v>38</v>
      </c>
      <c r="N1057" s="1">
        <v>45791</v>
      </c>
      <c r="O1057" s="2">
        <v>0.54212962962962963</v>
      </c>
      <c r="P1057" s="2">
        <v>0.91668981481481482</v>
      </c>
      <c r="Q1057">
        <v>9</v>
      </c>
      <c r="R1057">
        <v>8.99</v>
      </c>
      <c r="S1057">
        <v>1.56</v>
      </c>
      <c r="T1057">
        <v>0.1</v>
      </c>
      <c r="U1057">
        <v>0</v>
      </c>
      <c r="V1057">
        <v>0.02</v>
      </c>
      <c r="W1057">
        <v>5.9</v>
      </c>
      <c r="X1057">
        <v>1.4</v>
      </c>
      <c r="Y1057">
        <v>0</v>
      </c>
      <c r="Z1057">
        <v>0</v>
      </c>
      <c r="AA1057">
        <v>0</v>
      </c>
      <c r="AB1057">
        <v>0</v>
      </c>
      <c r="AC1057">
        <v>8.99</v>
      </c>
      <c r="AD1057">
        <v>17.399999999999999</v>
      </c>
      <c r="AE1057">
        <v>1.07</v>
      </c>
      <c r="AF1057">
        <v>0</v>
      </c>
      <c r="AG1057">
        <v>0.25</v>
      </c>
      <c r="AH1057">
        <v>65.650000000000006</v>
      </c>
      <c r="AI1057">
        <v>15.58</v>
      </c>
      <c r="AJ1057">
        <v>0</v>
      </c>
      <c r="AK1057">
        <v>0</v>
      </c>
      <c r="AL1057">
        <v>0</v>
      </c>
      <c r="AM1057">
        <v>0.05</v>
      </c>
      <c r="AN1057">
        <f t="shared" si="49"/>
        <v>4</v>
      </c>
      <c r="AO1057" t="str">
        <f t="shared" si="50"/>
        <v>Wednesday</v>
      </c>
    </row>
    <row r="1058" spans="1:41" x14ac:dyDescent="0.2">
      <c r="A1058" t="s">
        <v>41</v>
      </c>
      <c r="B1058" s="1">
        <v>45791</v>
      </c>
      <c r="C1058" s="1">
        <f t="shared" si="48"/>
        <v>45808</v>
      </c>
      <c r="D1058">
        <v>21</v>
      </c>
      <c r="E1058">
        <v>48</v>
      </c>
      <c r="F1058">
        <v>4</v>
      </c>
      <c r="G1058">
        <v>0</v>
      </c>
      <c r="H1058">
        <v>6</v>
      </c>
      <c r="I1058">
        <v>1</v>
      </c>
      <c r="J1058">
        <v>0</v>
      </c>
      <c r="K1058">
        <v>34</v>
      </c>
      <c r="L1058" t="s">
        <v>41</v>
      </c>
      <c r="M1058" t="s">
        <v>38</v>
      </c>
      <c r="N1058" s="1">
        <v>45791</v>
      </c>
      <c r="O1058" s="2">
        <v>0.54296296296296298</v>
      </c>
      <c r="P1058" s="2">
        <v>0.72996527777777775</v>
      </c>
      <c r="Q1058">
        <v>4.5</v>
      </c>
      <c r="R1058">
        <v>4.49</v>
      </c>
      <c r="S1058">
        <v>0.76</v>
      </c>
      <c r="T1058">
        <v>0.21</v>
      </c>
      <c r="U1058">
        <v>0</v>
      </c>
      <c r="V1058">
        <v>0.28000000000000003</v>
      </c>
      <c r="W1058">
        <v>2.69</v>
      </c>
      <c r="X1058">
        <v>0.49</v>
      </c>
      <c r="Y1058">
        <v>0</v>
      </c>
      <c r="Z1058">
        <v>0</v>
      </c>
      <c r="AA1058">
        <v>0</v>
      </c>
      <c r="AB1058">
        <v>0.05</v>
      </c>
      <c r="AC1058">
        <v>4.49</v>
      </c>
      <c r="AD1058">
        <v>16.86</v>
      </c>
      <c r="AE1058">
        <v>4.76</v>
      </c>
      <c r="AF1058">
        <v>0</v>
      </c>
      <c r="AG1058">
        <v>6.24</v>
      </c>
      <c r="AH1058">
        <v>60.02</v>
      </c>
      <c r="AI1058">
        <v>10.96</v>
      </c>
      <c r="AJ1058">
        <v>0</v>
      </c>
      <c r="AK1058">
        <v>0</v>
      </c>
      <c r="AL1058">
        <v>0</v>
      </c>
      <c r="AM1058">
        <v>1.1599999999999999</v>
      </c>
      <c r="AN1058">
        <f t="shared" si="49"/>
        <v>4</v>
      </c>
      <c r="AO1058" t="str">
        <f t="shared" si="50"/>
        <v>Wednesday</v>
      </c>
    </row>
    <row r="1059" spans="1:41" x14ac:dyDescent="0.2">
      <c r="A1059" t="s">
        <v>43</v>
      </c>
      <c r="B1059" s="1">
        <v>45791</v>
      </c>
      <c r="C1059" s="1">
        <f t="shared" si="48"/>
        <v>45808</v>
      </c>
      <c r="D1059">
        <v>29</v>
      </c>
      <c r="E1059">
        <v>93</v>
      </c>
      <c r="F1059">
        <v>1</v>
      </c>
      <c r="G1059">
        <v>7</v>
      </c>
      <c r="H1059">
        <v>6</v>
      </c>
      <c r="I1059">
        <v>0</v>
      </c>
      <c r="J1059">
        <v>0</v>
      </c>
      <c r="K1059">
        <v>55</v>
      </c>
      <c r="L1059" t="s">
        <v>43</v>
      </c>
      <c r="M1059" t="s">
        <v>38</v>
      </c>
      <c r="N1059" s="1">
        <v>45791</v>
      </c>
      <c r="O1059" s="2">
        <v>0.54208333333333336</v>
      </c>
      <c r="P1059" s="2">
        <v>0.94074074074074077</v>
      </c>
      <c r="Q1059">
        <v>9.57</v>
      </c>
      <c r="R1059">
        <v>9.57</v>
      </c>
      <c r="S1059">
        <v>1.5</v>
      </c>
      <c r="T1059">
        <v>0.06</v>
      </c>
      <c r="U1059">
        <v>0</v>
      </c>
      <c r="V1059">
        <v>0.45</v>
      </c>
      <c r="W1059">
        <v>6.08</v>
      </c>
      <c r="X1059">
        <v>1.47</v>
      </c>
      <c r="Y1059">
        <v>0</v>
      </c>
      <c r="Z1059">
        <v>0</v>
      </c>
      <c r="AA1059">
        <v>0</v>
      </c>
      <c r="AB1059">
        <v>0.01</v>
      </c>
      <c r="AC1059">
        <v>9.57</v>
      </c>
      <c r="AD1059">
        <v>15.71</v>
      </c>
      <c r="AE1059">
        <v>0.62</v>
      </c>
      <c r="AF1059">
        <v>0</v>
      </c>
      <c r="AG1059">
        <v>4.71</v>
      </c>
      <c r="AH1059">
        <v>63.51</v>
      </c>
      <c r="AI1059">
        <v>15.32</v>
      </c>
      <c r="AJ1059">
        <v>0</v>
      </c>
      <c r="AK1059">
        <v>0</v>
      </c>
      <c r="AL1059">
        <v>0</v>
      </c>
      <c r="AM1059">
        <v>0.14000000000000001</v>
      </c>
      <c r="AN1059">
        <f t="shared" si="49"/>
        <v>4</v>
      </c>
      <c r="AO1059" t="str">
        <f t="shared" si="50"/>
        <v>Wednesday</v>
      </c>
    </row>
    <row r="1060" spans="1:41" x14ac:dyDescent="0.2">
      <c r="B1060" s="1">
        <v>45791</v>
      </c>
      <c r="C1060" s="1">
        <f t="shared" si="48"/>
        <v>45808</v>
      </c>
      <c r="D1060">
        <v>610</v>
      </c>
      <c r="E1060">
        <v>0</v>
      </c>
      <c r="F1060">
        <v>0</v>
      </c>
      <c r="G1060">
        <v>0</v>
      </c>
      <c r="H1060">
        <v>0</v>
      </c>
      <c r="I1060">
        <v>0</v>
      </c>
      <c r="J1060">
        <v>0</v>
      </c>
      <c r="K1060">
        <v>0</v>
      </c>
      <c r="AN1060">
        <f t="shared" si="49"/>
        <v>4</v>
      </c>
      <c r="AO1060" t="str">
        <f t="shared" si="50"/>
        <v>Wednesday</v>
      </c>
    </row>
    <row r="1061" spans="1:41" x14ac:dyDescent="0.2">
      <c r="A1061" t="s">
        <v>53</v>
      </c>
      <c r="B1061" s="1">
        <v>45790</v>
      </c>
      <c r="C1061" s="1">
        <f t="shared" si="48"/>
        <v>45808</v>
      </c>
      <c r="D1061">
        <v>23</v>
      </c>
      <c r="E1061">
        <v>59</v>
      </c>
      <c r="F1061">
        <v>4</v>
      </c>
      <c r="G1061">
        <v>0</v>
      </c>
      <c r="H1061">
        <v>11</v>
      </c>
      <c r="I1061">
        <v>1</v>
      </c>
      <c r="J1061">
        <v>1</v>
      </c>
      <c r="K1061">
        <v>29</v>
      </c>
      <c r="L1061" t="s">
        <v>53</v>
      </c>
      <c r="M1061" t="s">
        <v>38</v>
      </c>
      <c r="N1061" s="1">
        <v>45790</v>
      </c>
      <c r="O1061" s="2">
        <v>0.54189814814814818</v>
      </c>
      <c r="P1061" s="2">
        <v>0.91708333333333336</v>
      </c>
      <c r="Q1061">
        <v>9</v>
      </c>
      <c r="R1061">
        <v>8.1300000000000008</v>
      </c>
      <c r="S1061">
        <v>1.28</v>
      </c>
      <c r="T1061">
        <v>0.05</v>
      </c>
      <c r="U1061">
        <v>0</v>
      </c>
      <c r="V1061">
        <v>0.19</v>
      </c>
      <c r="W1061">
        <v>5.6</v>
      </c>
      <c r="X1061">
        <v>0.47</v>
      </c>
      <c r="Y1061">
        <v>0.53</v>
      </c>
      <c r="Z1061">
        <v>0</v>
      </c>
      <c r="AA1061">
        <v>0</v>
      </c>
      <c r="AB1061">
        <v>0.01</v>
      </c>
      <c r="AC1061">
        <v>8.1300000000000008</v>
      </c>
      <c r="AD1061">
        <v>15.76</v>
      </c>
      <c r="AE1061">
        <v>0.59</v>
      </c>
      <c r="AF1061">
        <v>0</v>
      </c>
      <c r="AG1061">
        <v>2.2799999999999998</v>
      </c>
      <c r="AH1061">
        <v>68.86</v>
      </c>
      <c r="AI1061">
        <v>5.83</v>
      </c>
      <c r="AJ1061">
        <v>6.54</v>
      </c>
      <c r="AK1061">
        <v>0</v>
      </c>
      <c r="AL1061">
        <v>0.06</v>
      </c>
      <c r="AM1061">
        <v>0.08</v>
      </c>
      <c r="AN1061">
        <f t="shared" si="49"/>
        <v>3</v>
      </c>
      <c r="AO1061" t="str">
        <f t="shared" si="50"/>
        <v>Tuesday</v>
      </c>
    </row>
    <row r="1062" spans="1:41" x14ac:dyDescent="0.2">
      <c r="A1062" t="s">
        <v>37</v>
      </c>
      <c r="B1062" s="1">
        <v>45790</v>
      </c>
      <c r="C1062" s="1">
        <f t="shared" si="48"/>
        <v>45808</v>
      </c>
      <c r="D1062">
        <v>27</v>
      </c>
      <c r="E1062">
        <v>76</v>
      </c>
      <c r="F1062">
        <v>9</v>
      </c>
      <c r="G1062">
        <v>0</v>
      </c>
      <c r="H1062">
        <v>7</v>
      </c>
      <c r="I1062">
        <v>1</v>
      </c>
      <c r="J1062">
        <v>0</v>
      </c>
      <c r="K1062">
        <v>46</v>
      </c>
      <c r="L1062" t="s">
        <v>37</v>
      </c>
      <c r="M1062" t="s">
        <v>38</v>
      </c>
      <c r="N1062" s="1">
        <v>45790</v>
      </c>
      <c r="O1062" s="2">
        <v>0.54320601851851846</v>
      </c>
      <c r="P1062" s="2">
        <v>0.91680555555555554</v>
      </c>
      <c r="Q1062">
        <v>8.9700000000000006</v>
      </c>
      <c r="R1062">
        <v>8.1</v>
      </c>
      <c r="S1062">
        <v>1.22</v>
      </c>
      <c r="T1062">
        <v>0.26</v>
      </c>
      <c r="U1062">
        <v>0</v>
      </c>
      <c r="V1062">
        <v>0.26</v>
      </c>
      <c r="W1062">
        <v>5.73</v>
      </c>
      <c r="X1062">
        <v>0.61</v>
      </c>
      <c r="Y1062">
        <v>0</v>
      </c>
      <c r="Z1062">
        <v>0</v>
      </c>
      <c r="AA1062">
        <v>0</v>
      </c>
      <c r="AB1062">
        <v>0.01</v>
      </c>
      <c r="AC1062">
        <v>8.1</v>
      </c>
      <c r="AD1062">
        <v>15.01</v>
      </c>
      <c r="AE1062">
        <v>3.27</v>
      </c>
      <c r="AF1062">
        <v>0</v>
      </c>
      <c r="AG1062">
        <v>3.23</v>
      </c>
      <c r="AH1062">
        <v>70.8</v>
      </c>
      <c r="AI1062">
        <v>7.52</v>
      </c>
      <c r="AJ1062">
        <v>0</v>
      </c>
      <c r="AK1062">
        <v>0</v>
      </c>
      <c r="AL1062">
        <v>0</v>
      </c>
      <c r="AM1062">
        <v>0.17</v>
      </c>
      <c r="AN1062">
        <f t="shared" si="49"/>
        <v>3</v>
      </c>
      <c r="AO1062" t="str">
        <f t="shared" si="50"/>
        <v>Tuesday</v>
      </c>
    </row>
    <row r="1063" spans="1:41" x14ac:dyDescent="0.2">
      <c r="A1063" t="s">
        <v>52</v>
      </c>
      <c r="B1063" s="1">
        <v>45790</v>
      </c>
      <c r="C1063" s="1">
        <f t="shared" si="48"/>
        <v>45808</v>
      </c>
      <c r="D1063">
        <v>24</v>
      </c>
      <c r="E1063">
        <v>59</v>
      </c>
      <c r="F1063">
        <v>3</v>
      </c>
      <c r="G1063">
        <v>4</v>
      </c>
      <c r="H1063">
        <v>14</v>
      </c>
      <c r="I1063">
        <v>0</v>
      </c>
      <c r="J1063">
        <v>0</v>
      </c>
      <c r="K1063">
        <v>31</v>
      </c>
      <c r="L1063" t="s">
        <v>52</v>
      </c>
      <c r="M1063" t="s">
        <v>38</v>
      </c>
      <c r="N1063" s="1">
        <v>45790</v>
      </c>
      <c r="O1063" s="2">
        <v>0.54267361111111112</v>
      </c>
      <c r="P1063" s="2">
        <v>0.92004629629629631</v>
      </c>
      <c r="Q1063">
        <v>9.0500000000000007</v>
      </c>
      <c r="R1063">
        <v>9.06</v>
      </c>
      <c r="S1063">
        <v>2.25</v>
      </c>
      <c r="T1063">
        <v>0.19</v>
      </c>
      <c r="U1063">
        <v>0</v>
      </c>
      <c r="V1063">
        <v>0.28999999999999998</v>
      </c>
      <c r="W1063">
        <v>4.04</v>
      </c>
      <c r="X1063">
        <v>1.52</v>
      </c>
      <c r="Y1063">
        <v>0.76</v>
      </c>
      <c r="Z1063">
        <v>0</v>
      </c>
      <c r="AA1063">
        <v>0</v>
      </c>
      <c r="AB1063">
        <v>0</v>
      </c>
      <c r="AC1063">
        <v>9.06</v>
      </c>
      <c r="AD1063">
        <v>24.88</v>
      </c>
      <c r="AE1063">
        <v>2.12</v>
      </c>
      <c r="AF1063">
        <v>0</v>
      </c>
      <c r="AG1063">
        <v>3.18</v>
      </c>
      <c r="AH1063">
        <v>44.57</v>
      </c>
      <c r="AI1063">
        <v>16.760000000000002</v>
      </c>
      <c r="AJ1063">
        <v>8.44</v>
      </c>
      <c r="AK1063">
        <v>0</v>
      </c>
      <c r="AL1063">
        <v>0</v>
      </c>
      <c r="AM1063">
        <v>0.05</v>
      </c>
      <c r="AN1063">
        <f t="shared" si="49"/>
        <v>3</v>
      </c>
      <c r="AO1063" t="str">
        <f t="shared" si="50"/>
        <v>Tuesday</v>
      </c>
    </row>
    <row r="1064" spans="1:41" x14ac:dyDescent="0.2">
      <c r="A1064" t="s">
        <v>39</v>
      </c>
      <c r="B1064" s="1">
        <v>45790</v>
      </c>
      <c r="C1064" s="1">
        <f t="shared" si="48"/>
        <v>45808</v>
      </c>
      <c r="D1064">
        <v>24</v>
      </c>
      <c r="E1064">
        <v>63</v>
      </c>
      <c r="F1064">
        <v>6</v>
      </c>
      <c r="G1064">
        <v>2</v>
      </c>
      <c r="H1064">
        <v>9</v>
      </c>
      <c r="I1064">
        <v>0</v>
      </c>
      <c r="J1064">
        <v>0</v>
      </c>
      <c r="K1064">
        <v>40</v>
      </c>
      <c r="L1064" t="s">
        <v>39</v>
      </c>
      <c r="M1064" t="s">
        <v>38</v>
      </c>
      <c r="N1064" s="1">
        <v>45790</v>
      </c>
      <c r="O1064" s="2">
        <v>0.54181712962962958</v>
      </c>
      <c r="P1064" s="2">
        <v>0.91667824074074078</v>
      </c>
      <c r="Q1064">
        <v>9</v>
      </c>
      <c r="R1064">
        <v>9</v>
      </c>
      <c r="S1064">
        <v>1.24</v>
      </c>
      <c r="T1064">
        <v>0</v>
      </c>
      <c r="U1064">
        <v>0</v>
      </c>
      <c r="V1064">
        <v>0.02</v>
      </c>
      <c r="W1064">
        <v>6.25</v>
      </c>
      <c r="X1064">
        <v>1.47</v>
      </c>
      <c r="Y1064">
        <v>0</v>
      </c>
      <c r="Z1064">
        <v>0</v>
      </c>
      <c r="AA1064">
        <v>0</v>
      </c>
      <c r="AB1064">
        <v>0</v>
      </c>
      <c r="AC1064">
        <v>9</v>
      </c>
      <c r="AD1064">
        <v>13.79</v>
      </c>
      <c r="AE1064">
        <v>0</v>
      </c>
      <c r="AF1064">
        <v>0</v>
      </c>
      <c r="AG1064">
        <v>0.27</v>
      </c>
      <c r="AH1064">
        <v>69.52</v>
      </c>
      <c r="AI1064">
        <v>16.38</v>
      </c>
      <c r="AJ1064">
        <v>0</v>
      </c>
      <c r="AK1064">
        <v>0</v>
      </c>
      <c r="AL1064">
        <v>0</v>
      </c>
      <c r="AM1064">
        <v>0.04</v>
      </c>
      <c r="AN1064">
        <f t="shared" si="49"/>
        <v>3</v>
      </c>
      <c r="AO1064" t="str">
        <f t="shared" si="50"/>
        <v>Tuesday</v>
      </c>
    </row>
    <row r="1065" spans="1:41" x14ac:dyDescent="0.2">
      <c r="A1065" t="s">
        <v>41</v>
      </c>
      <c r="B1065" s="1">
        <v>45790</v>
      </c>
      <c r="C1065" s="1">
        <f t="shared" si="48"/>
        <v>45808</v>
      </c>
      <c r="D1065">
        <v>26</v>
      </c>
      <c r="E1065">
        <v>59</v>
      </c>
      <c r="F1065">
        <v>9</v>
      </c>
      <c r="G1065">
        <v>11</v>
      </c>
      <c r="H1065">
        <v>8</v>
      </c>
      <c r="I1065">
        <v>1</v>
      </c>
      <c r="J1065">
        <v>0</v>
      </c>
      <c r="K1065">
        <v>24</v>
      </c>
      <c r="L1065" t="s">
        <v>41</v>
      </c>
      <c r="M1065" t="s">
        <v>38</v>
      </c>
      <c r="N1065" s="1">
        <v>45790</v>
      </c>
      <c r="O1065" s="2">
        <v>0.54399305555555555</v>
      </c>
      <c r="P1065" s="2">
        <v>0.91673611111111108</v>
      </c>
      <c r="Q1065">
        <v>8.9499999999999993</v>
      </c>
      <c r="R1065">
        <v>8.9499999999999993</v>
      </c>
      <c r="S1065">
        <v>1.32</v>
      </c>
      <c r="T1065">
        <v>0</v>
      </c>
      <c r="U1065">
        <v>0</v>
      </c>
      <c r="V1065">
        <v>0.22</v>
      </c>
      <c r="W1065">
        <v>5.45</v>
      </c>
      <c r="X1065">
        <v>1.51</v>
      </c>
      <c r="Y1065">
        <v>0.44</v>
      </c>
      <c r="Z1065">
        <v>0</v>
      </c>
      <c r="AA1065">
        <v>0</v>
      </c>
      <c r="AB1065">
        <v>0</v>
      </c>
      <c r="AC1065">
        <v>8.9499999999999993</v>
      </c>
      <c r="AD1065">
        <v>14.78</v>
      </c>
      <c r="AE1065">
        <v>0</v>
      </c>
      <c r="AF1065">
        <v>0</v>
      </c>
      <c r="AG1065">
        <v>2.4700000000000002</v>
      </c>
      <c r="AH1065">
        <v>60.91</v>
      </c>
      <c r="AI1065">
        <v>16.829999999999998</v>
      </c>
      <c r="AJ1065">
        <v>4.96</v>
      </c>
      <c r="AK1065">
        <v>0</v>
      </c>
      <c r="AL1065">
        <v>0</v>
      </c>
      <c r="AM1065">
        <v>0.05</v>
      </c>
      <c r="AN1065">
        <f t="shared" si="49"/>
        <v>3</v>
      </c>
      <c r="AO1065" t="str">
        <f t="shared" si="50"/>
        <v>Tuesday</v>
      </c>
    </row>
    <row r="1066" spans="1:41" x14ac:dyDescent="0.2">
      <c r="A1066" t="s">
        <v>43</v>
      </c>
      <c r="B1066" s="1">
        <v>45790</v>
      </c>
      <c r="C1066" s="1">
        <f t="shared" si="48"/>
        <v>45808</v>
      </c>
      <c r="D1066">
        <v>26</v>
      </c>
      <c r="E1066">
        <v>86</v>
      </c>
      <c r="F1066">
        <v>3</v>
      </c>
      <c r="G1066">
        <v>3</v>
      </c>
      <c r="H1066">
        <v>12</v>
      </c>
      <c r="I1066">
        <v>0</v>
      </c>
      <c r="J1066">
        <v>0</v>
      </c>
      <c r="K1066">
        <v>54</v>
      </c>
      <c r="L1066" t="s">
        <v>43</v>
      </c>
      <c r="M1066" t="s">
        <v>38</v>
      </c>
      <c r="N1066" s="1">
        <v>45790</v>
      </c>
      <c r="O1066" s="2">
        <v>0.54116898148148151</v>
      </c>
      <c r="P1066" s="2">
        <v>0.7557638888888889</v>
      </c>
      <c r="Q1066">
        <v>5.15</v>
      </c>
      <c r="R1066">
        <v>5.15</v>
      </c>
      <c r="S1066">
        <v>0.89</v>
      </c>
      <c r="T1066">
        <v>0.23</v>
      </c>
      <c r="U1066">
        <v>0</v>
      </c>
      <c r="V1066">
        <v>0.21</v>
      </c>
      <c r="W1066">
        <v>3.43</v>
      </c>
      <c r="X1066">
        <v>0.28000000000000003</v>
      </c>
      <c r="Y1066">
        <v>0.11</v>
      </c>
      <c r="Z1066">
        <v>0</v>
      </c>
      <c r="AA1066">
        <v>0</v>
      </c>
      <c r="AB1066">
        <v>0.01</v>
      </c>
      <c r="AC1066">
        <v>5.15</v>
      </c>
      <c r="AD1066">
        <v>17.23</v>
      </c>
      <c r="AE1066">
        <v>4.41</v>
      </c>
      <c r="AF1066">
        <v>0</v>
      </c>
      <c r="AG1066">
        <v>4.07</v>
      </c>
      <c r="AH1066">
        <v>66.569999999999993</v>
      </c>
      <c r="AI1066">
        <v>5.36</v>
      </c>
      <c r="AJ1066">
        <v>2.17</v>
      </c>
      <c r="AK1066">
        <v>0</v>
      </c>
      <c r="AL1066">
        <v>0</v>
      </c>
      <c r="AM1066">
        <v>0.18</v>
      </c>
      <c r="AN1066">
        <f t="shared" si="49"/>
        <v>3</v>
      </c>
      <c r="AO1066" t="str">
        <f t="shared" si="50"/>
        <v>Tuesday</v>
      </c>
    </row>
    <row r="1067" spans="1:41" x14ac:dyDescent="0.2">
      <c r="B1067" s="1">
        <v>45790</v>
      </c>
      <c r="C1067" s="1">
        <f t="shared" si="48"/>
        <v>45808</v>
      </c>
      <c r="D1067">
        <v>641</v>
      </c>
      <c r="E1067">
        <v>0</v>
      </c>
      <c r="F1067">
        <v>0</v>
      </c>
      <c r="G1067">
        <v>0</v>
      </c>
      <c r="H1067">
        <v>0</v>
      </c>
      <c r="I1067">
        <v>0</v>
      </c>
      <c r="J1067">
        <v>0</v>
      </c>
      <c r="K1067">
        <v>0</v>
      </c>
      <c r="AN1067">
        <f t="shared" si="49"/>
        <v>3</v>
      </c>
      <c r="AO1067" t="str">
        <f t="shared" si="50"/>
        <v>Tuesday</v>
      </c>
    </row>
    <row r="1068" spans="1:41" x14ac:dyDescent="0.2">
      <c r="A1068" t="s">
        <v>53</v>
      </c>
      <c r="B1068" s="1">
        <v>45789</v>
      </c>
      <c r="C1068" s="1">
        <f t="shared" si="48"/>
        <v>45808</v>
      </c>
      <c r="D1068">
        <v>19</v>
      </c>
      <c r="E1068">
        <v>51</v>
      </c>
      <c r="F1068">
        <v>3</v>
      </c>
      <c r="G1068">
        <v>0</v>
      </c>
      <c r="H1068">
        <v>4</v>
      </c>
      <c r="I1068">
        <v>0</v>
      </c>
      <c r="J1068">
        <v>0</v>
      </c>
      <c r="K1068">
        <v>36</v>
      </c>
      <c r="L1068" t="s">
        <v>53</v>
      </c>
      <c r="M1068" t="s">
        <v>38</v>
      </c>
      <c r="N1068" s="1">
        <v>45789</v>
      </c>
      <c r="O1068" s="2">
        <v>0.54053240740740738</v>
      </c>
      <c r="P1068" s="2">
        <v>0.91675925925925927</v>
      </c>
      <c r="Q1068">
        <v>9.0299999999999994</v>
      </c>
      <c r="R1068">
        <v>9.0299999999999994</v>
      </c>
      <c r="S1068">
        <v>1</v>
      </c>
      <c r="T1068">
        <v>0</v>
      </c>
      <c r="U1068">
        <v>0</v>
      </c>
      <c r="V1068">
        <v>0.13</v>
      </c>
      <c r="W1068">
        <v>6.44</v>
      </c>
      <c r="X1068">
        <v>1.45</v>
      </c>
      <c r="Y1068">
        <v>0</v>
      </c>
      <c r="Z1068">
        <v>0</v>
      </c>
      <c r="AA1068">
        <v>0</v>
      </c>
      <c r="AB1068">
        <v>0</v>
      </c>
      <c r="AC1068">
        <v>9.0299999999999994</v>
      </c>
      <c r="AD1068">
        <v>11.08</v>
      </c>
      <c r="AE1068">
        <v>0</v>
      </c>
      <c r="AF1068">
        <v>0</v>
      </c>
      <c r="AG1068">
        <v>1.42</v>
      </c>
      <c r="AH1068">
        <v>71.36</v>
      </c>
      <c r="AI1068">
        <v>16.100000000000001</v>
      </c>
      <c r="AJ1068">
        <v>0</v>
      </c>
      <c r="AK1068">
        <v>0</v>
      </c>
      <c r="AL1068">
        <v>0</v>
      </c>
      <c r="AM1068">
        <v>0.05</v>
      </c>
      <c r="AN1068">
        <f t="shared" si="49"/>
        <v>2</v>
      </c>
      <c r="AO1068" t="str">
        <f t="shared" si="50"/>
        <v>Monday</v>
      </c>
    </row>
    <row r="1069" spans="1:41" x14ac:dyDescent="0.2">
      <c r="A1069" t="s">
        <v>37</v>
      </c>
      <c r="B1069" s="1">
        <v>45789</v>
      </c>
      <c r="C1069" s="1">
        <f t="shared" si="48"/>
        <v>45808</v>
      </c>
      <c r="D1069">
        <v>25</v>
      </c>
      <c r="E1069">
        <v>67</v>
      </c>
      <c r="F1069">
        <v>0</v>
      </c>
      <c r="G1069">
        <v>2</v>
      </c>
      <c r="H1069">
        <v>7</v>
      </c>
      <c r="I1069">
        <v>0</v>
      </c>
      <c r="J1069">
        <v>7</v>
      </c>
      <c r="K1069">
        <v>37</v>
      </c>
      <c r="L1069" t="s">
        <v>37</v>
      </c>
      <c r="M1069" t="s">
        <v>38</v>
      </c>
      <c r="N1069" s="1">
        <v>45789</v>
      </c>
      <c r="O1069" s="2">
        <v>0.54244212962962968</v>
      </c>
      <c r="P1069" s="2">
        <v>0.91684027777777777</v>
      </c>
      <c r="Q1069">
        <v>8.98</v>
      </c>
      <c r="R1069">
        <v>8.0500000000000007</v>
      </c>
      <c r="S1069">
        <v>1.45</v>
      </c>
      <c r="T1069">
        <v>0.48</v>
      </c>
      <c r="U1069">
        <v>0</v>
      </c>
      <c r="V1069">
        <v>0.24</v>
      </c>
      <c r="W1069">
        <v>5.37</v>
      </c>
      <c r="X1069">
        <v>0.5</v>
      </c>
      <c r="Y1069">
        <v>0</v>
      </c>
      <c r="Z1069">
        <v>0</v>
      </c>
      <c r="AA1069">
        <v>0</v>
      </c>
      <c r="AB1069">
        <v>0.01</v>
      </c>
      <c r="AC1069">
        <v>8.0500000000000007</v>
      </c>
      <c r="AD1069">
        <v>17.989999999999998</v>
      </c>
      <c r="AE1069">
        <v>5.93</v>
      </c>
      <c r="AF1069">
        <v>0</v>
      </c>
      <c r="AG1069">
        <v>2.94</v>
      </c>
      <c r="AH1069">
        <v>66.72</v>
      </c>
      <c r="AI1069">
        <v>6.26</v>
      </c>
      <c r="AJ1069">
        <v>0</v>
      </c>
      <c r="AK1069">
        <v>0</v>
      </c>
      <c r="AL1069">
        <v>0</v>
      </c>
      <c r="AM1069">
        <v>0.16</v>
      </c>
      <c r="AN1069">
        <f t="shared" si="49"/>
        <v>2</v>
      </c>
      <c r="AO1069" t="str">
        <f t="shared" si="50"/>
        <v>Monday</v>
      </c>
    </row>
    <row r="1070" spans="1:41" x14ac:dyDescent="0.2">
      <c r="A1070" t="s">
        <v>52</v>
      </c>
      <c r="B1070" s="1">
        <v>45789</v>
      </c>
      <c r="C1070" s="1">
        <f t="shared" si="48"/>
        <v>45808</v>
      </c>
      <c r="D1070">
        <v>25</v>
      </c>
      <c r="E1070">
        <v>50</v>
      </c>
      <c r="F1070">
        <v>3</v>
      </c>
      <c r="G1070">
        <v>5</v>
      </c>
      <c r="H1070">
        <v>7</v>
      </c>
      <c r="I1070">
        <v>0</v>
      </c>
      <c r="J1070">
        <v>1</v>
      </c>
      <c r="K1070">
        <v>18</v>
      </c>
      <c r="L1070" t="s">
        <v>52</v>
      </c>
      <c r="M1070" t="s">
        <v>38</v>
      </c>
      <c r="N1070" s="1">
        <v>45789</v>
      </c>
      <c r="O1070" s="2">
        <v>0.54241898148148149</v>
      </c>
      <c r="P1070" s="2">
        <v>0.92609953703703707</v>
      </c>
      <c r="Q1070">
        <v>9.1999999999999993</v>
      </c>
      <c r="R1070">
        <v>9.2100000000000009</v>
      </c>
      <c r="S1070">
        <v>1.94</v>
      </c>
      <c r="T1070">
        <v>0.26</v>
      </c>
      <c r="U1070">
        <v>0</v>
      </c>
      <c r="V1070">
        <v>0.27</v>
      </c>
      <c r="W1070">
        <v>4.9000000000000004</v>
      </c>
      <c r="X1070">
        <v>1.54</v>
      </c>
      <c r="Y1070">
        <v>0.3</v>
      </c>
      <c r="Z1070">
        <v>0</v>
      </c>
      <c r="AA1070">
        <v>0</v>
      </c>
      <c r="AB1070">
        <v>0.01</v>
      </c>
      <c r="AC1070">
        <v>9.2100000000000009</v>
      </c>
      <c r="AD1070">
        <v>21.1</v>
      </c>
      <c r="AE1070">
        <v>2.78</v>
      </c>
      <c r="AF1070">
        <v>0</v>
      </c>
      <c r="AG1070">
        <v>2.94</v>
      </c>
      <c r="AH1070">
        <v>53.18</v>
      </c>
      <c r="AI1070">
        <v>16.68</v>
      </c>
      <c r="AJ1070">
        <v>3.22</v>
      </c>
      <c r="AK1070">
        <v>0</v>
      </c>
      <c r="AL1070">
        <v>0</v>
      </c>
      <c r="AM1070">
        <v>0.1</v>
      </c>
      <c r="AN1070">
        <f t="shared" si="49"/>
        <v>2</v>
      </c>
      <c r="AO1070" t="str">
        <f t="shared" si="50"/>
        <v>Monday</v>
      </c>
    </row>
    <row r="1071" spans="1:41" x14ac:dyDescent="0.2">
      <c r="A1071" t="s">
        <v>39</v>
      </c>
      <c r="B1071" s="1">
        <v>45789</v>
      </c>
      <c r="C1071" s="1">
        <f t="shared" si="48"/>
        <v>45808</v>
      </c>
      <c r="D1071">
        <v>24</v>
      </c>
      <c r="E1071">
        <v>69</v>
      </c>
      <c r="F1071">
        <v>2</v>
      </c>
      <c r="G1071">
        <v>2</v>
      </c>
      <c r="H1071">
        <v>2</v>
      </c>
      <c r="I1071">
        <v>0</v>
      </c>
      <c r="J1071">
        <v>0</v>
      </c>
      <c r="K1071">
        <v>47</v>
      </c>
      <c r="L1071" t="s">
        <v>39</v>
      </c>
      <c r="M1071" t="s">
        <v>38</v>
      </c>
      <c r="N1071" s="1">
        <v>45789</v>
      </c>
      <c r="O1071" s="2">
        <v>0.5420949074074074</v>
      </c>
      <c r="P1071" s="2">
        <v>0.91672453703703705</v>
      </c>
      <c r="Q1071">
        <v>9</v>
      </c>
      <c r="R1071">
        <v>8.99</v>
      </c>
      <c r="S1071">
        <v>0.49</v>
      </c>
      <c r="T1071">
        <v>7.0000000000000007E-2</v>
      </c>
      <c r="U1071">
        <v>0</v>
      </c>
      <c r="V1071">
        <v>0.02</v>
      </c>
      <c r="W1071">
        <v>6.92</v>
      </c>
      <c r="X1071">
        <v>1.48</v>
      </c>
      <c r="Y1071">
        <v>0</v>
      </c>
      <c r="Z1071">
        <v>0</v>
      </c>
      <c r="AA1071">
        <v>0</v>
      </c>
      <c r="AB1071">
        <v>0</v>
      </c>
      <c r="AC1071">
        <v>8.99</v>
      </c>
      <c r="AD1071">
        <v>5.5</v>
      </c>
      <c r="AE1071">
        <v>0.75</v>
      </c>
      <c r="AF1071">
        <v>0</v>
      </c>
      <c r="AG1071">
        <v>0.27</v>
      </c>
      <c r="AH1071">
        <v>76.94</v>
      </c>
      <c r="AI1071">
        <v>16.48</v>
      </c>
      <c r="AJ1071">
        <v>0</v>
      </c>
      <c r="AK1071">
        <v>0</v>
      </c>
      <c r="AL1071">
        <v>0</v>
      </c>
      <c r="AM1071">
        <v>0.05</v>
      </c>
      <c r="AN1071">
        <f t="shared" si="49"/>
        <v>2</v>
      </c>
      <c r="AO1071" t="str">
        <f t="shared" si="50"/>
        <v>Monday</v>
      </c>
    </row>
    <row r="1072" spans="1:41" x14ac:dyDescent="0.2">
      <c r="A1072" t="s">
        <v>41</v>
      </c>
      <c r="B1072" s="1">
        <v>45789</v>
      </c>
      <c r="C1072" s="1">
        <f t="shared" si="48"/>
        <v>45808</v>
      </c>
      <c r="D1072">
        <v>27</v>
      </c>
      <c r="E1072">
        <v>68</v>
      </c>
      <c r="F1072">
        <v>10</v>
      </c>
      <c r="G1072">
        <v>2</v>
      </c>
      <c r="H1072">
        <v>2</v>
      </c>
      <c r="I1072">
        <v>0</v>
      </c>
      <c r="J1072">
        <v>1</v>
      </c>
      <c r="K1072">
        <v>44</v>
      </c>
      <c r="L1072" t="s">
        <v>41</v>
      </c>
      <c r="M1072" t="s">
        <v>38</v>
      </c>
      <c r="N1072" s="1">
        <v>45789</v>
      </c>
      <c r="O1072" s="2">
        <v>0.54357638888888893</v>
      </c>
      <c r="P1072" s="2">
        <v>0.91675925925925927</v>
      </c>
      <c r="Q1072">
        <v>8.9700000000000006</v>
      </c>
      <c r="R1072">
        <v>8.9600000000000009</v>
      </c>
      <c r="S1072">
        <v>1.06</v>
      </c>
      <c r="T1072">
        <v>0.18</v>
      </c>
      <c r="U1072">
        <v>0</v>
      </c>
      <c r="V1072">
        <v>0.34</v>
      </c>
      <c r="W1072">
        <v>5.9</v>
      </c>
      <c r="X1072">
        <v>1.48</v>
      </c>
      <c r="Y1072">
        <v>0</v>
      </c>
      <c r="Z1072">
        <v>0</v>
      </c>
      <c r="AA1072">
        <v>0</v>
      </c>
      <c r="AB1072">
        <v>0.01</v>
      </c>
      <c r="AC1072">
        <v>8.9600000000000009</v>
      </c>
      <c r="AD1072">
        <v>11.84</v>
      </c>
      <c r="AE1072">
        <v>1.98</v>
      </c>
      <c r="AF1072">
        <v>0</v>
      </c>
      <c r="AG1072">
        <v>3.75</v>
      </c>
      <c r="AH1072">
        <v>65.86</v>
      </c>
      <c r="AI1072">
        <v>16.5</v>
      </c>
      <c r="AJ1072">
        <v>0</v>
      </c>
      <c r="AK1072">
        <v>0</v>
      </c>
      <c r="AL1072">
        <v>0</v>
      </c>
      <c r="AM1072">
        <v>0.06</v>
      </c>
      <c r="AN1072">
        <f t="shared" si="49"/>
        <v>2</v>
      </c>
      <c r="AO1072" t="str">
        <f t="shared" si="50"/>
        <v>Monday</v>
      </c>
    </row>
    <row r="1073" spans="1:41" x14ac:dyDescent="0.2">
      <c r="A1073" t="s">
        <v>42</v>
      </c>
      <c r="B1073" s="1">
        <v>45789</v>
      </c>
      <c r="C1073" s="1">
        <f t="shared" si="48"/>
        <v>45808</v>
      </c>
      <c r="D1073">
        <v>1</v>
      </c>
      <c r="E1073">
        <v>1</v>
      </c>
      <c r="F1073">
        <v>0</v>
      </c>
      <c r="G1073">
        <v>0</v>
      </c>
      <c r="H1073">
        <v>0</v>
      </c>
      <c r="I1073">
        <v>0</v>
      </c>
      <c r="J1073">
        <v>0</v>
      </c>
      <c r="K1073">
        <v>0</v>
      </c>
      <c r="L1073" t="s">
        <v>42</v>
      </c>
      <c r="M1073" t="s">
        <v>38</v>
      </c>
      <c r="N1073" s="1">
        <v>45789</v>
      </c>
      <c r="O1073" s="2">
        <v>0.90282407407407406</v>
      </c>
      <c r="P1073" s="2">
        <v>0.90468749999999998</v>
      </c>
      <c r="Q1073">
        <v>0.03</v>
      </c>
      <c r="R1073">
        <v>0.04</v>
      </c>
      <c r="S1073">
        <v>0.03</v>
      </c>
      <c r="T1073">
        <v>0</v>
      </c>
      <c r="U1073">
        <v>0</v>
      </c>
      <c r="V1073">
        <v>0.01</v>
      </c>
      <c r="W1073">
        <v>0</v>
      </c>
      <c r="X1073">
        <v>0</v>
      </c>
      <c r="Y1073">
        <v>0</v>
      </c>
      <c r="Z1073">
        <v>0</v>
      </c>
      <c r="AA1073">
        <v>0</v>
      </c>
      <c r="AB1073">
        <v>0.01</v>
      </c>
      <c r="AC1073">
        <v>0.04</v>
      </c>
      <c r="AD1073">
        <v>65.84</v>
      </c>
      <c r="AE1073">
        <v>0</v>
      </c>
      <c r="AF1073">
        <v>0</v>
      </c>
      <c r="AG1073">
        <v>21.12</v>
      </c>
      <c r="AH1073">
        <v>0</v>
      </c>
      <c r="AI1073">
        <v>0</v>
      </c>
      <c r="AJ1073">
        <v>0</v>
      </c>
      <c r="AK1073">
        <v>0</v>
      </c>
      <c r="AL1073">
        <v>0</v>
      </c>
      <c r="AM1073">
        <v>13.04</v>
      </c>
      <c r="AN1073">
        <f t="shared" si="49"/>
        <v>2</v>
      </c>
      <c r="AO1073" t="str">
        <f t="shared" si="50"/>
        <v>Monday</v>
      </c>
    </row>
    <row r="1074" spans="1:41" x14ac:dyDescent="0.2">
      <c r="A1074" t="s">
        <v>43</v>
      </c>
      <c r="B1074" s="1">
        <v>45789</v>
      </c>
      <c r="C1074" s="1">
        <f t="shared" si="48"/>
        <v>45808</v>
      </c>
      <c r="D1074">
        <v>29</v>
      </c>
      <c r="E1074">
        <v>85</v>
      </c>
      <c r="F1074">
        <v>6</v>
      </c>
      <c r="G1074">
        <v>2</v>
      </c>
      <c r="H1074">
        <v>2</v>
      </c>
      <c r="I1074">
        <v>1</v>
      </c>
      <c r="J1074">
        <v>0</v>
      </c>
      <c r="K1074">
        <v>50</v>
      </c>
      <c r="L1074" t="s">
        <v>43</v>
      </c>
      <c r="M1074" t="s">
        <v>38</v>
      </c>
      <c r="N1074" s="1">
        <v>45789</v>
      </c>
      <c r="O1074" s="2">
        <v>0.54142361111111115</v>
      </c>
      <c r="P1074" s="2">
        <v>0.91672453703703705</v>
      </c>
      <c r="Q1074">
        <v>9.02</v>
      </c>
      <c r="R1074">
        <v>9.01</v>
      </c>
      <c r="S1074">
        <v>0.64</v>
      </c>
      <c r="T1074">
        <v>0.32</v>
      </c>
      <c r="U1074">
        <v>0</v>
      </c>
      <c r="V1074">
        <v>0.43</v>
      </c>
      <c r="W1074">
        <v>6.12</v>
      </c>
      <c r="X1074">
        <v>1.49</v>
      </c>
      <c r="Y1074">
        <v>0</v>
      </c>
      <c r="Z1074">
        <v>0</v>
      </c>
      <c r="AA1074">
        <v>0</v>
      </c>
      <c r="AB1074">
        <v>0</v>
      </c>
      <c r="AC1074">
        <v>9.01</v>
      </c>
      <c r="AD1074">
        <v>7.14</v>
      </c>
      <c r="AE1074">
        <v>3.6</v>
      </c>
      <c r="AF1074">
        <v>0</v>
      </c>
      <c r="AG1074">
        <v>4.74</v>
      </c>
      <c r="AH1074">
        <v>67.97</v>
      </c>
      <c r="AI1074">
        <v>16.510000000000002</v>
      </c>
      <c r="AJ1074">
        <v>0</v>
      </c>
      <c r="AK1074">
        <v>0</v>
      </c>
      <c r="AL1074">
        <v>0</v>
      </c>
      <c r="AM1074">
        <v>0.04</v>
      </c>
      <c r="AN1074">
        <f t="shared" si="49"/>
        <v>2</v>
      </c>
      <c r="AO1074" t="str">
        <f t="shared" si="50"/>
        <v>Monday</v>
      </c>
    </row>
    <row r="1075" spans="1:41" x14ac:dyDescent="0.2">
      <c r="B1075" s="1">
        <v>45789</v>
      </c>
      <c r="C1075" s="1">
        <f t="shared" si="48"/>
        <v>45808</v>
      </c>
      <c r="D1075">
        <v>616</v>
      </c>
      <c r="E1075">
        <v>0</v>
      </c>
      <c r="F1075">
        <v>0</v>
      </c>
      <c r="G1075">
        <v>0</v>
      </c>
      <c r="H1075">
        <v>0</v>
      </c>
      <c r="I1075">
        <v>0</v>
      </c>
      <c r="J1075">
        <v>0</v>
      </c>
      <c r="K1075">
        <v>0</v>
      </c>
      <c r="AN1075">
        <f t="shared" si="49"/>
        <v>2</v>
      </c>
      <c r="AO1075" t="str">
        <f t="shared" si="50"/>
        <v>Monday</v>
      </c>
    </row>
    <row r="1076" spans="1:41" x14ac:dyDescent="0.2">
      <c r="A1076" t="s">
        <v>53</v>
      </c>
      <c r="B1076" s="1">
        <v>45786</v>
      </c>
      <c r="C1076" s="1">
        <f t="shared" si="48"/>
        <v>45808</v>
      </c>
      <c r="D1076">
        <v>18</v>
      </c>
      <c r="E1076">
        <v>48</v>
      </c>
      <c r="F1076">
        <v>3</v>
      </c>
      <c r="G1076">
        <v>1</v>
      </c>
      <c r="H1076">
        <v>3</v>
      </c>
      <c r="I1076">
        <v>0</v>
      </c>
      <c r="J1076">
        <v>0</v>
      </c>
      <c r="K1076">
        <v>33</v>
      </c>
      <c r="L1076" t="s">
        <v>53</v>
      </c>
      <c r="M1076" t="s">
        <v>38</v>
      </c>
      <c r="N1076" s="1">
        <v>45786</v>
      </c>
      <c r="O1076" s="2">
        <v>0.5417939814814815</v>
      </c>
      <c r="P1076" s="2">
        <v>0.91729166666666662</v>
      </c>
      <c r="Q1076">
        <v>9</v>
      </c>
      <c r="R1076">
        <v>9.01</v>
      </c>
      <c r="S1076">
        <v>0.89</v>
      </c>
      <c r="T1076">
        <v>0</v>
      </c>
      <c r="U1076">
        <v>0</v>
      </c>
      <c r="V1076">
        <v>0.28000000000000003</v>
      </c>
      <c r="W1076">
        <v>6.16</v>
      </c>
      <c r="X1076">
        <v>1.52</v>
      </c>
      <c r="Y1076">
        <v>0.16</v>
      </c>
      <c r="Z1076">
        <v>0</v>
      </c>
      <c r="AA1076">
        <v>0</v>
      </c>
      <c r="AB1076">
        <v>0.01</v>
      </c>
      <c r="AC1076">
        <v>9.01</v>
      </c>
      <c r="AD1076">
        <v>9.8800000000000008</v>
      </c>
      <c r="AE1076">
        <v>0</v>
      </c>
      <c r="AF1076">
        <v>0</v>
      </c>
      <c r="AG1076">
        <v>3.07</v>
      </c>
      <c r="AH1076">
        <v>68.33</v>
      </c>
      <c r="AI1076">
        <v>16.829999999999998</v>
      </c>
      <c r="AJ1076">
        <v>1.78</v>
      </c>
      <c r="AK1076">
        <v>0</v>
      </c>
      <c r="AL1076">
        <v>0</v>
      </c>
      <c r="AM1076">
        <v>0.11</v>
      </c>
      <c r="AN1076">
        <f t="shared" si="49"/>
        <v>6</v>
      </c>
      <c r="AO1076" t="str">
        <f t="shared" si="50"/>
        <v>Friday</v>
      </c>
    </row>
    <row r="1077" spans="1:41" x14ac:dyDescent="0.2">
      <c r="A1077" t="s">
        <v>37</v>
      </c>
      <c r="B1077" s="1">
        <v>45786</v>
      </c>
      <c r="C1077" s="1">
        <f t="shared" si="48"/>
        <v>45808</v>
      </c>
      <c r="D1077">
        <v>18</v>
      </c>
      <c r="E1077">
        <v>43</v>
      </c>
      <c r="F1077">
        <v>0</v>
      </c>
      <c r="G1077">
        <v>0</v>
      </c>
      <c r="H1077">
        <v>2</v>
      </c>
      <c r="I1077">
        <v>0</v>
      </c>
      <c r="J1077">
        <v>0</v>
      </c>
      <c r="K1077">
        <v>29</v>
      </c>
      <c r="L1077" t="s">
        <v>37</v>
      </c>
      <c r="M1077" t="s">
        <v>38</v>
      </c>
      <c r="N1077" s="1">
        <v>45786</v>
      </c>
      <c r="O1077" s="2">
        <v>0.5413310185185185</v>
      </c>
      <c r="P1077" s="2">
        <v>0.91675925925925927</v>
      </c>
      <c r="Q1077">
        <v>9.02</v>
      </c>
      <c r="R1077">
        <v>8.19</v>
      </c>
      <c r="S1077">
        <v>0.42</v>
      </c>
      <c r="T1077">
        <v>0</v>
      </c>
      <c r="U1077">
        <v>0</v>
      </c>
      <c r="V1077">
        <v>0.11</v>
      </c>
      <c r="W1077">
        <v>6.97</v>
      </c>
      <c r="X1077">
        <v>0.63</v>
      </c>
      <c r="Y1077">
        <v>0</v>
      </c>
      <c r="Z1077">
        <v>0</v>
      </c>
      <c r="AA1077">
        <v>0</v>
      </c>
      <c r="AB1077">
        <v>0.05</v>
      </c>
      <c r="AC1077">
        <v>8.19</v>
      </c>
      <c r="AD1077">
        <v>5.0999999999999996</v>
      </c>
      <c r="AE1077">
        <v>0</v>
      </c>
      <c r="AF1077">
        <v>0</v>
      </c>
      <c r="AG1077">
        <v>1.39</v>
      </c>
      <c r="AH1077">
        <v>85.16</v>
      </c>
      <c r="AI1077">
        <v>7.74</v>
      </c>
      <c r="AJ1077">
        <v>0</v>
      </c>
      <c r="AK1077">
        <v>0</v>
      </c>
      <c r="AL1077">
        <v>0</v>
      </c>
      <c r="AM1077">
        <v>0.61</v>
      </c>
      <c r="AN1077">
        <f t="shared" si="49"/>
        <v>6</v>
      </c>
      <c r="AO1077" t="str">
        <f t="shared" si="50"/>
        <v>Friday</v>
      </c>
    </row>
    <row r="1078" spans="1:41" x14ac:dyDescent="0.2">
      <c r="A1078" t="s">
        <v>52</v>
      </c>
      <c r="B1078" s="1">
        <v>45786</v>
      </c>
      <c r="C1078" s="1">
        <f t="shared" si="48"/>
        <v>45808</v>
      </c>
      <c r="D1078">
        <v>13</v>
      </c>
      <c r="E1078">
        <v>29</v>
      </c>
      <c r="F1078">
        <v>0</v>
      </c>
      <c r="G1078">
        <v>0</v>
      </c>
      <c r="H1078">
        <v>3</v>
      </c>
      <c r="I1078">
        <v>0</v>
      </c>
      <c r="J1078">
        <v>0</v>
      </c>
      <c r="K1078">
        <v>24</v>
      </c>
      <c r="L1078" t="s">
        <v>52</v>
      </c>
      <c r="M1078" t="s">
        <v>38</v>
      </c>
      <c r="N1078" s="1">
        <v>45786</v>
      </c>
      <c r="O1078" s="2">
        <v>0.63185185185185189</v>
      </c>
      <c r="P1078" s="2">
        <v>0.91817129629629635</v>
      </c>
      <c r="Q1078">
        <v>6.88</v>
      </c>
      <c r="R1078">
        <v>6.73</v>
      </c>
      <c r="S1078">
        <v>0.5</v>
      </c>
      <c r="T1078">
        <v>0.36</v>
      </c>
      <c r="U1078">
        <v>0</v>
      </c>
      <c r="V1078">
        <v>0.05</v>
      </c>
      <c r="W1078">
        <v>4.32</v>
      </c>
      <c r="X1078">
        <v>1.31</v>
      </c>
      <c r="Y1078">
        <v>0.15</v>
      </c>
      <c r="Z1078">
        <v>0</v>
      </c>
      <c r="AA1078">
        <v>0</v>
      </c>
      <c r="AB1078">
        <v>0.05</v>
      </c>
      <c r="AC1078">
        <v>6.73</v>
      </c>
      <c r="AD1078">
        <v>7.5</v>
      </c>
      <c r="AE1078">
        <v>5.3</v>
      </c>
      <c r="AF1078">
        <v>0</v>
      </c>
      <c r="AG1078">
        <v>0.71</v>
      </c>
      <c r="AH1078">
        <v>64.17</v>
      </c>
      <c r="AI1078">
        <v>19.440000000000001</v>
      </c>
      <c r="AJ1078">
        <v>2.2000000000000002</v>
      </c>
      <c r="AK1078">
        <v>0</v>
      </c>
      <c r="AL1078">
        <v>0</v>
      </c>
      <c r="AM1078">
        <v>0.68</v>
      </c>
      <c r="AN1078">
        <f t="shared" si="49"/>
        <v>6</v>
      </c>
      <c r="AO1078" t="str">
        <f t="shared" si="50"/>
        <v>Friday</v>
      </c>
    </row>
    <row r="1079" spans="1:41" x14ac:dyDescent="0.2">
      <c r="A1079" t="s">
        <v>39</v>
      </c>
      <c r="B1079" s="1">
        <v>45786</v>
      </c>
      <c r="C1079" s="1">
        <f t="shared" si="48"/>
        <v>45808</v>
      </c>
      <c r="D1079">
        <v>20</v>
      </c>
      <c r="E1079">
        <v>48</v>
      </c>
      <c r="F1079">
        <v>2</v>
      </c>
      <c r="G1079">
        <v>0</v>
      </c>
      <c r="H1079">
        <v>3</v>
      </c>
      <c r="I1079">
        <v>0</v>
      </c>
      <c r="J1079">
        <v>0</v>
      </c>
      <c r="K1079">
        <v>34</v>
      </c>
      <c r="L1079" t="s">
        <v>39</v>
      </c>
      <c r="M1079" t="s">
        <v>38</v>
      </c>
      <c r="N1079" s="1">
        <v>45786</v>
      </c>
      <c r="O1079" s="2">
        <v>0.54181712962962958</v>
      </c>
      <c r="P1079" s="2">
        <v>0.91667824074074078</v>
      </c>
      <c r="Q1079">
        <v>9</v>
      </c>
      <c r="R1079">
        <v>9</v>
      </c>
      <c r="S1079">
        <v>0.97</v>
      </c>
      <c r="T1079">
        <v>0</v>
      </c>
      <c r="U1079">
        <v>0</v>
      </c>
      <c r="V1079">
        <v>0.02</v>
      </c>
      <c r="W1079">
        <v>6.53</v>
      </c>
      <c r="X1079">
        <v>1.47</v>
      </c>
      <c r="Y1079">
        <v>0</v>
      </c>
      <c r="Z1079">
        <v>0</v>
      </c>
      <c r="AA1079">
        <v>0</v>
      </c>
      <c r="AB1079">
        <v>0</v>
      </c>
      <c r="AC1079">
        <v>9</v>
      </c>
      <c r="AD1079">
        <v>10.74</v>
      </c>
      <c r="AE1079">
        <v>0</v>
      </c>
      <c r="AF1079">
        <v>0</v>
      </c>
      <c r="AG1079">
        <v>0.22</v>
      </c>
      <c r="AH1079">
        <v>72.62</v>
      </c>
      <c r="AI1079">
        <v>16.39</v>
      </c>
      <c r="AJ1079">
        <v>0</v>
      </c>
      <c r="AK1079">
        <v>0</v>
      </c>
      <c r="AL1079">
        <v>0</v>
      </c>
      <c r="AM1079">
        <v>0.04</v>
      </c>
      <c r="AN1079">
        <f t="shared" si="49"/>
        <v>6</v>
      </c>
      <c r="AO1079" t="str">
        <f t="shared" si="50"/>
        <v>Friday</v>
      </c>
    </row>
    <row r="1080" spans="1:41" x14ac:dyDescent="0.2">
      <c r="A1080" t="s">
        <v>41</v>
      </c>
      <c r="B1080" s="1">
        <v>45786</v>
      </c>
      <c r="C1080" s="1">
        <f t="shared" si="48"/>
        <v>45808</v>
      </c>
      <c r="D1080">
        <v>24</v>
      </c>
      <c r="E1080">
        <v>58</v>
      </c>
      <c r="F1080">
        <v>1</v>
      </c>
      <c r="G1080">
        <v>1</v>
      </c>
      <c r="H1080">
        <v>3</v>
      </c>
      <c r="I1080">
        <v>0</v>
      </c>
      <c r="J1080">
        <v>0</v>
      </c>
      <c r="K1080">
        <v>40</v>
      </c>
      <c r="L1080" t="s">
        <v>41</v>
      </c>
      <c r="M1080" t="s">
        <v>38</v>
      </c>
      <c r="N1080" s="1">
        <v>45786</v>
      </c>
      <c r="O1080" s="2">
        <v>0.54380787037037037</v>
      </c>
      <c r="P1080" s="2">
        <v>0.91671296296296301</v>
      </c>
      <c r="Q1080">
        <v>8.9499999999999993</v>
      </c>
      <c r="R1080">
        <v>8.08</v>
      </c>
      <c r="S1080">
        <v>0.46</v>
      </c>
      <c r="T1080">
        <v>0.42</v>
      </c>
      <c r="U1080">
        <v>0</v>
      </c>
      <c r="V1080">
        <v>0.17</v>
      </c>
      <c r="W1080">
        <v>6.45</v>
      </c>
      <c r="X1080">
        <v>0.56000000000000005</v>
      </c>
      <c r="Y1080">
        <v>0</v>
      </c>
      <c r="Z1080">
        <v>0</v>
      </c>
      <c r="AA1080">
        <v>0</v>
      </c>
      <c r="AB1080">
        <v>0.02</v>
      </c>
      <c r="AC1080">
        <v>8.08</v>
      </c>
      <c r="AD1080">
        <v>5.65</v>
      </c>
      <c r="AE1080">
        <v>5.21</v>
      </c>
      <c r="AF1080">
        <v>0</v>
      </c>
      <c r="AG1080">
        <v>2.13</v>
      </c>
      <c r="AH1080">
        <v>79.8</v>
      </c>
      <c r="AI1080">
        <v>6.94</v>
      </c>
      <c r="AJ1080">
        <v>0</v>
      </c>
      <c r="AK1080">
        <v>0</v>
      </c>
      <c r="AL1080">
        <v>0</v>
      </c>
      <c r="AM1080">
        <v>0.28000000000000003</v>
      </c>
      <c r="AN1080">
        <f t="shared" si="49"/>
        <v>6</v>
      </c>
      <c r="AO1080" t="str">
        <f t="shared" si="50"/>
        <v>Friday</v>
      </c>
    </row>
    <row r="1081" spans="1:41" x14ac:dyDescent="0.2">
      <c r="A1081" t="s">
        <v>43</v>
      </c>
      <c r="B1081" s="1">
        <v>45786</v>
      </c>
      <c r="C1081" s="1">
        <f t="shared" si="48"/>
        <v>45808</v>
      </c>
      <c r="D1081">
        <v>23</v>
      </c>
      <c r="E1081">
        <v>56</v>
      </c>
      <c r="F1081">
        <v>3</v>
      </c>
      <c r="G1081">
        <v>0</v>
      </c>
      <c r="H1081">
        <v>6</v>
      </c>
      <c r="I1081">
        <v>0</v>
      </c>
      <c r="J1081">
        <v>2</v>
      </c>
      <c r="K1081">
        <v>33</v>
      </c>
      <c r="L1081" t="s">
        <v>43</v>
      </c>
      <c r="M1081" t="s">
        <v>38</v>
      </c>
      <c r="N1081" s="1">
        <v>45786</v>
      </c>
      <c r="O1081" s="2">
        <v>0.54129629629629628</v>
      </c>
      <c r="P1081" s="2">
        <v>0.91771990740740739</v>
      </c>
      <c r="Q1081">
        <v>9.0299999999999994</v>
      </c>
      <c r="R1081">
        <v>9.0299999999999994</v>
      </c>
      <c r="S1081">
        <v>0.67</v>
      </c>
      <c r="T1081">
        <v>0.41</v>
      </c>
      <c r="U1081">
        <v>0</v>
      </c>
      <c r="V1081">
        <v>0.2</v>
      </c>
      <c r="W1081">
        <v>5.89</v>
      </c>
      <c r="X1081">
        <v>1.86</v>
      </c>
      <c r="Y1081">
        <v>0</v>
      </c>
      <c r="Z1081">
        <v>0</v>
      </c>
      <c r="AA1081">
        <v>0</v>
      </c>
      <c r="AB1081">
        <v>0</v>
      </c>
      <c r="AC1081">
        <v>9.0299999999999994</v>
      </c>
      <c r="AD1081">
        <v>7.37</v>
      </c>
      <c r="AE1081">
        <v>4.5199999999999996</v>
      </c>
      <c r="AF1081">
        <v>0</v>
      </c>
      <c r="AG1081">
        <v>2.25</v>
      </c>
      <c r="AH1081">
        <v>65.25</v>
      </c>
      <c r="AI1081">
        <v>20.58</v>
      </c>
      <c r="AJ1081">
        <v>0</v>
      </c>
      <c r="AK1081">
        <v>0</v>
      </c>
      <c r="AL1081">
        <v>0</v>
      </c>
      <c r="AM1081">
        <v>0.04</v>
      </c>
      <c r="AN1081">
        <f t="shared" si="49"/>
        <v>6</v>
      </c>
      <c r="AO1081" t="str">
        <f t="shared" si="50"/>
        <v>Friday</v>
      </c>
    </row>
    <row r="1082" spans="1:41" x14ac:dyDescent="0.2">
      <c r="B1082" s="1">
        <v>45786</v>
      </c>
      <c r="C1082" s="1">
        <f t="shared" si="48"/>
        <v>45808</v>
      </c>
      <c r="D1082">
        <v>595</v>
      </c>
      <c r="E1082">
        <v>0</v>
      </c>
      <c r="F1082">
        <v>0</v>
      </c>
      <c r="G1082">
        <v>0</v>
      </c>
      <c r="H1082">
        <v>0</v>
      </c>
      <c r="I1082">
        <v>0</v>
      </c>
      <c r="J1082">
        <v>0</v>
      </c>
      <c r="K1082">
        <v>0</v>
      </c>
      <c r="AN1082">
        <f t="shared" si="49"/>
        <v>6</v>
      </c>
      <c r="AO1082" t="str">
        <f t="shared" si="50"/>
        <v>Friday</v>
      </c>
    </row>
    <row r="1083" spans="1:41" x14ac:dyDescent="0.2">
      <c r="A1083" t="s">
        <v>53</v>
      </c>
      <c r="B1083" s="1">
        <v>45785</v>
      </c>
      <c r="C1083" s="1">
        <f t="shared" si="48"/>
        <v>45808</v>
      </c>
      <c r="D1083">
        <v>22</v>
      </c>
      <c r="E1083">
        <v>78</v>
      </c>
      <c r="F1083">
        <v>6</v>
      </c>
      <c r="G1083">
        <v>0</v>
      </c>
      <c r="H1083">
        <v>12</v>
      </c>
      <c r="I1083">
        <v>0</v>
      </c>
      <c r="J1083">
        <v>0</v>
      </c>
      <c r="K1083">
        <v>42</v>
      </c>
      <c r="L1083" t="s">
        <v>53</v>
      </c>
      <c r="M1083" t="s">
        <v>38</v>
      </c>
      <c r="N1083" s="1">
        <v>45785</v>
      </c>
      <c r="O1083" s="2">
        <v>0.54244212962962968</v>
      </c>
      <c r="P1083" s="2">
        <v>0.91710648148148144</v>
      </c>
      <c r="Q1083">
        <v>8.98</v>
      </c>
      <c r="R1083">
        <v>8.99</v>
      </c>
      <c r="S1083">
        <v>0.8</v>
      </c>
      <c r="T1083">
        <v>0</v>
      </c>
      <c r="U1083">
        <v>0</v>
      </c>
      <c r="V1083">
        <v>0.05</v>
      </c>
      <c r="W1083">
        <v>6.13</v>
      </c>
      <c r="X1083">
        <v>1.31</v>
      </c>
      <c r="Y1083">
        <v>0.62</v>
      </c>
      <c r="Z1083">
        <v>0</v>
      </c>
      <c r="AA1083">
        <v>0.06</v>
      </c>
      <c r="AB1083">
        <v>0.01</v>
      </c>
      <c r="AC1083">
        <v>8.99</v>
      </c>
      <c r="AD1083">
        <v>8.92</v>
      </c>
      <c r="AE1083">
        <v>0</v>
      </c>
      <c r="AF1083">
        <v>0</v>
      </c>
      <c r="AG1083">
        <v>0.61</v>
      </c>
      <c r="AH1083">
        <v>68.16</v>
      </c>
      <c r="AI1083">
        <v>14.6</v>
      </c>
      <c r="AJ1083">
        <v>6.93</v>
      </c>
      <c r="AK1083">
        <v>0</v>
      </c>
      <c r="AL1083">
        <v>0.71</v>
      </c>
      <c r="AM1083">
        <v>7.0000000000000007E-2</v>
      </c>
      <c r="AN1083">
        <f t="shared" si="49"/>
        <v>5</v>
      </c>
      <c r="AO1083" t="str">
        <f t="shared" si="50"/>
        <v>Thursday</v>
      </c>
    </row>
    <row r="1084" spans="1:41" x14ac:dyDescent="0.2">
      <c r="A1084" t="s">
        <v>37</v>
      </c>
      <c r="B1084" s="1">
        <v>45785</v>
      </c>
      <c r="C1084" s="1">
        <f t="shared" si="48"/>
        <v>45808</v>
      </c>
      <c r="D1084">
        <v>13</v>
      </c>
      <c r="E1084">
        <v>55</v>
      </c>
      <c r="F1084">
        <v>1</v>
      </c>
      <c r="G1084">
        <v>0</v>
      </c>
      <c r="H1084">
        <v>4</v>
      </c>
      <c r="I1084">
        <v>0</v>
      </c>
      <c r="J1084">
        <v>0</v>
      </c>
      <c r="K1084">
        <v>33</v>
      </c>
      <c r="L1084" t="s">
        <v>37</v>
      </c>
      <c r="M1084" t="s">
        <v>38</v>
      </c>
      <c r="N1084" s="1">
        <v>45785</v>
      </c>
      <c r="O1084" s="2">
        <v>0.54233796296296299</v>
      </c>
      <c r="P1084" s="2">
        <v>0.75456018518518519</v>
      </c>
      <c r="Q1084">
        <v>5.0999999999999996</v>
      </c>
      <c r="R1084">
        <v>5.09</v>
      </c>
      <c r="S1084">
        <v>0.21</v>
      </c>
      <c r="T1084">
        <v>0.21</v>
      </c>
      <c r="U1084">
        <v>0</v>
      </c>
      <c r="V1084">
        <v>0.11</v>
      </c>
      <c r="W1084">
        <v>3.62</v>
      </c>
      <c r="X1084">
        <v>0.33</v>
      </c>
      <c r="Y1084">
        <v>0.61</v>
      </c>
      <c r="Z1084">
        <v>0</v>
      </c>
      <c r="AA1084">
        <v>0</v>
      </c>
      <c r="AB1084">
        <v>0.01</v>
      </c>
      <c r="AC1084">
        <v>5.09</v>
      </c>
      <c r="AD1084">
        <v>4.1100000000000003</v>
      </c>
      <c r="AE1084">
        <v>4.1100000000000003</v>
      </c>
      <c r="AF1084">
        <v>0</v>
      </c>
      <c r="AG1084">
        <v>2.0699999999999998</v>
      </c>
      <c r="AH1084">
        <v>71.14</v>
      </c>
      <c r="AI1084">
        <v>6.45</v>
      </c>
      <c r="AJ1084">
        <v>12.01</v>
      </c>
      <c r="AK1084">
        <v>0</v>
      </c>
      <c r="AL1084">
        <v>0</v>
      </c>
      <c r="AM1084">
        <v>0.1</v>
      </c>
      <c r="AN1084">
        <f t="shared" si="49"/>
        <v>5</v>
      </c>
      <c r="AO1084" t="str">
        <f t="shared" si="50"/>
        <v>Thursday</v>
      </c>
    </row>
    <row r="1085" spans="1:41" x14ac:dyDescent="0.2">
      <c r="A1085" t="s">
        <v>52</v>
      </c>
      <c r="B1085" s="1">
        <v>45785</v>
      </c>
      <c r="C1085" s="1">
        <f t="shared" si="48"/>
        <v>45808</v>
      </c>
      <c r="D1085">
        <v>17</v>
      </c>
      <c r="E1085">
        <v>45</v>
      </c>
      <c r="F1085">
        <v>4</v>
      </c>
      <c r="G1085">
        <v>0</v>
      </c>
      <c r="H1085">
        <v>13</v>
      </c>
      <c r="I1085">
        <v>0</v>
      </c>
      <c r="J1085">
        <v>0</v>
      </c>
      <c r="K1085">
        <v>11</v>
      </c>
      <c r="L1085" t="s">
        <v>52</v>
      </c>
      <c r="M1085" t="s">
        <v>38</v>
      </c>
      <c r="N1085" s="1">
        <v>45785</v>
      </c>
      <c r="O1085" s="2">
        <v>0.54203703703703698</v>
      </c>
      <c r="P1085" s="2">
        <v>0.97250000000000003</v>
      </c>
      <c r="Q1085">
        <v>10.33</v>
      </c>
      <c r="R1085">
        <v>10.33</v>
      </c>
      <c r="S1085">
        <v>1.95</v>
      </c>
      <c r="T1085">
        <v>0.19</v>
      </c>
      <c r="U1085">
        <v>0</v>
      </c>
      <c r="V1085">
        <v>0.18</v>
      </c>
      <c r="W1085">
        <v>5.29</v>
      </c>
      <c r="X1085">
        <v>1.51</v>
      </c>
      <c r="Y1085">
        <v>1.21</v>
      </c>
      <c r="Z1085">
        <v>0</v>
      </c>
      <c r="AA1085">
        <v>0.01</v>
      </c>
      <c r="AB1085">
        <v>0.01</v>
      </c>
      <c r="AC1085">
        <v>10.33</v>
      </c>
      <c r="AD1085">
        <v>18.829999999999998</v>
      </c>
      <c r="AE1085">
        <v>1.81</v>
      </c>
      <c r="AF1085">
        <v>0</v>
      </c>
      <c r="AG1085">
        <v>1.71</v>
      </c>
      <c r="AH1085">
        <v>51.22</v>
      </c>
      <c r="AI1085">
        <v>14.6</v>
      </c>
      <c r="AJ1085">
        <v>11.71</v>
      </c>
      <c r="AK1085">
        <v>0</v>
      </c>
      <c r="AL1085">
        <v>0.05</v>
      </c>
      <c r="AM1085">
        <v>0.06</v>
      </c>
      <c r="AN1085">
        <f t="shared" si="49"/>
        <v>5</v>
      </c>
      <c r="AO1085" t="str">
        <f t="shared" si="50"/>
        <v>Thursday</v>
      </c>
    </row>
    <row r="1086" spans="1:41" x14ac:dyDescent="0.2">
      <c r="A1086" t="s">
        <v>39</v>
      </c>
      <c r="B1086" s="1">
        <v>45785</v>
      </c>
      <c r="C1086" s="1">
        <f t="shared" si="48"/>
        <v>45808</v>
      </c>
      <c r="D1086">
        <v>22</v>
      </c>
      <c r="E1086">
        <v>62</v>
      </c>
      <c r="F1086">
        <v>10</v>
      </c>
      <c r="G1086">
        <v>0</v>
      </c>
      <c r="H1086">
        <v>9</v>
      </c>
      <c r="I1086">
        <v>0</v>
      </c>
      <c r="J1086">
        <v>0</v>
      </c>
      <c r="K1086">
        <v>32</v>
      </c>
      <c r="L1086" t="s">
        <v>39</v>
      </c>
      <c r="M1086" t="s">
        <v>38</v>
      </c>
      <c r="N1086" s="1">
        <v>45785</v>
      </c>
      <c r="O1086" s="2">
        <v>0.54171296296296301</v>
      </c>
      <c r="P1086" s="2">
        <v>0.91671296296296301</v>
      </c>
      <c r="Q1086">
        <v>9</v>
      </c>
      <c r="R1086">
        <v>9</v>
      </c>
      <c r="S1086">
        <v>1.1599999999999999</v>
      </c>
      <c r="T1086">
        <v>0.02</v>
      </c>
      <c r="U1086">
        <v>0</v>
      </c>
      <c r="V1086">
        <v>0.02</v>
      </c>
      <c r="W1086">
        <v>5.72</v>
      </c>
      <c r="X1086">
        <v>1.47</v>
      </c>
      <c r="Y1086">
        <v>0.6</v>
      </c>
      <c r="Z1086">
        <v>0</v>
      </c>
      <c r="AA1086">
        <v>0</v>
      </c>
      <c r="AB1086">
        <v>0</v>
      </c>
      <c r="AC1086">
        <v>9</v>
      </c>
      <c r="AD1086">
        <v>12.93</v>
      </c>
      <c r="AE1086">
        <v>0.21</v>
      </c>
      <c r="AF1086">
        <v>0</v>
      </c>
      <c r="AG1086">
        <v>0.24</v>
      </c>
      <c r="AH1086">
        <v>63.58</v>
      </c>
      <c r="AI1086">
        <v>16.32</v>
      </c>
      <c r="AJ1086">
        <v>6.69</v>
      </c>
      <c r="AK1086">
        <v>0</v>
      </c>
      <c r="AL1086">
        <v>0</v>
      </c>
      <c r="AM1086">
        <v>0.04</v>
      </c>
      <c r="AN1086">
        <f t="shared" si="49"/>
        <v>5</v>
      </c>
      <c r="AO1086" t="str">
        <f t="shared" si="50"/>
        <v>Thursday</v>
      </c>
    </row>
    <row r="1087" spans="1:41" x14ac:dyDescent="0.2">
      <c r="A1087" t="s">
        <v>41</v>
      </c>
      <c r="B1087" s="1">
        <v>45785</v>
      </c>
      <c r="C1087" s="1">
        <f t="shared" si="48"/>
        <v>45808</v>
      </c>
      <c r="D1087">
        <v>22</v>
      </c>
      <c r="E1087">
        <v>91</v>
      </c>
      <c r="F1087">
        <v>2</v>
      </c>
      <c r="G1087">
        <v>2</v>
      </c>
      <c r="H1087">
        <v>6</v>
      </c>
      <c r="I1087">
        <v>0</v>
      </c>
      <c r="J1087">
        <v>4</v>
      </c>
      <c r="K1087">
        <v>63</v>
      </c>
      <c r="L1087" t="s">
        <v>41</v>
      </c>
      <c r="M1087" t="s">
        <v>38</v>
      </c>
      <c r="N1087" s="1">
        <v>45785</v>
      </c>
      <c r="O1087" s="2">
        <v>0.54311342592592593</v>
      </c>
      <c r="P1087" s="2">
        <v>0.91618055555555555</v>
      </c>
      <c r="Q1087">
        <v>8.9499999999999993</v>
      </c>
      <c r="R1087">
        <v>8.9499999999999993</v>
      </c>
      <c r="S1087">
        <v>0.35</v>
      </c>
      <c r="T1087">
        <v>0</v>
      </c>
      <c r="U1087">
        <v>0</v>
      </c>
      <c r="V1087">
        <v>7.0000000000000007E-2</v>
      </c>
      <c r="W1087">
        <v>6.38</v>
      </c>
      <c r="X1087">
        <v>1.49</v>
      </c>
      <c r="Y1087">
        <v>0.64</v>
      </c>
      <c r="Z1087">
        <v>0</v>
      </c>
      <c r="AA1087">
        <v>0</v>
      </c>
      <c r="AB1087">
        <v>0.02</v>
      </c>
      <c r="AC1087">
        <v>8.9499999999999993</v>
      </c>
      <c r="AD1087">
        <v>3.95</v>
      </c>
      <c r="AE1087">
        <v>0</v>
      </c>
      <c r="AF1087">
        <v>0</v>
      </c>
      <c r="AG1087">
        <v>0.77</v>
      </c>
      <c r="AH1087">
        <v>71.3</v>
      </c>
      <c r="AI1087">
        <v>16.600000000000001</v>
      </c>
      <c r="AJ1087">
        <v>7.13</v>
      </c>
      <c r="AK1087">
        <v>0</v>
      </c>
      <c r="AL1087">
        <v>0</v>
      </c>
      <c r="AM1087">
        <v>0.25</v>
      </c>
      <c r="AN1087">
        <f t="shared" si="49"/>
        <v>5</v>
      </c>
      <c r="AO1087" t="str">
        <f t="shared" si="50"/>
        <v>Thursday</v>
      </c>
    </row>
    <row r="1088" spans="1:41" x14ac:dyDescent="0.2">
      <c r="A1088" t="s">
        <v>43</v>
      </c>
      <c r="B1088" s="1">
        <v>45785</v>
      </c>
      <c r="C1088" s="1">
        <f t="shared" si="48"/>
        <v>45808</v>
      </c>
      <c r="D1088">
        <v>19</v>
      </c>
      <c r="E1088">
        <v>59</v>
      </c>
      <c r="F1088">
        <v>5</v>
      </c>
      <c r="G1088">
        <v>0</v>
      </c>
      <c r="H1088">
        <v>4</v>
      </c>
      <c r="I1088">
        <v>0</v>
      </c>
      <c r="J1088">
        <v>0</v>
      </c>
      <c r="K1088">
        <v>35</v>
      </c>
      <c r="L1088" t="s">
        <v>43</v>
      </c>
      <c r="M1088" t="s">
        <v>38</v>
      </c>
      <c r="N1088" s="1">
        <v>45785</v>
      </c>
      <c r="O1088" s="2">
        <v>0.54144675925925922</v>
      </c>
      <c r="P1088" s="2">
        <v>0.91738425925925926</v>
      </c>
      <c r="Q1088">
        <v>9.0299999999999994</v>
      </c>
      <c r="R1088">
        <v>9.02</v>
      </c>
      <c r="S1088">
        <v>0.67</v>
      </c>
      <c r="T1088">
        <v>0.15</v>
      </c>
      <c r="U1088">
        <v>0</v>
      </c>
      <c r="V1088">
        <v>0.26</v>
      </c>
      <c r="W1088">
        <v>5.41</v>
      </c>
      <c r="X1088">
        <v>1.48</v>
      </c>
      <c r="Y1088">
        <v>0.91</v>
      </c>
      <c r="Z1088">
        <v>0</v>
      </c>
      <c r="AA1088">
        <v>0.15</v>
      </c>
      <c r="AB1088">
        <v>0</v>
      </c>
      <c r="AC1088">
        <v>9.02</v>
      </c>
      <c r="AD1088">
        <v>7.41</v>
      </c>
      <c r="AE1088">
        <v>1.63</v>
      </c>
      <c r="AF1088">
        <v>0</v>
      </c>
      <c r="AG1088">
        <v>2.93</v>
      </c>
      <c r="AH1088">
        <v>59.91</v>
      </c>
      <c r="AI1088">
        <v>16.350000000000001</v>
      </c>
      <c r="AJ1088">
        <v>10.07</v>
      </c>
      <c r="AK1088">
        <v>0</v>
      </c>
      <c r="AL1088">
        <v>1.66</v>
      </c>
      <c r="AM1088">
        <v>0.04</v>
      </c>
      <c r="AN1088">
        <f t="shared" si="49"/>
        <v>5</v>
      </c>
      <c r="AO1088" t="str">
        <f t="shared" si="50"/>
        <v>Thursday</v>
      </c>
    </row>
    <row r="1089" spans="1:41" x14ac:dyDescent="0.2">
      <c r="B1089" s="1">
        <v>45785</v>
      </c>
      <c r="C1089" s="1">
        <f t="shared" si="48"/>
        <v>45808</v>
      </c>
      <c r="D1089">
        <v>485</v>
      </c>
      <c r="E1089">
        <v>0</v>
      </c>
      <c r="F1089">
        <v>0</v>
      </c>
      <c r="G1089">
        <v>0</v>
      </c>
      <c r="H1089">
        <v>0</v>
      </c>
      <c r="I1089">
        <v>0</v>
      </c>
      <c r="J1089">
        <v>0</v>
      </c>
      <c r="K1089">
        <v>0</v>
      </c>
      <c r="AN1089">
        <f t="shared" si="49"/>
        <v>5</v>
      </c>
      <c r="AO1089" t="str">
        <f t="shared" si="50"/>
        <v>Thursday</v>
      </c>
    </row>
    <row r="1090" spans="1:41" x14ac:dyDescent="0.2">
      <c r="A1090" t="s">
        <v>53</v>
      </c>
      <c r="B1090" s="1">
        <v>45784</v>
      </c>
      <c r="C1090" s="1">
        <f t="shared" si="48"/>
        <v>45808</v>
      </c>
      <c r="D1090">
        <v>19</v>
      </c>
      <c r="E1090">
        <v>40</v>
      </c>
      <c r="F1090">
        <v>3</v>
      </c>
      <c r="G1090">
        <v>3</v>
      </c>
      <c r="H1090">
        <v>6</v>
      </c>
      <c r="I1090">
        <v>0</v>
      </c>
      <c r="J1090">
        <v>0</v>
      </c>
      <c r="K1090">
        <v>22</v>
      </c>
      <c r="L1090" t="s">
        <v>53</v>
      </c>
      <c r="M1090" t="s">
        <v>38</v>
      </c>
      <c r="N1090" s="1">
        <v>45784</v>
      </c>
      <c r="O1090" s="2">
        <v>0.54184027777777777</v>
      </c>
      <c r="P1090" s="2">
        <v>0.91671296296296301</v>
      </c>
      <c r="Q1090">
        <v>9</v>
      </c>
      <c r="R1090">
        <v>9</v>
      </c>
      <c r="S1090">
        <v>1.36</v>
      </c>
      <c r="T1090">
        <v>0</v>
      </c>
      <c r="U1090">
        <v>0</v>
      </c>
      <c r="V1090">
        <v>0.15</v>
      </c>
      <c r="W1090">
        <v>5.96</v>
      </c>
      <c r="X1090">
        <v>1.32</v>
      </c>
      <c r="Y1090">
        <v>0.19</v>
      </c>
      <c r="Z1090">
        <v>0</v>
      </c>
      <c r="AA1090">
        <v>0</v>
      </c>
      <c r="AB1090">
        <v>0.01</v>
      </c>
      <c r="AC1090">
        <v>9</v>
      </c>
      <c r="AD1090">
        <v>15.13</v>
      </c>
      <c r="AE1090">
        <v>0</v>
      </c>
      <c r="AF1090">
        <v>0</v>
      </c>
      <c r="AG1090">
        <v>1.7</v>
      </c>
      <c r="AH1090">
        <v>66.22</v>
      </c>
      <c r="AI1090">
        <v>14.69</v>
      </c>
      <c r="AJ1090">
        <v>2.16</v>
      </c>
      <c r="AK1090">
        <v>0</v>
      </c>
      <c r="AL1090">
        <v>0</v>
      </c>
      <c r="AM1090">
        <v>0.09</v>
      </c>
      <c r="AN1090">
        <f t="shared" si="49"/>
        <v>4</v>
      </c>
      <c r="AO1090" t="str">
        <f t="shared" si="50"/>
        <v>Wednesday</v>
      </c>
    </row>
    <row r="1091" spans="1:41" x14ac:dyDescent="0.2">
      <c r="A1091" t="s">
        <v>37</v>
      </c>
      <c r="B1091" s="1">
        <v>45784</v>
      </c>
      <c r="C1091" s="1">
        <f t="shared" ref="C1091:C1154" si="51">EOMONTH(B1091,0)</f>
        <v>45808</v>
      </c>
      <c r="D1091">
        <v>25</v>
      </c>
      <c r="E1091">
        <v>73</v>
      </c>
      <c r="F1091">
        <v>4</v>
      </c>
      <c r="G1091">
        <v>0</v>
      </c>
      <c r="H1091">
        <v>2</v>
      </c>
      <c r="I1091">
        <v>2</v>
      </c>
      <c r="J1091">
        <v>0</v>
      </c>
      <c r="K1091">
        <v>49</v>
      </c>
      <c r="L1091" t="s">
        <v>37</v>
      </c>
      <c r="M1091" t="s">
        <v>38</v>
      </c>
      <c r="N1091" s="1">
        <v>45784</v>
      </c>
      <c r="O1091" s="2">
        <v>0.54298611111111106</v>
      </c>
      <c r="P1091" s="2">
        <v>0.91673611111111108</v>
      </c>
      <c r="Q1091">
        <v>8.98</v>
      </c>
      <c r="R1091">
        <v>7.86</v>
      </c>
      <c r="S1091">
        <v>0.73</v>
      </c>
      <c r="T1091">
        <v>0.17</v>
      </c>
      <c r="U1091">
        <v>0</v>
      </c>
      <c r="V1091">
        <v>0.31</v>
      </c>
      <c r="W1091">
        <v>6.23</v>
      </c>
      <c r="X1091">
        <v>0.38</v>
      </c>
      <c r="Y1091">
        <v>0</v>
      </c>
      <c r="Z1091">
        <v>0</v>
      </c>
      <c r="AA1091">
        <v>0</v>
      </c>
      <c r="AB1091">
        <v>0.03</v>
      </c>
      <c r="AC1091">
        <v>7.86</v>
      </c>
      <c r="AD1091">
        <v>9.34</v>
      </c>
      <c r="AE1091">
        <v>2.21</v>
      </c>
      <c r="AF1091">
        <v>0</v>
      </c>
      <c r="AG1091">
        <v>3.92</v>
      </c>
      <c r="AH1091">
        <v>79.28</v>
      </c>
      <c r="AI1091">
        <v>4.83</v>
      </c>
      <c r="AJ1091">
        <v>0</v>
      </c>
      <c r="AK1091">
        <v>0</v>
      </c>
      <c r="AL1091">
        <v>0</v>
      </c>
      <c r="AM1091">
        <v>0.42</v>
      </c>
      <c r="AN1091">
        <f t="shared" ref="AN1091:AN1154" si="52">WEEKDAY(B1091,1)</f>
        <v>4</v>
      </c>
      <c r="AO1091" t="str">
        <f t="shared" ref="AO1091:AO1154" si="53">VLOOKUP(AN1091,$AY$2:$AZ$8,2,FALSE)</f>
        <v>Wednesday</v>
      </c>
    </row>
    <row r="1092" spans="1:41" x14ac:dyDescent="0.2">
      <c r="A1092" t="s">
        <v>52</v>
      </c>
      <c r="B1092" s="1">
        <v>45784</v>
      </c>
      <c r="C1092" s="1">
        <f t="shared" si="51"/>
        <v>45808</v>
      </c>
      <c r="D1092">
        <v>24</v>
      </c>
      <c r="E1092">
        <v>142</v>
      </c>
      <c r="F1092">
        <v>2</v>
      </c>
      <c r="G1092">
        <v>0</v>
      </c>
      <c r="H1092">
        <v>44</v>
      </c>
      <c r="I1092">
        <v>0</v>
      </c>
      <c r="J1092">
        <v>0</v>
      </c>
      <c r="K1092">
        <v>77</v>
      </c>
      <c r="L1092" t="s">
        <v>52</v>
      </c>
      <c r="M1092" t="s">
        <v>38</v>
      </c>
      <c r="N1092" s="1">
        <v>45784</v>
      </c>
      <c r="O1092" s="2">
        <v>0.53915509259259264</v>
      </c>
      <c r="P1092" s="2">
        <v>0.91675925925925927</v>
      </c>
      <c r="Q1092">
        <v>9.07</v>
      </c>
      <c r="R1092">
        <v>9.0500000000000007</v>
      </c>
      <c r="S1092">
        <v>1.21</v>
      </c>
      <c r="T1092">
        <v>0.3</v>
      </c>
      <c r="U1092">
        <v>0</v>
      </c>
      <c r="V1092">
        <v>0.26</v>
      </c>
      <c r="W1092">
        <v>5.03</v>
      </c>
      <c r="X1092">
        <v>1.5</v>
      </c>
      <c r="Y1092">
        <v>0.74</v>
      </c>
      <c r="Z1092">
        <v>0</v>
      </c>
      <c r="AA1092">
        <v>0</v>
      </c>
      <c r="AB1092">
        <v>0.01</v>
      </c>
      <c r="AC1092">
        <v>9.0500000000000007</v>
      </c>
      <c r="AD1092">
        <v>13.37</v>
      </c>
      <c r="AE1092">
        <v>3.35</v>
      </c>
      <c r="AF1092">
        <v>0</v>
      </c>
      <c r="AG1092">
        <v>2.84</v>
      </c>
      <c r="AH1092">
        <v>55.58</v>
      </c>
      <c r="AI1092">
        <v>16.61</v>
      </c>
      <c r="AJ1092">
        <v>8.16</v>
      </c>
      <c r="AK1092">
        <v>0</v>
      </c>
      <c r="AL1092">
        <v>0</v>
      </c>
      <c r="AM1092">
        <v>0.08</v>
      </c>
      <c r="AN1092">
        <f t="shared" si="52"/>
        <v>4</v>
      </c>
      <c r="AO1092" t="str">
        <f t="shared" si="53"/>
        <v>Wednesday</v>
      </c>
    </row>
    <row r="1093" spans="1:41" x14ac:dyDescent="0.2">
      <c r="A1093" t="s">
        <v>39</v>
      </c>
      <c r="B1093" s="1">
        <v>45784</v>
      </c>
      <c r="C1093" s="1">
        <f t="shared" si="51"/>
        <v>45808</v>
      </c>
      <c r="D1093">
        <v>25</v>
      </c>
      <c r="E1093">
        <v>62</v>
      </c>
      <c r="F1093">
        <v>6</v>
      </c>
      <c r="G1093">
        <v>8</v>
      </c>
      <c r="H1093">
        <v>13</v>
      </c>
      <c r="I1093">
        <v>0</v>
      </c>
      <c r="J1093">
        <v>0</v>
      </c>
      <c r="K1093">
        <v>31</v>
      </c>
      <c r="L1093" t="s">
        <v>39</v>
      </c>
      <c r="M1093" t="s">
        <v>38</v>
      </c>
      <c r="N1093" s="1">
        <v>45784</v>
      </c>
      <c r="O1093" s="2">
        <v>0.54177083333333331</v>
      </c>
      <c r="P1093" s="2">
        <v>0.91671296296296301</v>
      </c>
      <c r="Q1093">
        <v>9</v>
      </c>
      <c r="R1093">
        <v>9.0299999999999994</v>
      </c>
      <c r="S1093">
        <v>1.54</v>
      </c>
      <c r="T1093">
        <v>0.19</v>
      </c>
      <c r="U1093">
        <v>0</v>
      </c>
      <c r="V1093">
        <v>0.03</v>
      </c>
      <c r="W1093">
        <v>5.85</v>
      </c>
      <c r="X1093">
        <v>1.42</v>
      </c>
      <c r="Y1093">
        <v>0</v>
      </c>
      <c r="Z1093">
        <v>0</v>
      </c>
      <c r="AA1093">
        <v>0</v>
      </c>
      <c r="AB1093">
        <v>0</v>
      </c>
      <c r="AC1093">
        <v>9.0299999999999994</v>
      </c>
      <c r="AD1093">
        <v>17.079999999999998</v>
      </c>
      <c r="AE1093">
        <v>2.0699999999999998</v>
      </c>
      <c r="AF1093">
        <v>0</v>
      </c>
      <c r="AG1093">
        <v>0.33</v>
      </c>
      <c r="AH1093">
        <v>64.739999999999995</v>
      </c>
      <c r="AI1093">
        <v>15.73</v>
      </c>
      <c r="AJ1093">
        <v>0</v>
      </c>
      <c r="AK1093">
        <v>0</v>
      </c>
      <c r="AL1093">
        <v>0</v>
      </c>
      <c r="AM1093">
        <v>0.05</v>
      </c>
      <c r="AN1093">
        <f t="shared" si="52"/>
        <v>4</v>
      </c>
      <c r="AO1093" t="str">
        <f t="shared" si="53"/>
        <v>Wednesday</v>
      </c>
    </row>
    <row r="1094" spans="1:41" x14ac:dyDescent="0.2">
      <c r="A1094" t="s">
        <v>41</v>
      </c>
      <c r="B1094" s="1">
        <v>45784</v>
      </c>
      <c r="C1094" s="1">
        <f t="shared" si="51"/>
        <v>45808</v>
      </c>
      <c r="D1094">
        <v>27</v>
      </c>
      <c r="E1094">
        <v>71</v>
      </c>
      <c r="F1094">
        <v>2</v>
      </c>
      <c r="G1094">
        <v>5</v>
      </c>
      <c r="H1094">
        <v>17</v>
      </c>
      <c r="I1094">
        <v>0</v>
      </c>
      <c r="J1094">
        <v>1</v>
      </c>
      <c r="K1094">
        <v>35</v>
      </c>
      <c r="L1094" t="s">
        <v>41</v>
      </c>
      <c r="M1094" t="s">
        <v>38</v>
      </c>
      <c r="N1094" s="1">
        <v>45784</v>
      </c>
      <c r="O1094" s="2">
        <v>0.56263888888888891</v>
      </c>
      <c r="P1094" s="2">
        <v>0.91896990740740736</v>
      </c>
      <c r="Q1094">
        <v>8.5500000000000007</v>
      </c>
      <c r="R1094">
        <v>8.5500000000000007</v>
      </c>
      <c r="S1094">
        <v>1.28</v>
      </c>
      <c r="T1094">
        <v>0.05</v>
      </c>
      <c r="U1094">
        <v>0</v>
      </c>
      <c r="V1094">
        <v>0.22</v>
      </c>
      <c r="W1094">
        <v>5.55</v>
      </c>
      <c r="X1094">
        <v>1.44</v>
      </c>
      <c r="Y1094">
        <v>0</v>
      </c>
      <c r="Z1094">
        <v>0</v>
      </c>
      <c r="AA1094">
        <v>0</v>
      </c>
      <c r="AB1094">
        <v>0.01</v>
      </c>
      <c r="AC1094">
        <v>8.5500000000000007</v>
      </c>
      <c r="AD1094">
        <v>15.02</v>
      </c>
      <c r="AE1094">
        <v>0.59</v>
      </c>
      <c r="AF1094">
        <v>0</v>
      </c>
      <c r="AG1094">
        <v>2.58</v>
      </c>
      <c r="AH1094">
        <v>64.87</v>
      </c>
      <c r="AI1094">
        <v>16.88</v>
      </c>
      <c r="AJ1094">
        <v>0</v>
      </c>
      <c r="AK1094">
        <v>0</v>
      </c>
      <c r="AL1094">
        <v>0</v>
      </c>
      <c r="AM1094">
        <v>0.06</v>
      </c>
      <c r="AN1094">
        <f t="shared" si="52"/>
        <v>4</v>
      </c>
      <c r="AO1094" t="str">
        <f t="shared" si="53"/>
        <v>Wednesday</v>
      </c>
    </row>
    <row r="1095" spans="1:41" x14ac:dyDescent="0.2">
      <c r="A1095" t="s">
        <v>42</v>
      </c>
      <c r="B1095" s="1">
        <v>45784</v>
      </c>
      <c r="C1095" s="1">
        <f t="shared" si="51"/>
        <v>45808</v>
      </c>
      <c r="D1095">
        <v>1</v>
      </c>
      <c r="E1095">
        <v>1</v>
      </c>
      <c r="F1095">
        <v>0</v>
      </c>
      <c r="G1095">
        <v>0</v>
      </c>
      <c r="H1095">
        <v>1</v>
      </c>
      <c r="I1095">
        <v>0</v>
      </c>
      <c r="J1095">
        <v>0</v>
      </c>
      <c r="K1095">
        <v>0</v>
      </c>
      <c r="L1095" t="s">
        <v>42</v>
      </c>
      <c r="M1095" t="s">
        <v>38</v>
      </c>
      <c r="N1095" s="1">
        <v>45784</v>
      </c>
      <c r="O1095" s="2">
        <v>0.79807870370370371</v>
      </c>
      <c r="P1095" s="2">
        <v>0.88613425925925926</v>
      </c>
      <c r="Q1095">
        <v>2.12</v>
      </c>
      <c r="R1095">
        <v>2.11</v>
      </c>
      <c r="S1095">
        <v>2.0699999999999998</v>
      </c>
      <c r="T1095">
        <v>0</v>
      </c>
      <c r="U1095">
        <v>0</v>
      </c>
      <c r="V1095">
        <v>0.04</v>
      </c>
      <c r="W1095">
        <v>0</v>
      </c>
      <c r="X1095">
        <v>0</v>
      </c>
      <c r="Y1095">
        <v>0</v>
      </c>
      <c r="Z1095">
        <v>0</v>
      </c>
      <c r="AA1095">
        <v>0</v>
      </c>
      <c r="AB1095">
        <v>0</v>
      </c>
      <c r="AC1095">
        <v>2.11</v>
      </c>
      <c r="AD1095">
        <v>97.84</v>
      </c>
      <c r="AE1095">
        <v>0</v>
      </c>
      <c r="AF1095">
        <v>0</v>
      </c>
      <c r="AG1095">
        <v>1.99</v>
      </c>
      <c r="AH1095">
        <v>0</v>
      </c>
      <c r="AI1095">
        <v>0</v>
      </c>
      <c r="AJ1095">
        <v>0</v>
      </c>
      <c r="AK1095">
        <v>0</v>
      </c>
      <c r="AL1095">
        <v>0</v>
      </c>
      <c r="AM1095">
        <v>0.17</v>
      </c>
      <c r="AN1095">
        <f t="shared" si="52"/>
        <v>4</v>
      </c>
      <c r="AO1095" t="str">
        <f t="shared" si="53"/>
        <v>Wednesday</v>
      </c>
    </row>
    <row r="1096" spans="1:41" x14ac:dyDescent="0.2">
      <c r="A1096" t="s">
        <v>43</v>
      </c>
      <c r="B1096" s="1">
        <v>45784</v>
      </c>
      <c r="C1096" s="1">
        <f t="shared" si="51"/>
        <v>45808</v>
      </c>
      <c r="D1096">
        <v>22</v>
      </c>
      <c r="E1096">
        <v>75</v>
      </c>
      <c r="F1096">
        <v>3</v>
      </c>
      <c r="G1096">
        <v>3</v>
      </c>
      <c r="H1096">
        <v>8</v>
      </c>
      <c r="I1096">
        <v>1</v>
      </c>
      <c r="J1096">
        <v>0</v>
      </c>
      <c r="K1096">
        <v>47</v>
      </c>
      <c r="L1096" t="s">
        <v>43</v>
      </c>
      <c r="M1096" t="s">
        <v>38</v>
      </c>
      <c r="N1096" s="1">
        <v>45784</v>
      </c>
      <c r="O1096" s="2">
        <v>0.54155092592592591</v>
      </c>
      <c r="P1096" s="2">
        <v>0.91841435185185183</v>
      </c>
      <c r="Q1096">
        <v>9.0500000000000007</v>
      </c>
      <c r="R1096">
        <v>9.0500000000000007</v>
      </c>
      <c r="S1096">
        <v>1.32</v>
      </c>
      <c r="T1096">
        <v>0.23</v>
      </c>
      <c r="U1096">
        <v>0</v>
      </c>
      <c r="V1096">
        <v>0.38</v>
      </c>
      <c r="W1096">
        <v>5.63</v>
      </c>
      <c r="X1096">
        <v>1.48</v>
      </c>
      <c r="Y1096">
        <v>0</v>
      </c>
      <c r="Z1096">
        <v>0</v>
      </c>
      <c r="AA1096">
        <v>0</v>
      </c>
      <c r="AB1096">
        <v>0</v>
      </c>
      <c r="AC1096">
        <v>9.0500000000000007</v>
      </c>
      <c r="AD1096">
        <v>14.59</v>
      </c>
      <c r="AE1096">
        <v>2.57</v>
      </c>
      <c r="AF1096">
        <v>0</v>
      </c>
      <c r="AG1096">
        <v>4.17</v>
      </c>
      <c r="AH1096">
        <v>62.25</v>
      </c>
      <c r="AI1096">
        <v>16.38</v>
      </c>
      <c r="AJ1096">
        <v>0</v>
      </c>
      <c r="AK1096">
        <v>0</v>
      </c>
      <c r="AL1096">
        <v>0</v>
      </c>
      <c r="AM1096">
        <v>0.04</v>
      </c>
      <c r="AN1096">
        <f t="shared" si="52"/>
        <v>4</v>
      </c>
      <c r="AO1096" t="str">
        <f t="shared" si="53"/>
        <v>Wednesday</v>
      </c>
    </row>
    <row r="1097" spans="1:41" x14ac:dyDescent="0.2">
      <c r="B1097" s="1">
        <v>45784</v>
      </c>
      <c r="C1097" s="1">
        <f t="shared" si="51"/>
        <v>45808</v>
      </c>
      <c r="D1097">
        <v>635</v>
      </c>
      <c r="E1097">
        <v>0</v>
      </c>
      <c r="F1097">
        <v>0</v>
      </c>
      <c r="G1097">
        <v>0</v>
      </c>
      <c r="H1097">
        <v>0</v>
      </c>
      <c r="I1097">
        <v>0</v>
      </c>
      <c r="J1097">
        <v>0</v>
      </c>
      <c r="K1097">
        <v>0</v>
      </c>
      <c r="AN1097">
        <f t="shared" si="52"/>
        <v>4</v>
      </c>
      <c r="AO1097" t="str">
        <f t="shared" si="53"/>
        <v>Wednesday</v>
      </c>
    </row>
    <row r="1098" spans="1:41" x14ac:dyDescent="0.2">
      <c r="A1098" t="s">
        <v>53</v>
      </c>
      <c r="B1098" s="1">
        <v>45783</v>
      </c>
      <c r="C1098" s="1">
        <f t="shared" si="51"/>
        <v>45808</v>
      </c>
      <c r="D1098">
        <v>22</v>
      </c>
      <c r="E1098">
        <v>41</v>
      </c>
      <c r="F1098">
        <v>0</v>
      </c>
      <c r="G1098">
        <v>4</v>
      </c>
      <c r="H1098">
        <v>0</v>
      </c>
      <c r="I1098">
        <v>0</v>
      </c>
      <c r="J1098">
        <v>0</v>
      </c>
      <c r="K1098">
        <v>16</v>
      </c>
      <c r="L1098" t="s">
        <v>53</v>
      </c>
      <c r="M1098" t="s">
        <v>38</v>
      </c>
      <c r="N1098" s="1">
        <v>45783</v>
      </c>
      <c r="O1098" s="2">
        <v>0.54168981481481482</v>
      </c>
      <c r="P1098" s="2">
        <v>0.9180787037037037</v>
      </c>
      <c r="Q1098">
        <v>9.0299999999999994</v>
      </c>
      <c r="R1098">
        <v>8.5</v>
      </c>
      <c r="S1098">
        <v>0.79</v>
      </c>
      <c r="T1098">
        <v>0</v>
      </c>
      <c r="U1098">
        <v>0</v>
      </c>
      <c r="V1098">
        <v>0.21</v>
      </c>
      <c r="W1098">
        <v>4.09</v>
      </c>
      <c r="X1098">
        <v>1.62</v>
      </c>
      <c r="Y1098">
        <v>1.74</v>
      </c>
      <c r="Z1098">
        <v>0</v>
      </c>
      <c r="AA1098">
        <v>0</v>
      </c>
      <c r="AB1098">
        <v>0.05</v>
      </c>
      <c r="AC1098">
        <v>8.5</v>
      </c>
      <c r="AD1098">
        <v>9.3000000000000007</v>
      </c>
      <c r="AE1098">
        <v>0</v>
      </c>
      <c r="AF1098">
        <v>0</v>
      </c>
      <c r="AG1098">
        <v>2.4700000000000002</v>
      </c>
      <c r="AH1098">
        <v>48.1</v>
      </c>
      <c r="AI1098">
        <v>19.09</v>
      </c>
      <c r="AJ1098">
        <v>20.43</v>
      </c>
      <c r="AK1098">
        <v>0</v>
      </c>
      <c r="AL1098">
        <v>0</v>
      </c>
      <c r="AM1098">
        <v>0.6</v>
      </c>
      <c r="AN1098">
        <f t="shared" si="52"/>
        <v>3</v>
      </c>
      <c r="AO1098" t="str">
        <f t="shared" si="53"/>
        <v>Tuesday</v>
      </c>
    </row>
    <row r="1099" spans="1:41" x14ac:dyDescent="0.2">
      <c r="A1099" t="s">
        <v>37</v>
      </c>
      <c r="B1099" s="1">
        <v>45783</v>
      </c>
      <c r="C1099" s="1">
        <f t="shared" si="51"/>
        <v>45808</v>
      </c>
      <c r="D1099">
        <v>26</v>
      </c>
      <c r="E1099">
        <v>79</v>
      </c>
      <c r="F1099">
        <v>3</v>
      </c>
      <c r="G1099">
        <v>9</v>
      </c>
      <c r="H1099">
        <v>8</v>
      </c>
      <c r="I1099">
        <v>1</v>
      </c>
      <c r="J1099">
        <v>2</v>
      </c>
      <c r="K1099">
        <v>43</v>
      </c>
      <c r="L1099" t="s">
        <v>37</v>
      </c>
      <c r="M1099" t="s">
        <v>38</v>
      </c>
      <c r="N1099" s="1">
        <v>45783</v>
      </c>
      <c r="O1099" s="2">
        <v>0.5424768518518519</v>
      </c>
      <c r="P1099" s="2">
        <v>0.9173958333333333</v>
      </c>
      <c r="Q1099">
        <v>9</v>
      </c>
      <c r="R1099">
        <v>8.1199999999999992</v>
      </c>
      <c r="S1099">
        <v>1.44</v>
      </c>
      <c r="T1099">
        <v>0.26</v>
      </c>
      <c r="U1099">
        <v>0</v>
      </c>
      <c r="V1099">
        <v>0.35</v>
      </c>
      <c r="W1099">
        <v>5.45</v>
      </c>
      <c r="X1099">
        <v>0.56999999999999995</v>
      </c>
      <c r="Y1099">
        <v>0</v>
      </c>
      <c r="Z1099">
        <v>0</v>
      </c>
      <c r="AA1099">
        <v>0</v>
      </c>
      <c r="AB1099">
        <v>0.04</v>
      </c>
      <c r="AC1099">
        <v>8.1199999999999992</v>
      </c>
      <c r="AD1099">
        <v>17.78</v>
      </c>
      <c r="AE1099">
        <v>3.16</v>
      </c>
      <c r="AF1099">
        <v>0</v>
      </c>
      <c r="AG1099">
        <v>4.37</v>
      </c>
      <c r="AH1099">
        <v>67.14</v>
      </c>
      <c r="AI1099">
        <v>7.08</v>
      </c>
      <c r="AJ1099">
        <v>0</v>
      </c>
      <c r="AK1099">
        <v>0</v>
      </c>
      <c r="AL1099">
        <v>0</v>
      </c>
      <c r="AM1099">
        <v>0.48</v>
      </c>
      <c r="AN1099">
        <f t="shared" si="52"/>
        <v>3</v>
      </c>
      <c r="AO1099" t="str">
        <f t="shared" si="53"/>
        <v>Tuesday</v>
      </c>
    </row>
    <row r="1100" spans="1:41" x14ac:dyDescent="0.2">
      <c r="A1100" t="s">
        <v>52</v>
      </c>
      <c r="B1100" s="1">
        <v>45783</v>
      </c>
      <c r="C1100" s="1">
        <f t="shared" si="51"/>
        <v>45808</v>
      </c>
      <c r="D1100">
        <v>23</v>
      </c>
      <c r="E1100">
        <v>52</v>
      </c>
      <c r="F1100">
        <v>6</v>
      </c>
      <c r="G1100">
        <v>1</v>
      </c>
      <c r="H1100">
        <v>8</v>
      </c>
      <c r="I1100">
        <v>0</v>
      </c>
      <c r="J1100">
        <v>0</v>
      </c>
      <c r="K1100">
        <v>25</v>
      </c>
      <c r="L1100" t="s">
        <v>52</v>
      </c>
      <c r="M1100" t="s">
        <v>38</v>
      </c>
      <c r="N1100" s="1">
        <v>45783</v>
      </c>
      <c r="O1100" s="2">
        <v>0.54188657407407403</v>
      </c>
      <c r="P1100" s="2">
        <v>0.91736111111111107</v>
      </c>
      <c r="Q1100">
        <v>9.02</v>
      </c>
      <c r="R1100">
        <v>9.01</v>
      </c>
      <c r="S1100">
        <v>1.84</v>
      </c>
      <c r="T1100">
        <v>0.71</v>
      </c>
      <c r="U1100">
        <v>0</v>
      </c>
      <c r="V1100">
        <v>0.42</v>
      </c>
      <c r="W1100">
        <v>2.89</v>
      </c>
      <c r="X1100">
        <v>1.33</v>
      </c>
      <c r="Y1100">
        <v>1.8</v>
      </c>
      <c r="Z1100">
        <v>0</v>
      </c>
      <c r="AA1100">
        <v>0.01</v>
      </c>
      <c r="AB1100">
        <v>0.01</v>
      </c>
      <c r="AC1100">
        <v>9.01</v>
      </c>
      <c r="AD1100">
        <v>20.420000000000002</v>
      </c>
      <c r="AE1100">
        <v>7.91</v>
      </c>
      <c r="AF1100">
        <v>0</v>
      </c>
      <c r="AG1100">
        <v>4.6900000000000004</v>
      </c>
      <c r="AH1100">
        <v>32.11</v>
      </c>
      <c r="AI1100">
        <v>14.72</v>
      </c>
      <c r="AJ1100">
        <v>19.93</v>
      </c>
      <c r="AK1100">
        <v>0</v>
      </c>
      <c r="AL1100">
        <v>0.09</v>
      </c>
      <c r="AM1100">
        <v>0.13</v>
      </c>
      <c r="AN1100">
        <f t="shared" si="52"/>
        <v>3</v>
      </c>
      <c r="AO1100" t="str">
        <f t="shared" si="53"/>
        <v>Tuesday</v>
      </c>
    </row>
    <row r="1101" spans="1:41" x14ac:dyDescent="0.2">
      <c r="A1101" t="s">
        <v>39</v>
      </c>
      <c r="B1101" s="1">
        <v>45783</v>
      </c>
      <c r="C1101" s="1">
        <f t="shared" si="51"/>
        <v>45808</v>
      </c>
      <c r="D1101">
        <v>30</v>
      </c>
      <c r="E1101">
        <v>58</v>
      </c>
      <c r="F1101">
        <v>4</v>
      </c>
      <c r="G1101">
        <v>1</v>
      </c>
      <c r="H1101">
        <v>15</v>
      </c>
      <c r="I1101">
        <v>0</v>
      </c>
      <c r="J1101">
        <v>0</v>
      </c>
      <c r="K1101">
        <v>29</v>
      </c>
      <c r="L1101" t="s">
        <v>39</v>
      </c>
      <c r="M1101" t="s">
        <v>38</v>
      </c>
      <c r="N1101" s="1">
        <v>45783</v>
      </c>
      <c r="O1101" s="2">
        <v>0.54188657407407403</v>
      </c>
      <c r="P1101" s="2">
        <v>0.92762731481481486</v>
      </c>
      <c r="Q1101">
        <v>9.25</v>
      </c>
      <c r="R1101">
        <v>9.26</v>
      </c>
      <c r="S1101">
        <v>2.0499999999999998</v>
      </c>
      <c r="T1101">
        <v>0</v>
      </c>
      <c r="U1101">
        <v>0</v>
      </c>
      <c r="V1101">
        <v>0.03</v>
      </c>
      <c r="W1101">
        <v>5.69</v>
      </c>
      <c r="X1101">
        <v>1.48</v>
      </c>
      <c r="Y1101">
        <v>0</v>
      </c>
      <c r="Z1101">
        <v>0</v>
      </c>
      <c r="AA1101">
        <v>0</v>
      </c>
      <c r="AB1101">
        <v>0</v>
      </c>
      <c r="AC1101">
        <v>9.26</v>
      </c>
      <c r="AD1101">
        <v>22.16</v>
      </c>
      <c r="AE1101">
        <v>0</v>
      </c>
      <c r="AF1101">
        <v>0</v>
      </c>
      <c r="AG1101">
        <v>0.28999999999999998</v>
      </c>
      <c r="AH1101">
        <v>61.49</v>
      </c>
      <c r="AI1101">
        <v>16.02</v>
      </c>
      <c r="AJ1101">
        <v>0</v>
      </c>
      <c r="AK1101">
        <v>0</v>
      </c>
      <c r="AL1101">
        <v>0</v>
      </c>
      <c r="AM1101">
        <v>0.04</v>
      </c>
      <c r="AN1101">
        <f t="shared" si="52"/>
        <v>3</v>
      </c>
      <c r="AO1101" t="str">
        <f t="shared" si="53"/>
        <v>Tuesday</v>
      </c>
    </row>
    <row r="1102" spans="1:41" x14ac:dyDescent="0.2">
      <c r="A1102" t="s">
        <v>41</v>
      </c>
      <c r="B1102" s="1">
        <v>45783</v>
      </c>
      <c r="C1102" s="1">
        <f t="shared" si="51"/>
        <v>45808</v>
      </c>
      <c r="D1102">
        <v>33</v>
      </c>
      <c r="E1102">
        <v>91</v>
      </c>
      <c r="F1102">
        <v>15</v>
      </c>
      <c r="G1102">
        <v>22</v>
      </c>
      <c r="H1102">
        <v>8</v>
      </c>
      <c r="I1102">
        <v>4</v>
      </c>
      <c r="J1102">
        <v>1</v>
      </c>
      <c r="K1102">
        <v>39</v>
      </c>
      <c r="L1102" t="s">
        <v>41</v>
      </c>
      <c r="M1102" t="s">
        <v>38</v>
      </c>
      <c r="N1102" s="1">
        <v>45783</v>
      </c>
      <c r="O1102" s="2">
        <v>0.54604166666666665</v>
      </c>
      <c r="P1102" s="2">
        <v>0.91668981481481482</v>
      </c>
      <c r="Q1102">
        <v>8.9</v>
      </c>
      <c r="R1102">
        <v>8.89</v>
      </c>
      <c r="S1102">
        <v>1.7</v>
      </c>
      <c r="T1102">
        <v>0</v>
      </c>
      <c r="U1102">
        <v>0</v>
      </c>
      <c r="V1102">
        <v>0.44</v>
      </c>
      <c r="W1102">
        <v>5.29</v>
      </c>
      <c r="X1102">
        <v>1.45</v>
      </c>
      <c r="Y1102">
        <v>0</v>
      </c>
      <c r="Z1102">
        <v>0</v>
      </c>
      <c r="AA1102">
        <v>0</v>
      </c>
      <c r="AB1102">
        <v>0</v>
      </c>
      <c r="AC1102">
        <v>8.89</v>
      </c>
      <c r="AD1102">
        <v>19.149999999999999</v>
      </c>
      <c r="AE1102">
        <v>0</v>
      </c>
      <c r="AF1102">
        <v>0</v>
      </c>
      <c r="AG1102">
        <v>4.97</v>
      </c>
      <c r="AH1102">
        <v>59.51</v>
      </c>
      <c r="AI1102">
        <v>16.329999999999998</v>
      </c>
      <c r="AJ1102">
        <v>0</v>
      </c>
      <c r="AK1102">
        <v>0</v>
      </c>
      <c r="AL1102">
        <v>0</v>
      </c>
      <c r="AM1102">
        <v>0.04</v>
      </c>
      <c r="AN1102">
        <f t="shared" si="52"/>
        <v>3</v>
      </c>
      <c r="AO1102" t="str">
        <f t="shared" si="53"/>
        <v>Tuesday</v>
      </c>
    </row>
    <row r="1103" spans="1:41" x14ac:dyDescent="0.2">
      <c r="A1103" t="s">
        <v>50</v>
      </c>
      <c r="B1103" s="1">
        <v>45783</v>
      </c>
      <c r="C1103" s="1">
        <f t="shared" si="51"/>
        <v>45808</v>
      </c>
      <c r="D1103">
        <v>1</v>
      </c>
      <c r="E1103">
        <v>2</v>
      </c>
      <c r="F1103">
        <v>1</v>
      </c>
      <c r="G1103">
        <v>0</v>
      </c>
      <c r="H1103">
        <v>0</v>
      </c>
      <c r="I1103">
        <v>0</v>
      </c>
      <c r="J1103">
        <v>0</v>
      </c>
      <c r="K1103">
        <v>0</v>
      </c>
      <c r="AN1103">
        <f t="shared" si="52"/>
        <v>3</v>
      </c>
      <c r="AO1103" t="str">
        <f t="shared" si="53"/>
        <v>Tuesday</v>
      </c>
    </row>
    <row r="1104" spans="1:41" x14ac:dyDescent="0.2">
      <c r="A1104" t="s">
        <v>43</v>
      </c>
      <c r="B1104" s="1">
        <v>45783</v>
      </c>
      <c r="C1104" s="1">
        <f t="shared" si="51"/>
        <v>45808</v>
      </c>
      <c r="D1104">
        <v>34</v>
      </c>
      <c r="E1104">
        <v>106</v>
      </c>
      <c r="F1104">
        <v>2</v>
      </c>
      <c r="G1104">
        <v>12</v>
      </c>
      <c r="H1104">
        <v>18</v>
      </c>
      <c r="I1104">
        <v>0</v>
      </c>
      <c r="J1104">
        <v>0</v>
      </c>
      <c r="K1104">
        <v>62</v>
      </c>
      <c r="L1104" t="s">
        <v>43</v>
      </c>
      <c r="M1104" t="s">
        <v>38</v>
      </c>
      <c r="N1104" s="1">
        <v>45783</v>
      </c>
      <c r="O1104" s="2">
        <v>0.54162037037037036</v>
      </c>
      <c r="P1104" s="2">
        <v>0.91814814814814816</v>
      </c>
      <c r="Q1104">
        <v>9.0500000000000007</v>
      </c>
      <c r="R1104">
        <v>9.0399999999999991</v>
      </c>
      <c r="S1104">
        <v>1.98</v>
      </c>
      <c r="T1104">
        <v>0.22</v>
      </c>
      <c r="U1104">
        <v>0</v>
      </c>
      <c r="V1104">
        <v>0.36</v>
      </c>
      <c r="W1104">
        <v>5.01</v>
      </c>
      <c r="X1104">
        <v>1.47</v>
      </c>
      <c r="Y1104">
        <v>0</v>
      </c>
      <c r="Z1104">
        <v>0</v>
      </c>
      <c r="AA1104">
        <v>0</v>
      </c>
      <c r="AB1104">
        <v>0</v>
      </c>
      <c r="AC1104">
        <v>9.0399999999999991</v>
      </c>
      <c r="AD1104">
        <v>21.87</v>
      </c>
      <c r="AE1104">
        <v>2.4</v>
      </c>
      <c r="AF1104">
        <v>0</v>
      </c>
      <c r="AG1104">
        <v>4.01</v>
      </c>
      <c r="AH1104">
        <v>55.45</v>
      </c>
      <c r="AI1104">
        <v>16.23</v>
      </c>
      <c r="AJ1104">
        <v>0</v>
      </c>
      <c r="AK1104">
        <v>0</v>
      </c>
      <c r="AL1104">
        <v>0</v>
      </c>
      <c r="AM1104">
        <v>0.05</v>
      </c>
      <c r="AN1104">
        <f t="shared" si="52"/>
        <v>3</v>
      </c>
      <c r="AO1104" t="str">
        <f t="shared" si="53"/>
        <v>Tuesday</v>
      </c>
    </row>
    <row r="1105" spans="1:41" x14ac:dyDescent="0.2">
      <c r="B1105" s="1">
        <v>45783</v>
      </c>
      <c r="C1105" s="1">
        <f t="shared" si="51"/>
        <v>45808</v>
      </c>
      <c r="D1105">
        <v>638</v>
      </c>
      <c r="E1105">
        <v>0</v>
      </c>
      <c r="F1105">
        <v>0</v>
      </c>
      <c r="G1105">
        <v>0</v>
      </c>
      <c r="H1105">
        <v>0</v>
      </c>
      <c r="I1105">
        <v>0</v>
      </c>
      <c r="J1105">
        <v>0</v>
      </c>
      <c r="K1105">
        <v>0</v>
      </c>
      <c r="AN1105">
        <f t="shared" si="52"/>
        <v>3</v>
      </c>
      <c r="AO1105" t="str">
        <f t="shared" si="53"/>
        <v>Tuesday</v>
      </c>
    </row>
    <row r="1106" spans="1:41" x14ac:dyDescent="0.2">
      <c r="A1106" t="s">
        <v>53</v>
      </c>
      <c r="B1106" s="1">
        <v>45782</v>
      </c>
      <c r="C1106" s="1">
        <f t="shared" si="51"/>
        <v>45808</v>
      </c>
      <c r="D1106">
        <v>32</v>
      </c>
      <c r="E1106">
        <v>77</v>
      </c>
      <c r="F1106">
        <v>3</v>
      </c>
      <c r="G1106">
        <v>0</v>
      </c>
      <c r="H1106">
        <v>3</v>
      </c>
      <c r="I1106">
        <v>0</v>
      </c>
      <c r="J1106">
        <v>0</v>
      </c>
      <c r="K1106">
        <v>50</v>
      </c>
      <c r="L1106" t="s">
        <v>53</v>
      </c>
      <c r="M1106" t="s">
        <v>38</v>
      </c>
      <c r="N1106" s="1">
        <v>45782</v>
      </c>
      <c r="O1106" s="2">
        <v>0.54130787037037043</v>
      </c>
      <c r="P1106" s="2">
        <v>0.91715277777777782</v>
      </c>
      <c r="Q1106">
        <v>9.02</v>
      </c>
      <c r="R1106">
        <v>9.02</v>
      </c>
      <c r="S1106">
        <v>0.8</v>
      </c>
      <c r="T1106">
        <v>0</v>
      </c>
      <c r="U1106">
        <v>0</v>
      </c>
      <c r="V1106">
        <v>0.14000000000000001</v>
      </c>
      <c r="W1106">
        <v>6.71</v>
      </c>
      <c r="X1106">
        <v>1.37</v>
      </c>
      <c r="Y1106">
        <v>0</v>
      </c>
      <c r="Z1106">
        <v>0</v>
      </c>
      <c r="AA1106">
        <v>0</v>
      </c>
      <c r="AB1106">
        <v>0</v>
      </c>
      <c r="AC1106">
        <v>9.02</v>
      </c>
      <c r="AD1106">
        <v>8.82</v>
      </c>
      <c r="AE1106">
        <v>0</v>
      </c>
      <c r="AF1106">
        <v>0</v>
      </c>
      <c r="AG1106">
        <v>1.53</v>
      </c>
      <c r="AH1106">
        <v>74.39</v>
      </c>
      <c r="AI1106">
        <v>15.22</v>
      </c>
      <c r="AJ1106">
        <v>0</v>
      </c>
      <c r="AK1106">
        <v>0</v>
      </c>
      <c r="AL1106">
        <v>0</v>
      </c>
      <c r="AM1106">
        <v>0.04</v>
      </c>
      <c r="AN1106">
        <f t="shared" si="52"/>
        <v>2</v>
      </c>
      <c r="AO1106" t="str">
        <f t="shared" si="53"/>
        <v>Monday</v>
      </c>
    </row>
    <row r="1107" spans="1:41" x14ac:dyDescent="0.2">
      <c r="A1107" t="s">
        <v>37</v>
      </c>
      <c r="B1107" s="1">
        <v>45782</v>
      </c>
      <c r="C1107" s="1">
        <f t="shared" si="51"/>
        <v>45808</v>
      </c>
      <c r="D1107">
        <v>34</v>
      </c>
      <c r="E1107">
        <v>74</v>
      </c>
      <c r="F1107">
        <v>2</v>
      </c>
      <c r="G1107">
        <v>4</v>
      </c>
      <c r="H1107">
        <v>11</v>
      </c>
      <c r="I1107">
        <v>0</v>
      </c>
      <c r="J1107">
        <v>0</v>
      </c>
      <c r="K1107">
        <v>35</v>
      </c>
      <c r="L1107" t="s">
        <v>37</v>
      </c>
      <c r="M1107" t="s">
        <v>38</v>
      </c>
      <c r="N1107" s="1">
        <v>45782</v>
      </c>
      <c r="O1107" s="2">
        <v>0.54226851851851854</v>
      </c>
      <c r="P1107" s="2">
        <v>0.91673611111111108</v>
      </c>
      <c r="Q1107">
        <v>9</v>
      </c>
      <c r="R1107">
        <v>8.06</v>
      </c>
      <c r="S1107">
        <v>1.74</v>
      </c>
      <c r="T1107">
        <v>0.27</v>
      </c>
      <c r="U1107">
        <v>0</v>
      </c>
      <c r="V1107">
        <v>0.25</v>
      </c>
      <c r="W1107">
        <v>5.21</v>
      </c>
      <c r="X1107">
        <v>0.56999999999999995</v>
      </c>
      <c r="Y1107">
        <v>0</v>
      </c>
      <c r="Z1107">
        <v>0</v>
      </c>
      <c r="AA1107">
        <v>0</v>
      </c>
      <c r="AB1107">
        <v>0.02</v>
      </c>
      <c r="AC1107">
        <v>8.06</v>
      </c>
      <c r="AD1107">
        <v>21.6</v>
      </c>
      <c r="AE1107">
        <v>3.33</v>
      </c>
      <c r="AF1107">
        <v>0</v>
      </c>
      <c r="AG1107">
        <v>3.1</v>
      </c>
      <c r="AH1107">
        <v>64.7</v>
      </c>
      <c r="AI1107">
        <v>7.01</v>
      </c>
      <c r="AJ1107">
        <v>0</v>
      </c>
      <c r="AK1107">
        <v>0</v>
      </c>
      <c r="AL1107">
        <v>0</v>
      </c>
      <c r="AM1107">
        <v>0.26</v>
      </c>
      <c r="AN1107">
        <f t="shared" si="52"/>
        <v>2</v>
      </c>
      <c r="AO1107" t="str">
        <f t="shared" si="53"/>
        <v>Monday</v>
      </c>
    </row>
    <row r="1108" spans="1:41" x14ac:dyDescent="0.2">
      <c r="A1108" t="s">
        <v>52</v>
      </c>
      <c r="B1108" s="1">
        <v>45782</v>
      </c>
      <c r="C1108" s="1">
        <f t="shared" si="51"/>
        <v>45808</v>
      </c>
      <c r="D1108">
        <v>24</v>
      </c>
      <c r="E1108">
        <v>43</v>
      </c>
      <c r="F1108">
        <v>4</v>
      </c>
      <c r="G1108">
        <v>4</v>
      </c>
      <c r="H1108">
        <v>2</v>
      </c>
      <c r="I1108">
        <v>0</v>
      </c>
      <c r="J1108">
        <v>0</v>
      </c>
      <c r="K1108">
        <v>13</v>
      </c>
      <c r="L1108" t="s">
        <v>52</v>
      </c>
      <c r="M1108" t="s">
        <v>38</v>
      </c>
      <c r="N1108" s="1">
        <v>45782</v>
      </c>
      <c r="O1108" s="2">
        <v>0.54320601851851846</v>
      </c>
      <c r="P1108" s="2">
        <v>0.91905092592592597</v>
      </c>
      <c r="Q1108">
        <v>9.02</v>
      </c>
      <c r="R1108">
        <v>9.0299999999999994</v>
      </c>
      <c r="S1108">
        <v>2.11</v>
      </c>
      <c r="T1108">
        <v>0.59</v>
      </c>
      <c r="U1108">
        <v>0</v>
      </c>
      <c r="V1108">
        <v>0.23</v>
      </c>
      <c r="W1108">
        <v>3.98</v>
      </c>
      <c r="X1108">
        <v>1.49</v>
      </c>
      <c r="Y1108">
        <v>0.62</v>
      </c>
      <c r="Z1108">
        <v>0</v>
      </c>
      <c r="AA1108">
        <v>0</v>
      </c>
      <c r="AB1108">
        <v>0.01</v>
      </c>
      <c r="AC1108">
        <v>9.0299999999999994</v>
      </c>
      <c r="AD1108">
        <v>23.41</v>
      </c>
      <c r="AE1108">
        <v>6.49</v>
      </c>
      <c r="AF1108">
        <v>0</v>
      </c>
      <c r="AG1108">
        <v>2.52</v>
      </c>
      <c r="AH1108">
        <v>44.11</v>
      </c>
      <c r="AI1108">
        <v>16.48</v>
      </c>
      <c r="AJ1108">
        <v>6.91</v>
      </c>
      <c r="AK1108">
        <v>0</v>
      </c>
      <c r="AL1108">
        <v>0.03</v>
      </c>
      <c r="AM1108">
        <v>0.06</v>
      </c>
      <c r="AN1108">
        <f t="shared" si="52"/>
        <v>2</v>
      </c>
      <c r="AO1108" t="str">
        <f t="shared" si="53"/>
        <v>Monday</v>
      </c>
    </row>
    <row r="1109" spans="1:41" x14ac:dyDescent="0.2">
      <c r="A1109" t="s">
        <v>39</v>
      </c>
      <c r="B1109" s="1">
        <v>45782</v>
      </c>
      <c r="C1109" s="1">
        <f t="shared" si="51"/>
        <v>45808</v>
      </c>
      <c r="D1109">
        <v>26</v>
      </c>
      <c r="E1109">
        <v>68</v>
      </c>
      <c r="F1109">
        <v>2</v>
      </c>
      <c r="G1109">
        <v>1</v>
      </c>
      <c r="H1109">
        <v>16</v>
      </c>
      <c r="I1109">
        <v>1</v>
      </c>
      <c r="J1109">
        <v>0</v>
      </c>
      <c r="K1109">
        <v>37</v>
      </c>
      <c r="L1109" t="s">
        <v>39</v>
      </c>
      <c r="M1109" t="s">
        <v>38</v>
      </c>
      <c r="N1109" s="1">
        <v>45782</v>
      </c>
      <c r="O1109" s="2">
        <v>0.54173611111111108</v>
      </c>
      <c r="P1109" s="2">
        <v>0.91670138888888886</v>
      </c>
      <c r="Q1109">
        <v>9</v>
      </c>
      <c r="R1109">
        <v>9</v>
      </c>
      <c r="S1109">
        <v>1.61</v>
      </c>
      <c r="T1109">
        <v>0</v>
      </c>
      <c r="U1109">
        <v>0</v>
      </c>
      <c r="V1109">
        <v>0.04</v>
      </c>
      <c r="W1109">
        <v>6.11</v>
      </c>
      <c r="X1109">
        <v>1.23</v>
      </c>
      <c r="Y1109">
        <v>0</v>
      </c>
      <c r="Z1109">
        <v>0</v>
      </c>
      <c r="AA1109">
        <v>0</v>
      </c>
      <c r="AB1109">
        <v>0</v>
      </c>
      <c r="AC1109">
        <v>9</v>
      </c>
      <c r="AD1109">
        <v>17.920000000000002</v>
      </c>
      <c r="AE1109">
        <v>0</v>
      </c>
      <c r="AF1109">
        <v>0</v>
      </c>
      <c r="AG1109">
        <v>0.48</v>
      </c>
      <c r="AH1109">
        <v>67.849999999999994</v>
      </c>
      <c r="AI1109">
        <v>13.7</v>
      </c>
      <c r="AJ1109">
        <v>0</v>
      </c>
      <c r="AK1109">
        <v>0</v>
      </c>
      <c r="AL1109">
        <v>0</v>
      </c>
      <c r="AM1109">
        <v>0.05</v>
      </c>
      <c r="AN1109">
        <f t="shared" si="52"/>
        <v>2</v>
      </c>
      <c r="AO1109" t="str">
        <f t="shared" si="53"/>
        <v>Monday</v>
      </c>
    </row>
    <row r="1110" spans="1:41" x14ac:dyDescent="0.2">
      <c r="A1110" t="s">
        <v>41</v>
      </c>
      <c r="B1110" s="1">
        <v>45782</v>
      </c>
      <c r="C1110" s="1">
        <f t="shared" si="51"/>
        <v>45808</v>
      </c>
      <c r="D1110">
        <v>32</v>
      </c>
      <c r="E1110">
        <v>71</v>
      </c>
      <c r="F1110">
        <v>4</v>
      </c>
      <c r="G1110">
        <v>0</v>
      </c>
      <c r="H1110">
        <v>6</v>
      </c>
      <c r="I1110">
        <v>0</v>
      </c>
      <c r="J1110">
        <v>2</v>
      </c>
      <c r="K1110">
        <v>44</v>
      </c>
      <c r="L1110" t="s">
        <v>41</v>
      </c>
      <c r="M1110" t="s">
        <v>38</v>
      </c>
      <c r="N1110" s="1">
        <v>45782</v>
      </c>
      <c r="O1110" s="2">
        <v>0.54432870370370368</v>
      </c>
      <c r="P1110" s="2">
        <v>0.91619212962962959</v>
      </c>
      <c r="Q1110">
        <v>8.93</v>
      </c>
      <c r="R1110">
        <v>8.92</v>
      </c>
      <c r="S1110">
        <v>1.0900000000000001</v>
      </c>
      <c r="T1110">
        <v>0.11</v>
      </c>
      <c r="U1110">
        <v>0</v>
      </c>
      <c r="V1110">
        <v>0.28000000000000003</v>
      </c>
      <c r="W1110">
        <v>6.21</v>
      </c>
      <c r="X1110">
        <v>1.23</v>
      </c>
      <c r="Y1110">
        <v>0</v>
      </c>
      <c r="Z1110">
        <v>0</v>
      </c>
      <c r="AA1110">
        <v>0</v>
      </c>
      <c r="AB1110">
        <v>0.01</v>
      </c>
      <c r="AC1110">
        <v>8.92</v>
      </c>
      <c r="AD1110">
        <v>12.23</v>
      </c>
      <c r="AE1110">
        <v>1.2</v>
      </c>
      <c r="AF1110">
        <v>0</v>
      </c>
      <c r="AG1110">
        <v>3.13</v>
      </c>
      <c r="AH1110">
        <v>69.59</v>
      </c>
      <c r="AI1110">
        <v>13.78</v>
      </c>
      <c r="AJ1110">
        <v>0</v>
      </c>
      <c r="AK1110">
        <v>0</v>
      </c>
      <c r="AL1110">
        <v>0</v>
      </c>
      <c r="AM1110">
        <v>7.0000000000000007E-2</v>
      </c>
      <c r="AN1110">
        <f t="shared" si="52"/>
        <v>2</v>
      </c>
      <c r="AO1110" t="str">
        <f t="shared" si="53"/>
        <v>Monday</v>
      </c>
    </row>
    <row r="1111" spans="1:41" x14ac:dyDescent="0.2">
      <c r="A1111" t="s">
        <v>51</v>
      </c>
      <c r="B1111" s="1">
        <v>45782</v>
      </c>
      <c r="C1111" s="1">
        <f t="shared" si="51"/>
        <v>45808</v>
      </c>
      <c r="D1111">
        <v>1</v>
      </c>
      <c r="E1111">
        <v>2</v>
      </c>
      <c r="F1111">
        <v>0</v>
      </c>
      <c r="G1111">
        <v>0</v>
      </c>
      <c r="H1111">
        <v>0</v>
      </c>
      <c r="I1111">
        <v>0</v>
      </c>
      <c r="J1111">
        <v>0</v>
      </c>
      <c r="K1111">
        <v>0</v>
      </c>
      <c r="AN1111">
        <f t="shared" si="52"/>
        <v>2</v>
      </c>
      <c r="AO1111" t="str">
        <f t="shared" si="53"/>
        <v>Monday</v>
      </c>
    </row>
    <row r="1112" spans="1:41" x14ac:dyDescent="0.2">
      <c r="A1112" t="s">
        <v>43</v>
      </c>
      <c r="B1112" s="1">
        <v>45782</v>
      </c>
      <c r="C1112" s="1">
        <f t="shared" si="51"/>
        <v>45808</v>
      </c>
      <c r="D1112">
        <v>22</v>
      </c>
      <c r="E1112">
        <v>68</v>
      </c>
      <c r="F1112">
        <v>4</v>
      </c>
      <c r="G1112">
        <v>0</v>
      </c>
      <c r="H1112">
        <v>6</v>
      </c>
      <c r="I1112">
        <v>0</v>
      </c>
      <c r="J1112">
        <v>0</v>
      </c>
      <c r="K1112">
        <v>45</v>
      </c>
      <c r="L1112" t="s">
        <v>43</v>
      </c>
      <c r="M1112" t="s">
        <v>38</v>
      </c>
      <c r="N1112" s="1">
        <v>45782</v>
      </c>
      <c r="O1112" s="2">
        <v>0.54146990740740741</v>
      </c>
      <c r="P1112" s="2">
        <v>0.91737268518518522</v>
      </c>
      <c r="Q1112">
        <v>9.0299999999999994</v>
      </c>
      <c r="R1112">
        <v>9.02</v>
      </c>
      <c r="S1112">
        <v>1.23</v>
      </c>
      <c r="T1112">
        <v>0.14000000000000001</v>
      </c>
      <c r="U1112">
        <v>0</v>
      </c>
      <c r="V1112">
        <v>0.27</v>
      </c>
      <c r="W1112">
        <v>5.41</v>
      </c>
      <c r="X1112">
        <v>1.5</v>
      </c>
      <c r="Y1112">
        <v>0.47</v>
      </c>
      <c r="Z1112">
        <v>0</v>
      </c>
      <c r="AA1112">
        <v>0</v>
      </c>
      <c r="AB1112">
        <v>0</v>
      </c>
      <c r="AC1112">
        <v>9.02</v>
      </c>
      <c r="AD1112">
        <v>13.64</v>
      </c>
      <c r="AE1112">
        <v>1.59</v>
      </c>
      <c r="AF1112">
        <v>0</v>
      </c>
      <c r="AG1112">
        <v>2.94</v>
      </c>
      <c r="AH1112">
        <v>59.92</v>
      </c>
      <c r="AI1112">
        <v>16.670000000000002</v>
      </c>
      <c r="AJ1112">
        <v>5.2</v>
      </c>
      <c r="AK1112">
        <v>0</v>
      </c>
      <c r="AL1112">
        <v>0</v>
      </c>
      <c r="AM1112">
        <v>0.04</v>
      </c>
      <c r="AN1112">
        <f t="shared" si="52"/>
        <v>2</v>
      </c>
      <c r="AO1112" t="str">
        <f t="shared" si="53"/>
        <v>Monday</v>
      </c>
    </row>
    <row r="1113" spans="1:41" x14ac:dyDescent="0.2">
      <c r="B1113" s="1">
        <v>45782</v>
      </c>
      <c r="C1113" s="1">
        <f t="shared" si="51"/>
        <v>45808</v>
      </c>
      <c r="D1113">
        <v>576</v>
      </c>
      <c r="E1113">
        <v>0</v>
      </c>
      <c r="F1113">
        <v>0</v>
      </c>
      <c r="G1113">
        <v>0</v>
      </c>
      <c r="H1113">
        <v>0</v>
      </c>
      <c r="I1113">
        <v>0</v>
      </c>
      <c r="J1113">
        <v>0</v>
      </c>
      <c r="K1113">
        <v>0</v>
      </c>
      <c r="AN1113">
        <f t="shared" si="52"/>
        <v>2</v>
      </c>
      <c r="AO1113" t="str">
        <f t="shared" si="53"/>
        <v>Monday</v>
      </c>
    </row>
    <row r="1114" spans="1:41" x14ac:dyDescent="0.2">
      <c r="A1114" t="s">
        <v>53</v>
      </c>
      <c r="B1114" s="1">
        <v>45779</v>
      </c>
      <c r="C1114" s="1">
        <f t="shared" si="51"/>
        <v>45808</v>
      </c>
      <c r="D1114">
        <v>19</v>
      </c>
      <c r="E1114">
        <v>50</v>
      </c>
      <c r="F1114">
        <v>1</v>
      </c>
      <c r="G1114">
        <v>2</v>
      </c>
      <c r="H1114">
        <v>2</v>
      </c>
      <c r="I1114">
        <v>0</v>
      </c>
      <c r="J1114">
        <v>0</v>
      </c>
      <c r="K1114">
        <v>38</v>
      </c>
      <c r="L1114" t="s">
        <v>53</v>
      </c>
      <c r="M1114" t="s">
        <v>38</v>
      </c>
      <c r="N1114" s="1">
        <v>45779</v>
      </c>
      <c r="O1114" s="2">
        <v>0.54252314814814817</v>
      </c>
      <c r="P1114" s="2">
        <v>0.9175578703703704</v>
      </c>
      <c r="Q1114">
        <v>9</v>
      </c>
      <c r="R1114">
        <v>9</v>
      </c>
      <c r="S1114">
        <v>0.89</v>
      </c>
      <c r="T1114">
        <v>0</v>
      </c>
      <c r="U1114">
        <v>0</v>
      </c>
      <c r="V1114">
        <v>0.23</v>
      </c>
      <c r="W1114">
        <v>6.64</v>
      </c>
      <c r="X1114">
        <v>1.24</v>
      </c>
      <c r="Y1114">
        <v>0</v>
      </c>
      <c r="Z1114">
        <v>0</v>
      </c>
      <c r="AA1114">
        <v>0</v>
      </c>
      <c r="AB1114">
        <v>0</v>
      </c>
      <c r="AC1114">
        <v>9</v>
      </c>
      <c r="AD1114">
        <v>9.8800000000000008</v>
      </c>
      <c r="AE1114">
        <v>0</v>
      </c>
      <c r="AF1114">
        <v>0</v>
      </c>
      <c r="AG1114">
        <v>2.5099999999999998</v>
      </c>
      <c r="AH1114">
        <v>73.790000000000006</v>
      </c>
      <c r="AI1114">
        <v>13.77</v>
      </c>
      <c r="AJ1114">
        <v>0</v>
      </c>
      <c r="AK1114">
        <v>0</v>
      </c>
      <c r="AL1114">
        <v>0</v>
      </c>
      <c r="AM1114">
        <v>0.05</v>
      </c>
      <c r="AN1114">
        <f t="shared" si="52"/>
        <v>6</v>
      </c>
      <c r="AO1114" t="str">
        <f t="shared" si="53"/>
        <v>Friday</v>
      </c>
    </row>
    <row r="1115" spans="1:41" x14ac:dyDescent="0.2">
      <c r="A1115" t="s">
        <v>37</v>
      </c>
      <c r="B1115" s="1">
        <v>45779</v>
      </c>
      <c r="C1115" s="1">
        <f t="shared" si="51"/>
        <v>45808</v>
      </c>
      <c r="D1115">
        <v>26</v>
      </c>
      <c r="E1115">
        <v>60</v>
      </c>
      <c r="F1115">
        <v>2</v>
      </c>
      <c r="G1115">
        <v>2</v>
      </c>
      <c r="H1115">
        <v>3</v>
      </c>
      <c r="I1115">
        <v>0</v>
      </c>
      <c r="J1115">
        <v>1</v>
      </c>
      <c r="K1115">
        <v>36</v>
      </c>
      <c r="L1115" t="s">
        <v>37</v>
      </c>
      <c r="M1115" t="s">
        <v>38</v>
      </c>
      <c r="N1115" s="1">
        <v>45779</v>
      </c>
      <c r="O1115" s="2">
        <v>0.54223379629629631</v>
      </c>
      <c r="P1115" s="2">
        <v>0.91673611111111108</v>
      </c>
      <c r="Q1115">
        <v>9</v>
      </c>
      <c r="R1115">
        <v>8.17</v>
      </c>
      <c r="S1115">
        <v>1.22</v>
      </c>
      <c r="T1115">
        <v>0.16</v>
      </c>
      <c r="U1115">
        <v>0</v>
      </c>
      <c r="V1115">
        <v>0.2</v>
      </c>
      <c r="W1115">
        <v>5.9</v>
      </c>
      <c r="X1115">
        <v>0.57999999999999996</v>
      </c>
      <c r="Y1115">
        <v>0</v>
      </c>
      <c r="Z1115">
        <v>0</v>
      </c>
      <c r="AA1115">
        <v>0</v>
      </c>
      <c r="AB1115">
        <v>0.1</v>
      </c>
      <c r="AC1115">
        <v>8.17</v>
      </c>
      <c r="AD1115">
        <v>14.95</v>
      </c>
      <c r="AE1115">
        <v>2.0099999999999998</v>
      </c>
      <c r="AF1115">
        <v>0</v>
      </c>
      <c r="AG1115">
        <v>2.41</v>
      </c>
      <c r="AH1115">
        <v>72.27</v>
      </c>
      <c r="AI1115">
        <v>7.14</v>
      </c>
      <c r="AJ1115">
        <v>0</v>
      </c>
      <c r="AK1115">
        <v>0</v>
      </c>
      <c r="AL1115">
        <v>0</v>
      </c>
      <c r="AM1115">
        <v>1.22</v>
      </c>
      <c r="AN1115">
        <f t="shared" si="52"/>
        <v>6</v>
      </c>
      <c r="AO1115" t="str">
        <f t="shared" si="53"/>
        <v>Friday</v>
      </c>
    </row>
    <row r="1116" spans="1:41" x14ac:dyDescent="0.2">
      <c r="A1116" t="s">
        <v>52</v>
      </c>
      <c r="B1116" s="1">
        <v>45779</v>
      </c>
      <c r="C1116" s="1">
        <f t="shared" si="51"/>
        <v>45808</v>
      </c>
      <c r="D1116">
        <v>11</v>
      </c>
      <c r="E1116">
        <v>22</v>
      </c>
      <c r="F1116">
        <v>0</v>
      </c>
      <c r="G1116">
        <v>1</v>
      </c>
      <c r="H1116">
        <v>2</v>
      </c>
      <c r="I1116">
        <v>0</v>
      </c>
      <c r="J1116">
        <v>0</v>
      </c>
      <c r="K1116">
        <v>14</v>
      </c>
      <c r="L1116" t="s">
        <v>52</v>
      </c>
      <c r="M1116" t="s">
        <v>38</v>
      </c>
      <c r="N1116" s="1">
        <v>45779</v>
      </c>
      <c r="O1116" s="2">
        <v>0.54010416666666672</v>
      </c>
      <c r="P1116" s="2">
        <v>0.70930555555555552</v>
      </c>
      <c r="Q1116">
        <v>4.07</v>
      </c>
      <c r="R1116">
        <v>4.0599999999999996</v>
      </c>
      <c r="S1116">
        <v>0.62</v>
      </c>
      <c r="T1116">
        <v>0.1</v>
      </c>
      <c r="U1116">
        <v>0</v>
      </c>
      <c r="V1116">
        <v>7.0000000000000007E-2</v>
      </c>
      <c r="W1116">
        <v>3.27</v>
      </c>
      <c r="X1116">
        <v>0</v>
      </c>
      <c r="Y1116">
        <v>0</v>
      </c>
      <c r="Z1116">
        <v>0</v>
      </c>
      <c r="AA1116">
        <v>0</v>
      </c>
      <c r="AB1116">
        <v>0.01</v>
      </c>
      <c r="AC1116">
        <v>4.0599999999999996</v>
      </c>
      <c r="AD1116">
        <v>15.15</v>
      </c>
      <c r="AE1116">
        <v>2.5</v>
      </c>
      <c r="AF1116">
        <v>0</v>
      </c>
      <c r="AG1116">
        <v>1.79</v>
      </c>
      <c r="AH1116">
        <v>80.430000000000007</v>
      </c>
      <c r="AI1116">
        <v>0</v>
      </c>
      <c r="AJ1116">
        <v>0</v>
      </c>
      <c r="AK1116">
        <v>0</v>
      </c>
      <c r="AL1116">
        <v>0</v>
      </c>
      <c r="AM1116">
        <v>0.12</v>
      </c>
      <c r="AN1116">
        <f t="shared" si="52"/>
        <v>6</v>
      </c>
      <c r="AO1116" t="str">
        <f t="shared" si="53"/>
        <v>Friday</v>
      </c>
    </row>
    <row r="1117" spans="1:41" x14ac:dyDescent="0.2">
      <c r="A1117" t="s">
        <v>39</v>
      </c>
      <c r="B1117" s="1">
        <v>45779</v>
      </c>
      <c r="C1117" s="1">
        <f t="shared" si="51"/>
        <v>45808</v>
      </c>
      <c r="D1117">
        <v>19</v>
      </c>
      <c r="E1117">
        <v>49</v>
      </c>
      <c r="F1117">
        <v>1</v>
      </c>
      <c r="G1117">
        <v>1</v>
      </c>
      <c r="H1117">
        <v>10</v>
      </c>
      <c r="I1117">
        <v>0</v>
      </c>
      <c r="J1117">
        <v>1</v>
      </c>
      <c r="K1117">
        <v>28</v>
      </c>
      <c r="L1117" t="s">
        <v>39</v>
      </c>
      <c r="M1117" t="s">
        <v>38</v>
      </c>
      <c r="N1117" s="1">
        <v>45779</v>
      </c>
      <c r="O1117" s="2">
        <v>0.54210648148148144</v>
      </c>
      <c r="P1117" s="2">
        <v>0.91671296296296301</v>
      </c>
      <c r="Q1117">
        <v>9</v>
      </c>
      <c r="R1117">
        <v>8.99</v>
      </c>
      <c r="S1117">
        <v>0.79</v>
      </c>
      <c r="T1117">
        <v>0</v>
      </c>
      <c r="U1117">
        <v>0</v>
      </c>
      <c r="V1117">
        <v>0.02</v>
      </c>
      <c r="W1117">
        <v>6.35</v>
      </c>
      <c r="X1117">
        <v>1.43</v>
      </c>
      <c r="Y1117">
        <v>0.39</v>
      </c>
      <c r="Z1117">
        <v>0</v>
      </c>
      <c r="AA1117">
        <v>0</v>
      </c>
      <c r="AB1117">
        <v>0</v>
      </c>
      <c r="AC1117">
        <v>8.99</v>
      </c>
      <c r="AD1117">
        <v>8.76</v>
      </c>
      <c r="AE1117">
        <v>0</v>
      </c>
      <c r="AF1117">
        <v>0</v>
      </c>
      <c r="AG1117">
        <v>0.25</v>
      </c>
      <c r="AH1117">
        <v>70.67</v>
      </c>
      <c r="AI1117">
        <v>15.96</v>
      </c>
      <c r="AJ1117">
        <v>4.33</v>
      </c>
      <c r="AK1117">
        <v>0</v>
      </c>
      <c r="AL1117">
        <v>0</v>
      </c>
      <c r="AM1117">
        <v>0.04</v>
      </c>
      <c r="AN1117">
        <f t="shared" si="52"/>
        <v>6</v>
      </c>
      <c r="AO1117" t="str">
        <f t="shared" si="53"/>
        <v>Friday</v>
      </c>
    </row>
    <row r="1118" spans="1:41" x14ac:dyDescent="0.2">
      <c r="A1118" t="s">
        <v>42</v>
      </c>
      <c r="B1118" s="1">
        <v>45779</v>
      </c>
      <c r="C1118" s="1">
        <f t="shared" si="51"/>
        <v>45808</v>
      </c>
      <c r="D1118">
        <v>1</v>
      </c>
      <c r="E1118">
        <v>1</v>
      </c>
      <c r="F1118">
        <v>0</v>
      </c>
      <c r="G1118">
        <v>0</v>
      </c>
      <c r="H1118">
        <v>1</v>
      </c>
      <c r="I1118">
        <v>0</v>
      </c>
      <c r="J1118">
        <v>0</v>
      </c>
      <c r="K1118">
        <v>0</v>
      </c>
      <c r="L1118" t="s">
        <v>42</v>
      </c>
      <c r="M1118" t="s">
        <v>38</v>
      </c>
      <c r="N1118" s="1">
        <v>45779</v>
      </c>
      <c r="O1118" s="2">
        <v>0.65722222222222226</v>
      </c>
      <c r="P1118" s="2">
        <v>0.86935185185185182</v>
      </c>
      <c r="Q1118">
        <v>5.08</v>
      </c>
      <c r="R1118">
        <v>0.56999999999999995</v>
      </c>
      <c r="S1118">
        <v>0.52</v>
      </c>
      <c r="T1118">
        <v>0</v>
      </c>
      <c r="U1118">
        <v>0</v>
      </c>
      <c r="V1118">
        <v>0.01</v>
      </c>
      <c r="W1118">
        <v>0</v>
      </c>
      <c r="X1118">
        <v>0</v>
      </c>
      <c r="Y1118">
        <v>0</v>
      </c>
      <c r="Z1118">
        <v>0</v>
      </c>
      <c r="AA1118">
        <v>0</v>
      </c>
      <c r="AB1118">
        <v>0.04</v>
      </c>
      <c r="AC1118">
        <v>0.56999999999999995</v>
      </c>
      <c r="AD1118">
        <v>91.08</v>
      </c>
      <c r="AE1118">
        <v>0</v>
      </c>
      <c r="AF1118">
        <v>0</v>
      </c>
      <c r="AG1118">
        <v>2.06</v>
      </c>
      <c r="AH1118">
        <v>0</v>
      </c>
      <c r="AI1118">
        <v>0</v>
      </c>
      <c r="AJ1118">
        <v>0</v>
      </c>
      <c r="AK1118">
        <v>0</v>
      </c>
      <c r="AL1118">
        <v>0</v>
      </c>
      <c r="AM1118">
        <v>6.86</v>
      </c>
      <c r="AN1118">
        <f t="shared" si="52"/>
        <v>6</v>
      </c>
      <c r="AO1118" t="str">
        <f t="shared" si="53"/>
        <v>Friday</v>
      </c>
    </row>
    <row r="1119" spans="1:41" x14ac:dyDescent="0.2">
      <c r="A1119" t="s">
        <v>43</v>
      </c>
      <c r="B1119" s="1">
        <v>45779</v>
      </c>
      <c r="C1119" s="1">
        <f t="shared" si="51"/>
        <v>45808</v>
      </c>
      <c r="D1119">
        <v>21</v>
      </c>
      <c r="E1119">
        <v>58</v>
      </c>
      <c r="F1119">
        <v>7</v>
      </c>
      <c r="G1119">
        <v>2</v>
      </c>
      <c r="H1119">
        <v>15</v>
      </c>
      <c r="I1119">
        <v>1</v>
      </c>
      <c r="J1119">
        <v>0</v>
      </c>
      <c r="K1119">
        <v>27</v>
      </c>
      <c r="L1119" t="s">
        <v>43</v>
      </c>
      <c r="M1119" t="s">
        <v>38</v>
      </c>
      <c r="N1119" s="1">
        <v>45779</v>
      </c>
      <c r="O1119" s="2">
        <v>0.54115740740740736</v>
      </c>
      <c r="P1119" s="2">
        <v>0.91741898148148149</v>
      </c>
      <c r="Q1119">
        <v>9.0299999999999994</v>
      </c>
      <c r="R1119">
        <v>9.0299999999999994</v>
      </c>
      <c r="S1119">
        <v>1.55</v>
      </c>
      <c r="T1119">
        <v>0.2</v>
      </c>
      <c r="U1119">
        <v>0</v>
      </c>
      <c r="V1119">
        <v>0.33</v>
      </c>
      <c r="W1119">
        <v>5.03</v>
      </c>
      <c r="X1119">
        <v>1.93</v>
      </c>
      <c r="Y1119">
        <v>0</v>
      </c>
      <c r="Z1119">
        <v>0</v>
      </c>
      <c r="AA1119">
        <v>0</v>
      </c>
      <c r="AB1119">
        <v>0</v>
      </c>
      <c r="AC1119">
        <v>9.0299999999999994</v>
      </c>
      <c r="AD1119">
        <v>17.12</v>
      </c>
      <c r="AE1119">
        <v>2.17</v>
      </c>
      <c r="AF1119">
        <v>0</v>
      </c>
      <c r="AG1119">
        <v>3.6</v>
      </c>
      <c r="AH1119">
        <v>55.7</v>
      </c>
      <c r="AI1119">
        <v>21.37</v>
      </c>
      <c r="AJ1119">
        <v>0</v>
      </c>
      <c r="AK1119">
        <v>0</v>
      </c>
      <c r="AL1119">
        <v>0</v>
      </c>
      <c r="AM1119">
        <v>0.04</v>
      </c>
      <c r="AN1119">
        <f t="shared" si="52"/>
        <v>6</v>
      </c>
      <c r="AO1119" t="str">
        <f t="shared" si="53"/>
        <v>Friday</v>
      </c>
    </row>
    <row r="1120" spans="1:41" x14ac:dyDescent="0.2">
      <c r="B1120" s="1">
        <v>45779</v>
      </c>
      <c r="C1120" s="1">
        <f t="shared" si="51"/>
        <v>45808</v>
      </c>
      <c r="D1120">
        <v>646</v>
      </c>
      <c r="E1120">
        <v>0</v>
      </c>
      <c r="F1120">
        <v>0</v>
      </c>
      <c r="G1120">
        <v>0</v>
      </c>
      <c r="H1120">
        <v>0</v>
      </c>
      <c r="I1120">
        <v>0</v>
      </c>
      <c r="J1120">
        <v>0</v>
      </c>
      <c r="K1120">
        <v>0</v>
      </c>
      <c r="AN1120">
        <f t="shared" si="52"/>
        <v>6</v>
      </c>
      <c r="AO1120" t="str">
        <f t="shared" si="53"/>
        <v>Friday</v>
      </c>
    </row>
    <row r="1121" spans="1:41" x14ac:dyDescent="0.2">
      <c r="A1121" t="s">
        <v>53</v>
      </c>
      <c r="B1121" s="1">
        <v>45778</v>
      </c>
      <c r="C1121" s="1">
        <f t="shared" si="51"/>
        <v>45808</v>
      </c>
      <c r="D1121">
        <v>12</v>
      </c>
      <c r="E1121">
        <v>30</v>
      </c>
      <c r="F1121">
        <v>1</v>
      </c>
      <c r="G1121">
        <v>1</v>
      </c>
      <c r="H1121">
        <v>1</v>
      </c>
      <c r="I1121">
        <v>0</v>
      </c>
      <c r="J1121">
        <v>0</v>
      </c>
      <c r="K1121">
        <v>24</v>
      </c>
      <c r="L1121" t="s">
        <v>53</v>
      </c>
      <c r="M1121" t="s">
        <v>38</v>
      </c>
      <c r="N1121" s="1">
        <v>45778</v>
      </c>
      <c r="O1121" s="2">
        <v>0.54416666666666669</v>
      </c>
      <c r="P1121" s="2">
        <v>0.91693287037037041</v>
      </c>
      <c r="Q1121">
        <v>8.9499999999999993</v>
      </c>
      <c r="R1121">
        <v>8.9499999999999993</v>
      </c>
      <c r="S1121">
        <v>0.72</v>
      </c>
      <c r="T1121">
        <v>0</v>
      </c>
      <c r="U1121">
        <v>0</v>
      </c>
      <c r="V1121">
        <v>0.11</v>
      </c>
      <c r="W1121">
        <v>5.85</v>
      </c>
      <c r="X1121">
        <v>1.67</v>
      </c>
      <c r="Y1121">
        <v>0.59</v>
      </c>
      <c r="Z1121">
        <v>0</v>
      </c>
      <c r="AA1121">
        <v>0</v>
      </c>
      <c r="AB1121">
        <v>0.01</v>
      </c>
      <c r="AC1121">
        <v>8.9499999999999993</v>
      </c>
      <c r="AD1121">
        <v>8.09</v>
      </c>
      <c r="AE1121">
        <v>0</v>
      </c>
      <c r="AF1121">
        <v>0</v>
      </c>
      <c r="AG1121">
        <v>1.22</v>
      </c>
      <c r="AH1121">
        <v>65.34</v>
      </c>
      <c r="AI1121">
        <v>18.690000000000001</v>
      </c>
      <c r="AJ1121">
        <v>6.6</v>
      </c>
      <c r="AK1121">
        <v>0</v>
      </c>
      <c r="AL1121">
        <v>0</v>
      </c>
      <c r="AM1121">
        <v>0.06</v>
      </c>
      <c r="AN1121">
        <f t="shared" si="52"/>
        <v>5</v>
      </c>
      <c r="AO1121" t="str">
        <f t="shared" si="53"/>
        <v>Thursday</v>
      </c>
    </row>
    <row r="1122" spans="1:41" x14ac:dyDescent="0.2">
      <c r="A1122" t="s">
        <v>37</v>
      </c>
      <c r="B1122" s="1">
        <v>45778</v>
      </c>
      <c r="C1122" s="1">
        <f t="shared" si="51"/>
        <v>45808</v>
      </c>
      <c r="D1122">
        <v>20</v>
      </c>
      <c r="E1122">
        <v>44</v>
      </c>
      <c r="F1122">
        <v>0</v>
      </c>
      <c r="G1122">
        <v>0</v>
      </c>
      <c r="H1122">
        <v>5</v>
      </c>
      <c r="I1122">
        <v>0</v>
      </c>
      <c r="J1122">
        <v>1</v>
      </c>
      <c r="K1122">
        <v>30</v>
      </c>
      <c r="L1122" t="s">
        <v>37</v>
      </c>
      <c r="M1122" t="s">
        <v>38</v>
      </c>
      <c r="N1122" s="1">
        <v>45778</v>
      </c>
      <c r="O1122" s="2">
        <v>0.54181712962962958</v>
      </c>
      <c r="P1122" s="2">
        <v>0.91673611111111108</v>
      </c>
      <c r="Q1122">
        <v>9</v>
      </c>
      <c r="R1122">
        <v>8.16</v>
      </c>
      <c r="S1122">
        <v>0.95</v>
      </c>
      <c r="T1122">
        <v>0.22</v>
      </c>
      <c r="U1122">
        <v>0</v>
      </c>
      <c r="V1122">
        <v>0.15</v>
      </c>
      <c r="W1122">
        <v>5.61</v>
      </c>
      <c r="X1122">
        <v>0.59</v>
      </c>
      <c r="Y1122">
        <v>0.59</v>
      </c>
      <c r="Z1122">
        <v>0</v>
      </c>
      <c r="AA1122">
        <v>0</v>
      </c>
      <c r="AB1122">
        <v>0.04</v>
      </c>
      <c r="AC1122">
        <v>8.16</v>
      </c>
      <c r="AD1122">
        <v>11.61</v>
      </c>
      <c r="AE1122">
        <v>2.75</v>
      </c>
      <c r="AF1122">
        <v>0</v>
      </c>
      <c r="AG1122">
        <v>1.87</v>
      </c>
      <c r="AH1122">
        <v>68.8</v>
      </c>
      <c r="AI1122">
        <v>7.25</v>
      </c>
      <c r="AJ1122">
        <v>7.2</v>
      </c>
      <c r="AK1122">
        <v>0</v>
      </c>
      <c r="AL1122">
        <v>0</v>
      </c>
      <c r="AM1122">
        <v>0.52</v>
      </c>
      <c r="AN1122">
        <f t="shared" si="52"/>
        <v>5</v>
      </c>
      <c r="AO1122" t="str">
        <f t="shared" si="53"/>
        <v>Thursday</v>
      </c>
    </row>
    <row r="1123" spans="1:41" x14ac:dyDescent="0.2">
      <c r="A1123" t="s">
        <v>52</v>
      </c>
      <c r="B1123" s="1">
        <v>45778</v>
      </c>
      <c r="C1123" s="1">
        <f t="shared" si="51"/>
        <v>45808</v>
      </c>
      <c r="D1123">
        <v>20</v>
      </c>
      <c r="E1123">
        <v>70</v>
      </c>
      <c r="F1123">
        <v>1</v>
      </c>
      <c r="G1123">
        <v>0</v>
      </c>
      <c r="H1123">
        <v>3</v>
      </c>
      <c r="I1123">
        <v>0</v>
      </c>
      <c r="J1123">
        <v>3</v>
      </c>
      <c r="K1123">
        <v>56</v>
      </c>
      <c r="L1123" t="s">
        <v>52</v>
      </c>
      <c r="M1123" t="s">
        <v>38</v>
      </c>
      <c r="N1123" s="1">
        <v>45778</v>
      </c>
      <c r="O1123" s="2">
        <v>0.54424768518518518</v>
      </c>
      <c r="P1123" s="2">
        <v>0.91673611111111108</v>
      </c>
      <c r="Q1123">
        <v>8.9499999999999993</v>
      </c>
      <c r="R1123">
        <v>7.64</v>
      </c>
      <c r="S1123">
        <v>0.46</v>
      </c>
      <c r="T1123">
        <v>0.13</v>
      </c>
      <c r="U1123">
        <v>0</v>
      </c>
      <c r="V1123">
        <v>0.1</v>
      </c>
      <c r="W1123">
        <v>5.91</v>
      </c>
      <c r="X1123">
        <v>0.38</v>
      </c>
      <c r="Y1123">
        <v>0.63</v>
      </c>
      <c r="Z1123">
        <v>0</v>
      </c>
      <c r="AA1123">
        <v>0</v>
      </c>
      <c r="AB1123">
        <v>0.04</v>
      </c>
      <c r="AC1123">
        <v>7.64</v>
      </c>
      <c r="AD1123">
        <v>6.05</v>
      </c>
      <c r="AE1123">
        <v>1.7</v>
      </c>
      <c r="AF1123">
        <v>0</v>
      </c>
      <c r="AG1123">
        <v>1.26</v>
      </c>
      <c r="AH1123">
        <v>77.27</v>
      </c>
      <c r="AI1123">
        <v>4.99</v>
      </c>
      <c r="AJ1123">
        <v>8.2100000000000009</v>
      </c>
      <c r="AK1123">
        <v>0</v>
      </c>
      <c r="AL1123">
        <v>0</v>
      </c>
      <c r="AM1123">
        <v>0.51</v>
      </c>
      <c r="AN1123">
        <f t="shared" si="52"/>
        <v>5</v>
      </c>
      <c r="AO1123" t="str">
        <f t="shared" si="53"/>
        <v>Thursday</v>
      </c>
    </row>
    <row r="1124" spans="1:41" x14ac:dyDescent="0.2">
      <c r="A1124" t="s">
        <v>39</v>
      </c>
      <c r="B1124" s="1">
        <v>45778</v>
      </c>
      <c r="C1124" s="1">
        <f t="shared" si="51"/>
        <v>45808</v>
      </c>
      <c r="D1124">
        <v>17</v>
      </c>
      <c r="E1124">
        <v>35</v>
      </c>
      <c r="F1124">
        <v>4</v>
      </c>
      <c r="G1124">
        <v>1</v>
      </c>
      <c r="H1124">
        <v>3</v>
      </c>
      <c r="I1124">
        <v>0</v>
      </c>
      <c r="J1124">
        <v>0</v>
      </c>
      <c r="K1124">
        <v>19</v>
      </c>
      <c r="L1124" t="s">
        <v>39</v>
      </c>
      <c r="M1124" t="s">
        <v>38</v>
      </c>
      <c r="N1124" s="1">
        <v>45778</v>
      </c>
      <c r="O1124" s="2">
        <v>0.54199074074074072</v>
      </c>
      <c r="P1124" s="2">
        <v>0.91675925925925927</v>
      </c>
      <c r="Q1124">
        <v>9</v>
      </c>
      <c r="R1124">
        <v>9</v>
      </c>
      <c r="S1124">
        <v>0.91</v>
      </c>
      <c r="T1124">
        <v>0</v>
      </c>
      <c r="U1124">
        <v>0</v>
      </c>
      <c r="V1124">
        <v>0.02</v>
      </c>
      <c r="W1124">
        <v>6.02</v>
      </c>
      <c r="X1124">
        <v>1.47</v>
      </c>
      <c r="Y1124">
        <v>0.57999999999999996</v>
      </c>
      <c r="Z1124">
        <v>0</v>
      </c>
      <c r="AA1124">
        <v>0</v>
      </c>
      <c r="AB1124">
        <v>0</v>
      </c>
      <c r="AC1124">
        <v>9</v>
      </c>
      <c r="AD1124">
        <v>10.09</v>
      </c>
      <c r="AE1124">
        <v>0</v>
      </c>
      <c r="AF1124">
        <v>0</v>
      </c>
      <c r="AG1124">
        <v>0.19</v>
      </c>
      <c r="AH1124">
        <v>66.849999999999994</v>
      </c>
      <c r="AI1124">
        <v>16.350000000000001</v>
      </c>
      <c r="AJ1124">
        <v>6.47</v>
      </c>
      <c r="AK1124">
        <v>0</v>
      </c>
      <c r="AL1124">
        <v>0</v>
      </c>
      <c r="AM1124">
        <v>0.04</v>
      </c>
      <c r="AN1124">
        <f t="shared" si="52"/>
        <v>5</v>
      </c>
      <c r="AO1124" t="str">
        <f t="shared" si="53"/>
        <v>Thursday</v>
      </c>
    </row>
    <row r="1125" spans="1:41" x14ac:dyDescent="0.2">
      <c r="A1125" t="s">
        <v>41</v>
      </c>
      <c r="B1125" s="1">
        <v>45778</v>
      </c>
      <c r="C1125" s="1">
        <f t="shared" si="51"/>
        <v>45808</v>
      </c>
      <c r="D1125">
        <v>25</v>
      </c>
      <c r="E1125">
        <v>76</v>
      </c>
      <c r="F1125">
        <v>5</v>
      </c>
      <c r="G1125">
        <v>2</v>
      </c>
      <c r="H1125">
        <v>0</v>
      </c>
      <c r="I1125">
        <v>1</v>
      </c>
      <c r="J1125">
        <v>0</v>
      </c>
      <c r="K1125">
        <v>58</v>
      </c>
      <c r="L1125" t="s">
        <v>41</v>
      </c>
      <c r="M1125" t="s">
        <v>38</v>
      </c>
      <c r="N1125" s="1">
        <v>45778</v>
      </c>
      <c r="O1125" s="2">
        <v>0.54539351851851847</v>
      </c>
      <c r="P1125" s="2">
        <v>0.91600694444444442</v>
      </c>
      <c r="Q1125">
        <v>8.9</v>
      </c>
      <c r="R1125">
        <v>8.89</v>
      </c>
      <c r="S1125">
        <v>0.85</v>
      </c>
      <c r="T1125">
        <v>0.09</v>
      </c>
      <c r="U1125">
        <v>0</v>
      </c>
      <c r="V1125">
        <v>0.19</v>
      </c>
      <c r="W1125">
        <v>5.8</v>
      </c>
      <c r="X1125">
        <v>1.47</v>
      </c>
      <c r="Y1125">
        <v>0.48</v>
      </c>
      <c r="Z1125">
        <v>0</v>
      </c>
      <c r="AA1125">
        <v>0</v>
      </c>
      <c r="AB1125">
        <v>0.02</v>
      </c>
      <c r="AC1125">
        <v>8.89</v>
      </c>
      <c r="AD1125">
        <v>9.58</v>
      </c>
      <c r="AE1125">
        <v>1.02</v>
      </c>
      <c r="AF1125">
        <v>0</v>
      </c>
      <c r="AG1125">
        <v>2.16</v>
      </c>
      <c r="AH1125">
        <v>65.17</v>
      </c>
      <c r="AI1125">
        <v>16.510000000000002</v>
      </c>
      <c r="AJ1125">
        <v>5.37</v>
      </c>
      <c r="AK1125">
        <v>0</v>
      </c>
      <c r="AL1125">
        <v>0</v>
      </c>
      <c r="AM1125">
        <v>0.2</v>
      </c>
      <c r="AN1125">
        <f t="shared" si="52"/>
        <v>5</v>
      </c>
      <c r="AO1125" t="str">
        <f t="shared" si="53"/>
        <v>Thursday</v>
      </c>
    </row>
    <row r="1126" spans="1:41" x14ac:dyDescent="0.2">
      <c r="A1126" t="s">
        <v>43</v>
      </c>
      <c r="B1126" s="1">
        <v>45778</v>
      </c>
      <c r="C1126" s="1">
        <f t="shared" si="51"/>
        <v>45808</v>
      </c>
      <c r="D1126">
        <v>19</v>
      </c>
      <c r="E1126">
        <v>44</v>
      </c>
      <c r="F1126">
        <v>3</v>
      </c>
      <c r="G1126">
        <v>0</v>
      </c>
      <c r="H1126">
        <v>7</v>
      </c>
      <c r="I1126">
        <v>0</v>
      </c>
      <c r="J1126">
        <v>0</v>
      </c>
      <c r="K1126">
        <v>24</v>
      </c>
      <c r="L1126" t="s">
        <v>43</v>
      </c>
      <c r="M1126" t="s">
        <v>38</v>
      </c>
      <c r="N1126" s="1">
        <v>45778</v>
      </c>
      <c r="O1126" s="2">
        <v>0.54240740740740745</v>
      </c>
      <c r="P1126" s="2">
        <v>0.91767361111111112</v>
      </c>
      <c r="Q1126">
        <v>9</v>
      </c>
      <c r="R1126">
        <v>9.01</v>
      </c>
      <c r="S1126">
        <v>0.84</v>
      </c>
      <c r="T1126">
        <v>0.22</v>
      </c>
      <c r="U1126">
        <v>0</v>
      </c>
      <c r="V1126">
        <v>0.34</v>
      </c>
      <c r="W1126">
        <v>5.52</v>
      </c>
      <c r="X1126">
        <v>1.5</v>
      </c>
      <c r="Y1126">
        <v>0.59</v>
      </c>
      <c r="Z1126">
        <v>0</v>
      </c>
      <c r="AA1126">
        <v>0</v>
      </c>
      <c r="AB1126">
        <v>0</v>
      </c>
      <c r="AC1126">
        <v>9.01</v>
      </c>
      <c r="AD1126">
        <v>9.31</v>
      </c>
      <c r="AE1126">
        <v>2.41</v>
      </c>
      <c r="AF1126">
        <v>0</v>
      </c>
      <c r="AG1126">
        <v>3.78</v>
      </c>
      <c r="AH1126">
        <v>61.24</v>
      </c>
      <c r="AI1126">
        <v>16.600000000000001</v>
      </c>
      <c r="AJ1126">
        <v>6.58</v>
      </c>
      <c r="AK1126">
        <v>0</v>
      </c>
      <c r="AL1126">
        <v>0.03</v>
      </c>
      <c r="AM1126">
        <v>0.05</v>
      </c>
      <c r="AN1126">
        <f t="shared" si="52"/>
        <v>5</v>
      </c>
      <c r="AO1126" t="str">
        <f t="shared" si="53"/>
        <v>Thursday</v>
      </c>
    </row>
    <row r="1127" spans="1:41" x14ac:dyDescent="0.2">
      <c r="B1127" s="1">
        <v>45778</v>
      </c>
      <c r="C1127" s="1">
        <f t="shared" si="51"/>
        <v>45808</v>
      </c>
      <c r="D1127">
        <v>652</v>
      </c>
      <c r="E1127">
        <v>0</v>
      </c>
      <c r="F1127">
        <v>0</v>
      </c>
      <c r="G1127">
        <v>0</v>
      </c>
      <c r="H1127">
        <v>0</v>
      </c>
      <c r="I1127">
        <v>0</v>
      </c>
      <c r="J1127">
        <v>0</v>
      </c>
      <c r="K1127">
        <v>0</v>
      </c>
      <c r="AN1127">
        <f t="shared" si="52"/>
        <v>5</v>
      </c>
      <c r="AO1127" t="str">
        <f t="shared" si="53"/>
        <v>Thursday</v>
      </c>
    </row>
    <row r="1128" spans="1:41" x14ac:dyDescent="0.2">
      <c r="A1128" t="s">
        <v>53</v>
      </c>
      <c r="B1128" s="1">
        <v>45777</v>
      </c>
      <c r="C1128" s="1">
        <f t="shared" si="51"/>
        <v>45777</v>
      </c>
      <c r="D1128">
        <v>19</v>
      </c>
      <c r="E1128">
        <v>57</v>
      </c>
      <c r="F1128">
        <v>1</v>
      </c>
      <c r="G1128">
        <v>0</v>
      </c>
      <c r="H1128">
        <v>2</v>
      </c>
      <c r="I1128">
        <v>0</v>
      </c>
      <c r="J1128">
        <v>1</v>
      </c>
      <c r="K1128">
        <v>42</v>
      </c>
      <c r="L1128" t="s">
        <v>53</v>
      </c>
      <c r="M1128" t="s">
        <v>38</v>
      </c>
      <c r="N1128" s="1">
        <v>45777</v>
      </c>
      <c r="O1128" s="2">
        <v>0.54143518518518519</v>
      </c>
      <c r="P1128" s="2">
        <v>0.91672453703703705</v>
      </c>
      <c r="Q1128">
        <v>9.02</v>
      </c>
      <c r="R1128">
        <v>9</v>
      </c>
      <c r="S1128">
        <v>0.85</v>
      </c>
      <c r="T1128">
        <v>0</v>
      </c>
      <c r="U1128">
        <v>0</v>
      </c>
      <c r="V1128">
        <v>0.15</v>
      </c>
      <c r="W1128">
        <v>5.37</v>
      </c>
      <c r="X1128">
        <v>1.5</v>
      </c>
      <c r="Y1128">
        <v>1.1200000000000001</v>
      </c>
      <c r="Z1128">
        <v>0</v>
      </c>
      <c r="AA1128">
        <v>0</v>
      </c>
      <c r="AB1128">
        <v>0.02</v>
      </c>
      <c r="AC1128">
        <v>9</v>
      </c>
      <c r="AD1128">
        <v>9.41</v>
      </c>
      <c r="AE1128">
        <v>0</v>
      </c>
      <c r="AF1128">
        <v>0</v>
      </c>
      <c r="AG1128">
        <v>1.65</v>
      </c>
      <c r="AH1128">
        <v>59.67</v>
      </c>
      <c r="AI1128">
        <v>16.68</v>
      </c>
      <c r="AJ1128">
        <v>12.42</v>
      </c>
      <c r="AK1128">
        <v>0</v>
      </c>
      <c r="AL1128">
        <v>0</v>
      </c>
      <c r="AM1128">
        <v>0.18</v>
      </c>
      <c r="AN1128">
        <f t="shared" si="52"/>
        <v>4</v>
      </c>
      <c r="AO1128" t="str">
        <f t="shared" si="53"/>
        <v>Wednesday</v>
      </c>
    </row>
    <row r="1129" spans="1:41" x14ac:dyDescent="0.2">
      <c r="A1129" t="s">
        <v>37</v>
      </c>
      <c r="B1129" s="1">
        <v>45777</v>
      </c>
      <c r="C1129" s="1">
        <f t="shared" si="51"/>
        <v>45777</v>
      </c>
      <c r="D1129">
        <v>21</v>
      </c>
      <c r="E1129">
        <v>64</v>
      </c>
      <c r="F1129">
        <v>2</v>
      </c>
      <c r="G1129">
        <v>0</v>
      </c>
      <c r="H1129">
        <v>2</v>
      </c>
      <c r="I1129">
        <v>0</v>
      </c>
      <c r="J1129">
        <v>0</v>
      </c>
      <c r="K1129">
        <v>48</v>
      </c>
      <c r="L1129" t="s">
        <v>37</v>
      </c>
      <c r="M1129" t="s">
        <v>38</v>
      </c>
      <c r="N1129" s="1">
        <v>45777</v>
      </c>
      <c r="O1129" s="2">
        <v>0.54230324074074077</v>
      </c>
      <c r="P1129" s="2">
        <v>0.91677083333333331</v>
      </c>
      <c r="Q1129">
        <v>9</v>
      </c>
      <c r="R1129">
        <v>8.07</v>
      </c>
      <c r="S1129">
        <v>1.01</v>
      </c>
      <c r="T1129">
        <v>0.4</v>
      </c>
      <c r="U1129">
        <v>0</v>
      </c>
      <c r="V1129">
        <v>0.17</v>
      </c>
      <c r="W1129">
        <v>4.92</v>
      </c>
      <c r="X1129">
        <v>0.41</v>
      </c>
      <c r="Y1129">
        <v>1.1399999999999999</v>
      </c>
      <c r="Z1129">
        <v>0</v>
      </c>
      <c r="AA1129">
        <v>0</v>
      </c>
      <c r="AB1129">
        <v>0.01</v>
      </c>
      <c r="AC1129">
        <v>8.07</v>
      </c>
      <c r="AD1129">
        <v>12.52</v>
      </c>
      <c r="AE1129">
        <v>4.9800000000000004</v>
      </c>
      <c r="AF1129">
        <v>0</v>
      </c>
      <c r="AG1129">
        <v>2.16</v>
      </c>
      <c r="AH1129">
        <v>60.96</v>
      </c>
      <c r="AI1129">
        <v>5.1100000000000003</v>
      </c>
      <c r="AJ1129">
        <v>14.12</v>
      </c>
      <c r="AK1129">
        <v>0</v>
      </c>
      <c r="AL1129">
        <v>0</v>
      </c>
      <c r="AM1129">
        <v>0.15</v>
      </c>
      <c r="AN1129">
        <f t="shared" si="52"/>
        <v>4</v>
      </c>
      <c r="AO1129" t="str">
        <f t="shared" si="53"/>
        <v>Wednesday</v>
      </c>
    </row>
    <row r="1130" spans="1:41" x14ac:dyDescent="0.2">
      <c r="A1130" t="s">
        <v>52</v>
      </c>
      <c r="B1130" s="1">
        <v>45777</v>
      </c>
      <c r="C1130" s="1">
        <f t="shared" si="51"/>
        <v>45777</v>
      </c>
      <c r="D1130">
        <v>15</v>
      </c>
      <c r="E1130">
        <v>24</v>
      </c>
      <c r="F1130">
        <v>2</v>
      </c>
      <c r="G1130">
        <v>0</v>
      </c>
      <c r="H1130">
        <v>3</v>
      </c>
      <c r="I1130">
        <v>0</v>
      </c>
      <c r="J1130">
        <v>0</v>
      </c>
      <c r="K1130">
        <v>3</v>
      </c>
      <c r="L1130" t="s">
        <v>52</v>
      </c>
      <c r="M1130" t="s">
        <v>38</v>
      </c>
      <c r="N1130" s="1">
        <v>45777</v>
      </c>
      <c r="O1130" s="2">
        <v>0.54206018518518517</v>
      </c>
      <c r="P1130" s="2">
        <v>0.91903935185185182</v>
      </c>
      <c r="Q1130">
        <v>9.0500000000000007</v>
      </c>
      <c r="R1130">
        <v>8.2200000000000006</v>
      </c>
      <c r="S1130">
        <v>1.67</v>
      </c>
      <c r="T1130">
        <v>0.26</v>
      </c>
      <c r="U1130">
        <v>0</v>
      </c>
      <c r="V1130">
        <v>0.05</v>
      </c>
      <c r="W1130">
        <v>4.0999999999999996</v>
      </c>
      <c r="X1130">
        <v>0.66</v>
      </c>
      <c r="Y1130">
        <v>1.46</v>
      </c>
      <c r="Z1130">
        <v>0</v>
      </c>
      <c r="AA1130">
        <v>0</v>
      </c>
      <c r="AB1130">
        <v>0.03</v>
      </c>
      <c r="AC1130">
        <v>8.2200000000000006</v>
      </c>
      <c r="AD1130">
        <v>20.309999999999999</v>
      </c>
      <c r="AE1130">
        <v>3.18</v>
      </c>
      <c r="AF1130">
        <v>0</v>
      </c>
      <c r="AG1130">
        <v>0.62</v>
      </c>
      <c r="AH1130">
        <v>49.83</v>
      </c>
      <c r="AI1130">
        <v>8.01</v>
      </c>
      <c r="AJ1130">
        <v>17.71</v>
      </c>
      <c r="AK1130">
        <v>0</v>
      </c>
      <c r="AL1130">
        <v>0</v>
      </c>
      <c r="AM1130">
        <v>0.34</v>
      </c>
      <c r="AN1130">
        <f t="shared" si="52"/>
        <v>4</v>
      </c>
      <c r="AO1130" t="str">
        <f t="shared" si="53"/>
        <v>Wednesday</v>
      </c>
    </row>
    <row r="1131" spans="1:41" x14ac:dyDescent="0.2">
      <c r="A1131" t="s">
        <v>39</v>
      </c>
      <c r="B1131" s="1">
        <v>45777</v>
      </c>
      <c r="C1131" s="1">
        <f t="shared" si="51"/>
        <v>45777</v>
      </c>
      <c r="D1131">
        <v>15</v>
      </c>
      <c r="E1131">
        <v>51</v>
      </c>
      <c r="F1131">
        <v>17</v>
      </c>
      <c r="G1131">
        <v>2</v>
      </c>
      <c r="H1131">
        <v>10</v>
      </c>
      <c r="I1131">
        <v>0</v>
      </c>
      <c r="J1131">
        <v>0</v>
      </c>
      <c r="K1131">
        <v>23</v>
      </c>
      <c r="L1131" t="s">
        <v>39</v>
      </c>
      <c r="M1131" t="s">
        <v>38</v>
      </c>
      <c r="N1131" s="1">
        <v>45777</v>
      </c>
      <c r="O1131" s="2">
        <v>0.54171296296296301</v>
      </c>
      <c r="P1131" s="2">
        <v>0.91677083333333331</v>
      </c>
      <c r="Q1131">
        <v>9</v>
      </c>
      <c r="R1131">
        <v>9</v>
      </c>
      <c r="S1131">
        <v>1.24</v>
      </c>
      <c r="T1131">
        <v>0</v>
      </c>
      <c r="U1131">
        <v>0</v>
      </c>
      <c r="V1131">
        <v>0.02</v>
      </c>
      <c r="W1131">
        <v>5</v>
      </c>
      <c r="X1131">
        <v>1.41</v>
      </c>
      <c r="Y1131">
        <v>1.32</v>
      </c>
      <c r="Z1131">
        <v>0</v>
      </c>
      <c r="AA1131">
        <v>0</v>
      </c>
      <c r="AB1131">
        <v>0</v>
      </c>
      <c r="AC1131">
        <v>9</v>
      </c>
      <c r="AD1131">
        <v>13.77</v>
      </c>
      <c r="AE1131">
        <v>0</v>
      </c>
      <c r="AF1131">
        <v>0</v>
      </c>
      <c r="AG1131">
        <v>0.25</v>
      </c>
      <c r="AH1131">
        <v>55.55</v>
      </c>
      <c r="AI1131">
        <v>15.68</v>
      </c>
      <c r="AJ1131">
        <v>14.71</v>
      </c>
      <c r="AK1131">
        <v>0</v>
      </c>
      <c r="AL1131">
        <v>0</v>
      </c>
      <c r="AM1131">
        <v>0.04</v>
      </c>
      <c r="AN1131">
        <f t="shared" si="52"/>
        <v>4</v>
      </c>
      <c r="AO1131" t="str">
        <f t="shared" si="53"/>
        <v>Wednesday</v>
      </c>
    </row>
    <row r="1132" spans="1:41" x14ac:dyDescent="0.2">
      <c r="A1132" t="s">
        <v>41</v>
      </c>
      <c r="B1132" s="1">
        <v>45777</v>
      </c>
      <c r="C1132" s="1">
        <f t="shared" si="51"/>
        <v>45777</v>
      </c>
      <c r="D1132">
        <v>33</v>
      </c>
      <c r="E1132">
        <v>104</v>
      </c>
      <c r="F1132">
        <v>7</v>
      </c>
      <c r="G1132">
        <v>2</v>
      </c>
      <c r="H1132">
        <v>9</v>
      </c>
      <c r="I1132">
        <v>0</v>
      </c>
      <c r="J1132">
        <v>2</v>
      </c>
      <c r="K1132">
        <v>68</v>
      </c>
      <c r="L1132" t="s">
        <v>41</v>
      </c>
      <c r="M1132" t="s">
        <v>38</v>
      </c>
      <c r="N1132" s="1">
        <v>45777</v>
      </c>
      <c r="O1132" s="2">
        <v>0.54353009259259255</v>
      </c>
      <c r="P1132" s="2">
        <v>0.92298611111111106</v>
      </c>
      <c r="Q1132">
        <v>9.1199999999999992</v>
      </c>
      <c r="R1132">
        <v>9.1199999999999992</v>
      </c>
      <c r="S1132">
        <v>1.02</v>
      </c>
      <c r="T1132">
        <v>0</v>
      </c>
      <c r="U1132">
        <v>0</v>
      </c>
      <c r="V1132">
        <v>0.26</v>
      </c>
      <c r="W1132">
        <v>6.37</v>
      </c>
      <c r="X1132">
        <v>1.46</v>
      </c>
      <c r="Y1132">
        <v>0</v>
      </c>
      <c r="Z1132">
        <v>0</v>
      </c>
      <c r="AA1132">
        <v>0</v>
      </c>
      <c r="AB1132">
        <v>0</v>
      </c>
      <c r="AC1132">
        <v>9.1199999999999992</v>
      </c>
      <c r="AD1132">
        <v>11.23</v>
      </c>
      <c r="AE1132">
        <v>0</v>
      </c>
      <c r="AF1132">
        <v>0</v>
      </c>
      <c r="AG1132">
        <v>2.82</v>
      </c>
      <c r="AH1132">
        <v>69.86</v>
      </c>
      <c r="AI1132">
        <v>16.05</v>
      </c>
      <c r="AJ1132">
        <v>0</v>
      </c>
      <c r="AK1132">
        <v>0</v>
      </c>
      <c r="AL1132">
        <v>0</v>
      </c>
      <c r="AM1132">
        <v>0.05</v>
      </c>
      <c r="AN1132">
        <f t="shared" si="52"/>
        <v>4</v>
      </c>
      <c r="AO1132" t="str">
        <f t="shared" si="53"/>
        <v>Wednesday</v>
      </c>
    </row>
    <row r="1133" spans="1:41" x14ac:dyDescent="0.2">
      <c r="A1133" t="s">
        <v>43</v>
      </c>
      <c r="B1133" s="1">
        <v>45777</v>
      </c>
      <c r="C1133" s="1">
        <f t="shared" si="51"/>
        <v>45777</v>
      </c>
      <c r="D1133">
        <v>25</v>
      </c>
      <c r="E1133">
        <v>62</v>
      </c>
      <c r="F1133">
        <v>2</v>
      </c>
      <c r="G1133">
        <v>3</v>
      </c>
      <c r="H1133">
        <v>3</v>
      </c>
      <c r="I1133">
        <v>0</v>
      </c>
      <c r="J1133">
        <v>1</v>
      </c>
      <c r="K1133">
        <v>41</v>
      </c>
      <c r="L1133" t="s">
        <v>43</v>
      </c>
      <c r="M1133" t="s">
        <v>38</v>
      </c>
      <c r="N1133" s="1">
        <v>45777</v>
      </c>
      <c r="O1133" s="2">
        <v>0.54118055555555555</v>
      </c>
      <c r="P1133" s="2">
        <v>0.91670138888888886</v>
      </c>
      <c r="Q1133">
        <v>9.02</v>
      </c>
      <c r="R1133">
        <v>9.01</v>
      </c>
      <c r="S1133">
        <v>0.52</v>
      </c>
      <c r="T1133">
        <v>0.11</v>
      </c>
      <c r="U1133">
        <v>0</v>
      </c>
      <c r="V1133">
        <v>0.21</v>
      </c>
      <c r="W1133">
        <v>5.56</v>
      </c>
      <c r="X1133">
        <v>1.49</v>
      </c>
      <c r="Y1133">
        <v>1.1200000000000001</v>
      </c>
      <c r="Z1133">
        <v>0</v>
      </c>
      <c r="AA1133">
        <v>0</v>
      </c>
      <c r="AB1133">
        <v>0</v>
      </c>
      <c r="AC1133">
        <v>9.01</v>
      </c>
      <c r="AD1133">
        <v>5.82</v>
      </c>
      <c r="AE1133">
        <v>1.17</v>
      </c>
      <c r="AF1133">
        <v>0</v>
      </c>
      <c r="AG1133">
        <v>2.3199999999999998</v>
      </c>
      <c r="AH1133">
        <v>61.7</v>
      </c>
      <c r="AI1133">
        <v>16.53</v>
      </c>
      <c r="AJ1133">
        <v>12.42</v>
      </c>
      <c r="AK1133">
        <v>0</v>
      </c>
      <c r="AL1133">
        <v>0</v>
      </c>
      <c r="AM1133">
        <v>0.04</v>
      </c>
      <c r="AN1133">
        <f t="shared" si="52"/>
        <v>4</v>
      </c>
      <c r="AO1133" t="str">
        <f t="shared" si="53"/>
        <v>Wednesday</v>
      </c>
    </row>
    <row r="1134" spans="1:41" x14ac:dyDescent="0.2">
      <c r="B1134" s="1">
        <v>45777</v>
      </c>
      <c r="C1134" s="1">
        <f t="shared" si="51"/>
        <v>45777</v>
      </c>
      <c r="D1134">
        <v>661</v>
      </c>
      <c r="E1134">
        <v>0</v>
      </c>
      <c r="F1134">
        <v>0</v>
      </c>
      <c r="G1134">
        <v>0</v>
      </c>
      <c r="H1134">
        <v>0</v>
      </c>
      <c r="I1134">
        <v>0</v>
      </c>
      <c r="J1134">
        <v>0</v>
      </c>
      <c r="K1134">
        <v>0</v>
      </c>
      <c r="AN1134">
        <f t="shared" si="52"/>
        <v>4</v>
      </c>
      <c r="AO1134" t="str">
        <f t="shared" si="53"/>
        <v>Wednesday</v>
      </c>
    </row>
    <row r="1135" spans="1:41" x14ac:dyDescent="0.2">
      <c r="A1135" t="s">
        <v>53</v>
      </c>
      <c r="B1135" s="1">
        <v>45776</v>
      </c>
      <c r="C1135" s="1">
        <f t="shared" si="51"/>
        <v>45777</v>
      </c>
      <c r="D1135">
        <v>15</v>
      </c>
      <c r="E1135">
        <v>41</v>
      </c>
      <c r="F1135">
        <v>8</v>
      </c>
      <c r="G1135">
        <v>1</v>
      </c>
      <c r="H1135">
        <v>4</v>
      </c>
      <c r="I1135">
        <v>0</v>
      </c>
      <c r="J1135">
        <v>0</v>
      </c>
      <c r="K1135">
        <v>24</v>
      </c>
      <c r="L1135" t="s">
        <v>53</v>
      </c>
      <c r="M1135" t="s">
        <v>38</v>
      </c>
      <c r="N1135" s="1">
        <v>45776</v>
      </c>
      <c r="O1135" s="2">
        <v>0.54082175925925924</v>
      </c>
      <c r="P1135" s="2">
        <v>0.91677083333333331</v>
      </c>
      <c r="Q1135">
        <v>9.0299999999999994</v>
      </c>
      <c r="R1135">
        <v>8.75</v>
      </c>
      <c r="S1135">
        <v>1.98</v>
      </c>
      <c r="T1135">
        <v>0</v>
      </c>
      <c r="U1135">
        <v>0</v>
      </c>
      <c r="V1135">
        <v>0.21</v>
      </c>
      <c r="W1135">
        <v>4.6500000000000004</v>
      </c>
      <c r="X1135">
        <v>1.1599999999999999</v>
      </c>
      <c r="Y1135">
        <v>0.56999999999999995</v>
      </c>
      <c r="Z1135">
        <v>0</v>
      </c>
      <c r="AA1135">
        <v>0.17</v>
      </c>
      <c r="AB1135">
        <v>0.02</v>
      </c>
      <c r="AC1135">
        <v>8.75</v>
      </c>
      <c r="AD1135">
        <v>22.58</v>
      </c>
      <c r="AE1135">
        <v>0</v>
      </c>
      <c r="AF1135">
        <v>0</v>
      </c>
      <c r="AG1135">
        <v>2.35</v>
      </c>
      <c r="AH1135">
        <v>53.17</v>
      </c>
      <c r="AI1135">
        <v>13.27</v>
      </c>
      <c r="AJ1135">
        <v>6.53</v>
      </c>
      <c r="AK1135">
        <v>0</v>
      </c>
      <c r="AL1135">
        <v>1.93</v>
      </c>
      <c r="AM1135">
        <v>0.17</v>
      </c>
      <c r="AN1135">
        <f t="shared" si="52"/>
        <v>3</v>
      </c>
      <c r="AO1135" t="str">
        <f t="shared" si="53"/>
        <v>Tuesday</v>
      </c>
    </row>
    <row r="1136" spans="1:41" x14ac:dyDescent="0.2">
      <c r="A1136" t="s">
        <v>37</v>
      </c>
      <c r="B1136" s="1">
        <v>45776</v>
      </c>
      <c r="C1136" s="1">
        <f t="shared" si="51"/>
        <v>45777</v>
      </c>
      <c r="D1136">
        <v>26</v>
      </c>
      <c r="E1136">
        <v>76</v>
      </c>
      <c r="F1136">
        <v>3</v>
      </c>
      <c r="G1136">
        <v>2</v>
      </c>
      <c r="H1136">
        <v>4</v>
      </c>
      <c r="I1136">
        <v>0</v>
      </c>
      <c r="J1136">
        <v>3</v>
      </c>
      <c r="K1136">
        <v>50</v>
      </c>
      <c r="L1136" t="s">
        <v>37</v>
      </c>
      <c r="M1136" t="s">
        <v>38</v>
      </c>
      <c r="N1136" s="1">
        <v>45776</v>
      </c>
      <c r="O1136" s="2">
        <v>0.54024305555555552</v>
      </c>
      <c r="P1136" s="2">
        <v>0.91778935185185184</v>
      </c>
      <c r="Q1136">
        <v>9.07</v>
      </c>
      <c r="R1136">
        <v>8.14</v>
      </c>
      <c r="S1136">
        <v>0.8</v>
      </c>
      <c r="T1136">
        <v>0.16</v>
      </c>
      <c r="U1136">
        <v>0</v>
      </c>
      <c r="V1136">
        <v>0.28000000000000003</v>
      </c>
      <c r="W1136">
        <v>5.93</v>
      </c>
      <c r="X1136">
        <v>0.56000000000000005</v>
      </c>
      <c r="Y1136">
        <v>0.3</v>
      </c>
      <c r="Z1136">
        <v>0</v>
      </c>
      <c r="AA1136">
        <v>0</v>
      </c>
      <c r="AB1136">
        <v>0.11</v>
      </c>
      <c r="AC1136">
        <v>8.14</v>
      </c>
      <c r="AD1136">
        <v>9.85</v>
      </c>
      <c r="AE1136">
        <v>1.92</v>
      </c>
      <c r="AF1136">
        <v>0</v>
      </c>
      <c r="AG1136">
        <v>3.48</v>
      </c>
      <c r="AH1136">
        <v>72.900000000000006</v>
      </c>
      <c r="AI1136">
        <v>6.85</v>
      </c>
      <c r="AJ1136">
        <v>3.64</v>
      </c>
      <c r="AK1136">
        <v>0</v>
      </c>
      <c r="AL1136">
        <v>0</v>
      </c>
      <c r="AM1136">
        <v>1.36</v>
      </c>
      <c r="AN1136">
        <f t="shared" si="52"/>
        <v>3</v>
      </c>
      <c r="AO1136" t="str">
        <f t="shared" si="53"/>
        <v>Tuesday</v>
      </c>
    </row>
    <row r="1137" spans="1:41" x14ac:dyDescent="0.2">
      <c r="A1137" t="s">
        <v>52</v>
      </c>
      <c r="B1137" s="1">
        <v>45776</v>
      </c>
      <c r="C1137" s="1">
        <f t="shared" si="51"/>
        <v>45777</v>
      </c>
      <c r="D1137">
        <v>20</v>
      </c>
      <c r="E1137">
        <v>48</v>
      </c>
      <c r="F1137">
        <v>4</v>
      </c>
      <c r="G1137">
        <v>1</v>
      </c>
      <c r="H1137">
        <v>7</v>
      </c>
      <c r="I1137">
        <v>0</v>
      </c>
      <c r="J1137">
        <v>0</v>
      </c>
      <c r="K1137">
        <v>30</v>
      </c>
      <c r="L1137" t="s">
        <v>52</v>
      </c>
      <c r="M1137" t="s">
        <v>38</v>
      </c>
      <c r="N1137" s="1">
        <v>45776</v>
      </c>
      <c r="O1137" s="2">
        <v>0.54364583333333338</v>
      </c>
      <c r="P1137" s="2">
        <v>0.91717592592592589</v>
      </c>
      <c r="Q1137">
        <v>8.9700000000000006</v>
      </c>
      <c r="R1137">
        <v>8.01</v>
      </c>
      <c r="S1137">
        <v>0.91</v>
      </c>
      <c r="T1137">
        <v>1.55</v>
      </c>
      <c r="U1137">
        <v>0</v>
      </c>
      <c r="V1137">
        <v>0.24</v>
      </c>
      <c r="W1137">
        <v>4.75</v>
      </c>
      <c r="X1137">
        <v>0.53</v>
      </c>
      <c r="Y1137">
        <v>0</v>
      </c>
      <c r="Z1137">
        <v>0</v>
      </c>
      <c r="AA1137">
        <v>0</v>
      </c>
      <c r="AB1137">
        <v>0.04</v>
      </c>
      <c r="AC1137">
        <v>8.01</v>
      </c>
      <c r="AD1137">
        <v>11.37</v>
      </c>
      <c r="AE1137">
        <v>19.329999999999998</v>
      </c>
      <c r="AF1137">
        <v>0</v>
      </c>
      <c r="AG1137">
        <v>2.95</v>
      </c>
      <c r="AH1137">
        <v>59.21</v>
      </c>
      <c r="AI1137">
        <v>6.62</v>
      </c>
      <c r="AJ1137">
        <v>0</v>
      </c>
      <c r="AK1137">
        <v>0</v>
      </c>
      <c r="AL1137">
        <v>0</v>
      </c>
      <c r="AM1137">
        <v>0.52</v>
      </c>
      <c r="AN1137">
        <f t="shared" si="52"/>
        <v>3</v>
      </c>
      <c r="AO1137" t="str">
        <f t="shared" si="53"/>
        <v>Tuesday</v>
      </c>
    </row>
    <row r="1138" spans="1:41" x14ac:dyDescent="0.2">
      <c r="A1138" t="s">
        <v>39</v>
      </c>
      <c r="B1138" s="1">
        <v>45776</v>
      </c>
      <c r="C1138" s="1">
        <f t="shared" si="51"/>
        <v>45777</v>
      </c>
      <c r="D1138">
        <v>30</v>
      </c>
      <c r="E1138">
        <v>78</v>
      </c>
      <c r="F1138">
        <v>4</v>
      </c>
      <c r="G1138">
        <v>5</v>
      </c>
      <c r="H1138">
        <v>5</v>
      </c>
      <c r="I1138">
        <v>0</v>
      </c>
      <c r="J1138">
        <v>0</v>
      </c>
      <c r="K1138">
        <v>44</v>
      </c>
      <c r="L1138" t="s">
        <v>39</v>
      </c>
      <c r="M1138" t="s">
        <v>38</v>
      </c>
      <c r="N1138" s="1">
        <v>45776</v>
      </c>
      <c r="O1138" s="2">
        <v>0.54153935185185187</v>
      </c>
      <c r="P1138" s="2">
        <v>0.91670138888888886</v>
      </c>
      <c r="Q1138">
        <v>9.02</v>
      </c>
      <c r="R1138">
        <v>9</v>
      </c>
      <c r="S1138">
        <v>1.92</v>
      </c>
      <c r="T1138">
        <v>0.12</v>
      </c>
      <c r="U1138">
        <v>0</v>
      </c>
      <c r="V1138">
        <v>0.03</v>
      </c>
      <c r="W1138">
        <v>5.22</v>
      </c>
      <c r="X1138">
        <v>1.45</v>
      </c>
      <c r="Y1138">
        <v>0.26</v>
      </c>
      <c r="Z1138">
        <v>0</v>
      </c>
      <c r="AA1138">
        <v>0</v>
      </c>
      <c r="AB1138">
        <v>0.01</v>
      </c>
      <c r="AC1138">
        <v>9</v>
      </c>
      <c r="AD1138">
        <v>21.35</v>
      </c>
      <c r="AE1138">
        <v>1.32</v>
      </c>
      <c r="AF1138">
        <v>0</v>
      </c>
      <c r="AG1138">
        <v>0.34</v>
      </c>
      <c r="AH1138">
        <v>57.98</v>
      </c>
      <c r="AI1138">
        <v>16.079999999999998</v>
      </c>
      <c r="AJ1138">
        <v>2.85</v>
      </c>
      <c r="AK1138">
        <v>0</v>
      </c>
      <c r="AL1138">
        <v>0</v>
      </c>
      <c r="AM1138">
        <v>0.08</v>
      </c>
      <c r="AN1138">
        <f t="shared" si="52"/>
        <v>3</v>
      </c>
      <c r="AO1138" t="str">
        <f t="shared" si="53"/>
        <v>Tuesday</v>
      </c>
    </row>
    <row r="1139" spans="1:41" x14ac:dyDescent="0.2">
      <c r="A1139" t="s">
        <v>41</v>
      </c>
      <c r="B1139" s="1">
        <v>45776</v>
      </c>
      <c r="C1139" s="1">
        <f t="shared" si="51"/>
        <v>45777</v>
      </c>
      <c r="D1139">
        <v>26</v>
      </c>
      <c r="E1139">
        <v>71</v>
      </c>
      <c r="F1139">
        <v>0</v>
      </c>
      <c r="G1139">
        <v>7</v>
      </c>
      <c r="H1139">
        <v>6</v>
      </c>
      <c r="I1139">
        <v>0</v>
      </c>
      <c r="J1139">
        <v>1</v>
      </c>
      <c r="K1139">
        <v>45</v>
      </c>
      <c r="L1139" t="s">
        <v>41</v>
      </c>
      <c r="M1139" t="s">
        <v>38</v>
      </c>
      <c r="N1139" s="1">
        <v>45776</v>
      </c>
      <c r="O1139" s="2">
        <v>0.54398148148148151</v>
      </c>
      <c r="P1139" s="2">
        <v>0.91593749999999996</v>
      </c>
      <c r="Q1139">
        <v>8.92</v>
      </c>
      <c r="R1139">
        <v>8.81</v>
      </c>
      <c r="S1139">
        <v>0.89</v>
      </c>
      <c r="T1139">
        <v>0.23</v>
      </c>
      <c r="U1139">
        <v>0</v>
      </c>
      <c r="V1139">
        <v>0.13</v>
      </c>
      <c r="W1139">
        <v>6.23</v>
      </c>
      <c r="X1139">
        <v>1.32</v>
      </c>
      <c r="Y1139">
        <v>0</v>
      </c>
      <c r="Z1139">
        <v>0</v>
      </c>
      <c r="AA1139">
        <v>0</v>
      </c>
      <c r="AB1139">
        <v>0.01</v>
      </c>
      <c r="AC1139">
        <v>8.81</v>
      </c>
      <c r="AD1139">
        <v>10.15</v>
      </c>
      <c r="AE1139">
        <v>2.64</v>
      </c>
      <c r="AF1139">
        <v>0</v>
      </c>
      <c r="AG1139">
        <v>1.5</v>
      </c>
      <c r="AH1139">
        <v>70.680000000000007</v>
      </c>
      <c r="AI1139">
        <v>14.93</v>
      </c>
      <c r="AJ1139">
        <v>0</v>
      </c>
      <c r="AK1139">
        <v>0</v>
      </c>
      <c r="AL1139">
        <v>0</v>
      </c>
      <c r="AM1139">
        <v>0.09</v>
      </c>
      <c r="AN1139">
        <f t="shared" si="52"/>
        <v>3</v>
      </c>
      <c r="AO1139" t="str">
        <f t="shared" si="53"/>
        <v>Tuesday</v>
      </c>
    </row>
    <row r="1140" spans="1:41" x14ac:dyDescent="0.2">
      <c r="A1140" t="s">
        <v>51</v>
      </c>
      <c r="B1140" s="1">
        <v>45776</v>
      </c>
      <c r="C1140" s="1">
        <f t="shared" si="51"/>
        <v>45777</v>
      </c>
      <c r="D1140">
        <v>1</v>
      </c>
      <c r="E1140">
        <v>1</v>
      </c>
      <c r="F1140">
        <v>0</v>
      </c>
      <c r="G1140">
        <v>0</v>
      </c>
      <c r="H1140">
        <v>0</v>
      </c>
      <c r="I1140">
        <v>0</v>
      </c>
      <c r="J1140">
        <v>0</v>
      </c>
      <c r="K1140">
        <v>0</v>
      </c>
      <c r="AN1140">
        <f t="shared" si="52"/>
        <v>3</v>
      </c>
      <c r="AO1140" t="str">
        <f t="shared" si="53"/>
        <v>Tuesday</v>
      </c>
    </row>
    <row r="1141" spans="1:41" x14ac:dyDescent="0.2">
      <c r="A1141" t="s">
        <v>43</v>
      </c>
      <c r="B1141" s="1">
        <v>45776</v>
      </c>
      <c r="C1141" s="1">
        <f t="shared" si="51"/>
        <v>45777</v>
      </c>
      <c r="D1141">
        <v>30</v>
      </c>
      <c r="E1141">
        <v>83</v>
      </c>
      <c r="F1141">
        <v>1</v>
      </c>
      <c r="G1141">
        <v>4</v>
      </c>
      <c r="H1141">
        <v>4</v>
      </c>
      <c r="I1141">
        <v>1</v>
      </c>
      <c r="J1141">
        <v>0</v>
      </c>
      <c r="K1141">
        <v>61</v>
      </c>
      <c r="L1141" t="s">
        <v>43</v>
      </c>
      <c r="M1141" t="s">
        <v>38</v>
      </c>
      <c r="N1141" s="1">
        <v>45776</v>
      </c>
      <c r="O1141" s="2">
        <v>0.541412037037037</v>
      </c>
      <c r="P1141" s="2">
        <v>0.91736111111111107</v>
      </c>
      <c r="Q1141">
        <v>9.0299999999999994</v>
      </c>
      <c r="R1141">
        <v>9.02</v>
      </c>
      <c r="S1141">
        <v>1.33</v>
      </c>
      <c r="T1141">
        <v>0.11</v>
      </c>
      <c r="U1141">
        <v>0</v>
      </c>
      <c r="V1141">
        <v>0.3</v>
      </c>
      <c r="W1141">
        <v>5.78</v>
      </c>
      <c r="X1141">
        <v>1.5</v>
      </c>
      <c r="Y1141">
        <v>0</v>
      </c>
      <c r="Z1141">
        <v>0</v>
      </c>
      <c r="AA1141">
        <v>0</v>
      </c>
      <c r="AB1141">
        <v>0</v>
      </c>
      <c r="AC1141">
        <v>9.02</v>
      </c>
      <c r="AD1141">
        <v>14.77</v>
      </c>
      <c r="AE1141">
        <v>1.17</v>
      </c>
      <c r="AF1141">
        <v>0</v>
      </c>
      <c r="AG1141">
        <v>3.29</v>
      </c>
      <c r="AH1141">
        <v>64.099999999999994</v>
      </c>
      <c r="AI1141">
        <v>16.63</v>
      </c>
      <c r="AJ1141">
        <v>0</v>
      </c>
      <c r="AK1141">
        <v>0</v>
      </c>
      <c r="AL1141">
        <v>0</v>
      </c>
      <c r="AM1141">
        <v>0.04</v>
      </c>
      <c r="AN1141">
        <f t="shared" si="52"/>
        <v>3</v>
      </c>
      <c r="AO1141" t="str">
        <f t="shared" si="53"/>
        <v>Tuesday</v>
      </c>
    </row>
    <row r="1142" spans="1:41" x14ac:dyDescent="0.2">
      <c r="B1142" s="1">
        <v>45776</v>
      </c>
      <c r="C1142" s="1">
        <f t="shared" si="51"/>
        <v>45777</v>
      </c>
      <c r="D1142">
        <v>668</v>
      </c>
      <c r="E1142">
        <v>0</v>
      </c>
      <c r="F1142">
        <v>0</v>
      </c>
      <c r="G1142">
        <v>0</v>
      </c>
      <c r="H1142">
        <v>0</v>
      </c>
      <c r="I1142">
        <v>0</v>
      </c>
      <c r="J1142">
        <v>0</v>
      </c>
      <c r="K1142">
        <v>0</v>
      </c>
      <c r="AN1142">
        <f t="shared" si="52"/>
        <v>3</v>
      </c>
      <c r="AO1142" t="str">
        <f t="shared" si="53"/>
        <v>Tuesday</v>
      </c>
    </row>
    <row r="1143" spans="1:41" x14ac:dyDescent="0.2">
      <c r="A1143" t="s">
        <v>53</v>
      </c>
      <c r="B1143" s="1">
        <v>45775</v>
      </c>
      <c r="C1143" s="1">
        <f t="shared" si="51"/>
        <v>45777</v>
      </c>
      <c r="D1143">
        <v>22</v>
      </c>
      <c r="E1143">
        <v>73</v>
      </c>
      <c r="F1143">
        <v>2</v>
      </c>
      <c r="G1143">
        <v>6</v>
      </c>
      <c r="H1143">
        <v>1</v>
      </c>
      <c r="I1143">
        <v>1</v>
      </c>
      <c r="J1143">
        <v>4</v>
      </c>
      <c r="K1143">
        <v>46</v>
      </c>
      <c r="L1143" t="s">
        <v>53</v>
      </c>
      <c r="M1143" t="s">
        <v>38</v>
      </c>
      <c r="N1143" s="1">
        <v>45775</v>
      </c>
      <c r="O1143" s="2">
        <v>0.54219907407407408</v>
      </c>
      <c r="P1143" s="2">
        <v>0.91680555555555554</v>
      </c>
      <c r="Q1143">
        <v>9</v>
      </c>
      <c r="R1143">
        <v>8.99</v>
      </c>
      <c r="S1143">
        <v>0.88</v>
      </c>
      <c r="T1143">
        <v>0</v>
      </c>
      <c r="U1143">
        <v>0</v>
      </c>
      <c r="V1143">
        <v>0.23</v>
      </c>
      <c r="W1143">
        <v>6.63</v>
      </c>
      <c r="X1143">
        <v>1.25</v>
      </c>
      <c r="Y1143">
        <v>0</v>
      </c>
      <c r="Z1143">
        <v>0</v>
      </c>
      <c r="AA1143">
        <v>0</v>
      </c>
      <c r="AB1143">
        <v>0</v>
      </c>
      <c r="AC1143">
        <v>8.99</v>
      </c>
      <c r="AD1143">
        <v>9.76</v>
      </c>
      <c r="AE1143">
        <v>0</v>
      </c>
      <c r="AF1143">
        <v>0</v>
      </c>
      <c r="AG1143">
        <v>2.57</v>
      </c>
      <c r="AH1143">
        <v>73.77</v>
      </c>
      <c r="AI1143">
        <v>13.85</v>
      </c>
      <c r="AJ1143">
        <v>0</v>
      </c>
      <c r="AK1143">
        <v>0</v>
      </c>
      <c r="AL1143">
        <v>0</v>
      </c>
      <c r="AM1143">
        <v>0.04</v>
      </c>
      <c r="AN1143">
        <f t="shared" si="52"/>
        <v>2</v>
      </c>
      <c r="AO1143" t="str">
        <f t="shared" si="53"/>
        <v>Monday</v>
      </c>
    </row>
    <row r="1144" spans="1:41" x14ac:dyDescent="0.2">
      <c r="A1144" t="s">
        <v>37</v>
      </c>
      <c r="B1144" s="1">
        <v>45775</v>
      </c>
      <c r="C1144" s="1">
        <f t="shared" si="51"/>
        <v>45777</v>
      </c>
      <c r="D1144">
        <v>25</v>
      </c>
      <c r="E1144">
        <v>68</v>
      </c>
      <c r="F1144">
        <v>2</v>
      </c>
      <c r="G1144">
        <v>1</v>
      </c>
      <c r="H1144">
        <v>2</v>
      </c>
      <c r="I1144">
        <v>0</v>
      </c>
      <c r="J1144">
        <v>3</v>
      </c>
      <c r="K1144">
        <v>47</v>
      </c>
      <c r="L1144" t="s">
        <v>37</v>
      </c>
      <c r="M1144" t="s">
        <v>38</v>
      </c>
      <c r="N1144" s="1">
        <v>45775</v>
      </c>
      <c r="O1144" s="2">
        <v>0.5423958333333333</v>
      </c>
      <c r="P1144" s="2">
        <v>0.91686342592592596</v>
      </c>
      <c r="Q1144">
        <v>8.98</v>
      </c>
      <c r="R1144">
        <v>8.1</v>
      </c>
      <c r="S1144">
        <v>0.72</v>
      </c>
      <c r="T1144">
        <v>0.22</v>
      </c>
      <c r="U1144">
        <v>0</v>
      </c>
      <c r="V1144">
        <v>0.2</v>
      </c>
      <c r="W1144">
        <v>6.36</v>
      </c>
      <c r="X1144">
        <v>0.57999999999999996</v>
      </c>
      <c r="Y1144">
        <v>0</v>
      </c>
      <c r="Z1144">
        <v>0</v>
      </c>
      <c r="AA1144">
        <v>0</v>
      </c>
      <c r="AB1144">
        <v>0.01</v>
      </c>
      <c r="AC1144">
        <v>8.1</v>
      </c>
      <c r="AD1144">
        <v>8.9</v>
      </c>
      <c r="AE1144">
        <v>2.69</v>
      </c>
      <c r="AF1144">
        <v>0</v>
      </c>
      <c r="AG1144">
        <v>2.5299999999999998</v>
      </c>
      <c r="AH1144">
        <v>78.56</v>
      </c>
      <c r="AI1144">
        <v>7.19</v>
      </c>
      <c r="AJ1144">
        <v>0</v>
      </c>
      <c r="AK1144">
        <v>0</v>
      </c>
      <c r="AL1144">
        <v>0</v>
      </c>
      <c r="AM1144">
        <v>0.14000000000000001</v>
      </c>
      <c r="AN1144">
        <f t="shared" si="52"/>
        <v>2</v>
      </c>
      <c r="AO1144" t="str">
        <f t="shared" si="53"/>
        <v>Monday</v>
      </c>
    </row>
    <row r="1145" spans="1:41" x14ac:dyDescent="0.2">
      <c r="A1145" t="s">
        <v>52</v>
      </c>
      <c r="B1145" s="1">
        <v>45775</v>
      </c>
      <c r="C1145" s="1">
        <f t="shared" si="51"/>
        <v>45777</v>
      </c>
      <c r="D1145">
        <v>26</v>
      </c>
      <c r="E1145">
        <v>59</v>
      </c>
      <c r="F1145">
        <v>5</v>
      </c>
      <c r="G1145">
        <v>2</v>
      </c>
      <c r="H1145">
        <v>10</v>
      </c>
      <c r="I1145">
        <v>0</v>
      </c>
      <c r="J1145">
        <v>0</v>
      </c>
      <c r="K1145">
        <v>31</v>
      </c>
      <c r="L1145" t="s">
        <v>52</v>
      </c>
      <c r="M1145" t="s">
        <v>38</v>
      </c>
      <c r="N1145" s="1">
        <v>45775</v>
      </c>
      <c r="O1145" s="2">
        <v>0.54518518518518522</v>
      </c>
      <c r="P1145" s="2">
        <v>0.91604166666666664</v>
      </c>
      <c r="Q1145">
        <v>8.9</v>
      </c>
      <c r="R1145">
        <v>8.9</v>
      </c>
      <c r="S1145">
        <v>1.24</v>
      </c>
      <c r="T1145">
        <v>0.2</v>
      </c>
      <c r="U1145">
        <v>0</v>
      </c>
      <c r="V1145">
        <v>0.34</v>
      </c>
      <c r="W1145">
        <v>5.26</v>
      </c>
      <c r="X1145">
        <v>1.27</v>
      </c>
      <c r="Y1145">
        <v>0.56000000000000005</v>
      </c>
      <c r="Z1145">
        <v>0</v>
      </c>
      <c r="AA1145">
        <v>0.02</v>
      </c>
      <c r="AB1145">
        <v>0.01</v>
      </c>
      <c r="AC1145">
        <v>8.9</v>
      </c>
      <c r="AD1145">
        <v>13.94</v>
      </c>
      <c r="AE1145">
        <v>2.2999999999999998</v>
      </c>
      <c r="AF1145">
        <v>0</v>
      </c>
      <c r="AG1145">
        <v>3.77</v>
      </c>
      <c r="AH1145">
        <v>59.05</v>
      </c>
      <c r="AI1145">
        <v>14.3</v>
      </c>
      <c r="AJ1145">
        <v>6.3</v>
      </c>
      <c r="AK1145">
        <v>0</v>
      </c>
      <c r="AL1145">
        <v>0.27</v>
      </c>
      <c r="AM1145">
        <v>7.0000000000000007E-2</v>
      </c>
      <c r="AN1145">
        <f t="shared" si="52"/>
        <v>2</v>
      </c>
      <c r="AO1145" t="str">
        <f t="shared" si="53"/>
        <v>Monday</v>
      </c>
    </row>
    <row r="1146" spans="1:41" x14ac:dyDescent="0.2">
      <c r="A1146" t="s">
        <v>39</v>
      </c>
      <c r="B1146" s="1">
        <v>45775</v>
      </c>
      <c r="C1146" s="1">
        <f t="shared" si="51"/>
        <v>45777</v>
      </c>
      <c r="D1146">
        <v>27</v>
      </c>
      <c r="E1146">
        <v>64</v>
      </c>
      <c r="F1146">
        <v>7</v>
      </c>
      <c r="G1146">
        <v>0</v>
      </c>
      <c r="H1146">
        <v>9</v>
      </c>
      <c r="I1146">
        <v>0</v>
      </c>
      <c r="J1146">
        <v>0</v>
      </c>
      <c r="K1146">
        <v>37</v>
      </c>
      <c r="L1146" t="s">
        <v>39</v>
      </c>
      <c r="M1146" t="s">
        <v>38</v>
      </c>
      <c r="N1146" s="1">
        <v>45775</v>
      </c>
      <c r="O1146" s="2">
        <v>0.54174768518518523</v>
      </c>
      <c r="P1146" s="2">
        <v>0.91796296296296298</v>
      </c>
      <c r="Q1146">
        <v>9.02</v>
      </c>
      <c r="R1146">
        <v>9.0299999999999994</v>
      </c>
      <c r="S1146">
        <v>0.84</v>
      </c>
      <c r="T1146">
        <v>0.02</v>
      </c>
      <c r="U1146">
        <v>0</v>
      </c>
      <c r="V1146">
        <v>0.02</v>
      </c>
      <c r="W1146">
        <v>6.66</v>
      </c>
      <c r="X1146">
        <v>1.47</v>
      </c>
      <c r="Y1146">
        <v>0</v>
      </c>
      <c r="Z1146">
        <v>0</v>
      </c>
      <c r="AA1146">
        <v>0</v>
      </c>
      <c r="AB1146">
        <v>0</v>
      </c>
      <c r="AC1146">
        <v>9.0299999999999994</v>
      </c>
      <c r="AD1146">
        <v>9.34</v>
      </c>
      <c r="AE1146">
        <v>0.27</v>
      </c>
      <c r="AF1146">
        <v>0</v>
      </c>
      <c r="AG1146">
        <v>0.23</v>
      </c>
      <c r="AH1146">
        <v>73.81</v>
      </c>
      <c r="AI1146">
        <v>16.3</v>
      </c>
      <c r="AJ1146">
        <v>0</v>
      </c>
      <c r="AK1146">
        <v>0</v>
      </c>
      <c r="AL1146">
        <v>0</v>
      </c>
      <c r="AM1146">
        <v>0.05</v>
      </c>
      <c r="AN1146">
        <f t="shared" si="52"/>
        <v>2</v>
      </c>
      <c r="AO1146" t="str">
        <f t="shared" si="53"/>
        <v>Monday</v>
      </c>
    </row>
    <row r="1147" spans="1:41" x14ac:dyDescent="0.2">
      <c r="A1147" t="s">
        <v>41</v>
      </c>
      <c r="B1147" s="1">
        <v>45775</v>
      </c>
      <c r="C1147" s="1">
        <f t="shared" si="51"/>
        <v>45777</v>
      </c>
      <c r="D1147">
        <v>21</v>
      </c>
      <c r="E1147">
        <v>54</v>
      </c>
      <c r="F1147">
        <v>0</v>
      </c>
      <c r="G1147">
        <v>6</v>
      </c>
      <c r="H1147">
        <v>2</v>
      </c>
      <c r="I1147">
        <v>0</v>
      </c>
      <c r="J1147">
        <v>0</v>
      </c>
      <c r="K1147">
        <v>35</v>
      </c>
      <c r="L1147" t="s">
        <v>41</v>
      </c>
      <c r="M1147" t="s">
        <v>38</v>
      </c>
      <c r="N1147" s="1">
        <v>45775</v>
      </c>
      <c r="O1147" s="2">
        <v>0.54240740740740745</v>
      </c>
      <c r="P1147" s="2">
        <v>0.91601851851851857</v>
      </c>
      <c r="Q1147">
        <v>8.9700000000000006</v>
      </c>
      <c r="R1147">
        <v>8.9700000000000006</v>
      </c>
      <c r="S1147">
        <v>0.61</v>
      </c>
      <c r="T1147">
        <v>0.16</v>
      </c>
      <c r="U1147">
        <v>0</v>
      </c>
      <c r="V1147">
        <v>0.05</v>
      </c>
      <c r="W1147">
        <v>6.49</v>
      </c>
      <c r="X1147">
        <v>1.46</v>
      </c>
      <c r="Y1147">
        <v>0.18</v>
      </c>
      <c r="Z1147">
        <v>0</v>
      </c>
      <c r="AA1147">
        <v>0</v>
      </c>
      <c r="AB1147">
        <v>0.01</v>
      </c>
      <c r="AC1147">
        <v>8.9700000000000006</v>
      </c>
      <c r="AD1147">
        <v>6.82</v>
      </c>
      <c r="AE1147">
        <v>1.77</v>
      </c>
      <c r="AF1147">
        <v>0</v>
      </c>
      <c r="AG1147">
        <v>0.6</v>
      </c>
      <c r="AH1147">
        <v>72.400000000000006</v>
      </c>
      <c r="AI1147">
        <v>16.32</v>
      </c>
      <c r="AJ1147">
        <v>2.04</v>
      </c>
      <c r="AK1147">
        <v>0</v>
      </c>
      <c r="AL1147">
        <v>0</v>
      </c>
      <c r="AM1147">
        <v>0.06</v>
      </c>
      <c r="AN1147">
        <f t="shared" si="52"/>
        <v>2</v>
      </c>
      <c r="AO1147" t="str">
        <f t="shared" si="53"/>
        <v>Monday</v>
      </c>
    </row>
    <row r="1148" spans="1:41" x14ac:dyDescent="0.2">
      <c r="A1148" t="s">
        <v>43</v>
      </c>
      <c r="B1148" s="1">
        <v>45775</v>
      </c>
      <c r="C1148" s="1">
        <f t="shared" si="51"/>
        <v>45777</v>
      </c>
      <c r="D1148">
        <v>27</v>
      </c>
      <c r="E1148">
        <v>98</v>
      </c>
      <c r="F1148">
        <v>5</v>
      </c>
      <c r="G1148">
        <v>11</v>
      </c>
      <c r="H1148">
        <v>14</v>
      </c>
      <c r="I1148">
        <v>1</v>
      </c>
      <c r="J1148">
        <v>7</v>
      </c>
      <c r="K1148">
        <v>45</v>
      </c>
      <c r="L1148" t="s">
        <v>43</v>
      </c>
      <c r="M1148" t="s">
        <v>38</v>
      </c>
      <c r="N1148" s="1">
        <v>45775</v>
      </c>
      <c r="O1148" s="2">
        <v>0.54121527777777778</v>
      </c>
      <c r="P1148" s="2">
        <v>0.87629629629629635</v>
      </c>
      <c r="Q1148">
        <v>8.0299999999999994</v>
      </c>
      <c r="R1148">
        <v>8.0299999999999994</v>
      </c>
      <c r="S1148">
        <v>1.26</v>
      </c>
      <c r="T1148">
        <v>0.21</v>
      </c>
      <c r="U1148">
        <v>0</v>
      </c>
      <c r="V1148">
        <v>0.33</v>
      </c>
      <c r="W1148">
        <v>4.75</v>
      </c>
      <c r="X1148">
        <v>1.32</v>
      </c>
      <c r="Y1148">
        <v>0.15</v>
      </c>
      <c r="Z1148">
        <v>0</v>
      </c>
      <c r="AA1148">
        <v>0</v>
      </c>
      <c r="AB1148">
        <v>0.02</v>
      </c>
      <c r="AC1148">
        <v>8.0299999999999994</v>
      </c>
      <c r="AD1148">
        <v>15.75</v>
      </c>
      <c r="AE1148">
        <v>2.58</v>
      </c>
      <c r="AF1148">
        <v>0</v>
      </c>
      <c r="AG1148">
        <v>4.0599999999999996</v>
      </c>
      <c r="AH1148">
        <v>59.14</v>
      </c>
      <c r="AI1148">
        <v>16.38</v>
      </c>
      <c r="AJ1148">
        <v>1.88</v>
      </c>
      <c r="AK1148">
        <v>0</v>
      </c>
      <c r="AL1148">
        <v>0</v>
      </c>
      <c r="AM1148">
        <v>0.2</v>
      </c>
      <c r="AN1148">
        <f t="shared" si="52"/>
        <v>2</v>
      </c>
      <c r="AO1148" t="str">
        <f t="shared" si="53"/>
        <v>Monday</v>
      </c>
    </row>
    <row r="1149" spans="1:41" x14ac:dyDescent="0.2">
      <c r="B1149" s="1">
        <v>45775</v>
      </c>
      <c r="C1149" s="1">
        <f t="shared" si="51"/>
        <v>45777</v>
      </c>
      <c r="D1149">
        <v>673</v>
      </c>
      <c r="E1149">
        <v>0</v>
      </c>
      <c r="F1149">
        <v>0</v>
      </c>
      <c r="G1149">
        <v>0</v>
      </c>
      <c r="H1149">
        <v>0</v>
      </c>
      <c r="I1149">
        <v>0</v>
      </c>
      <c r="J1149">
        <v>0</v>
      </c>
      <c r="K1149">
        <v>0</v>
      </c>
      <c r="AN1149">
        <f t="shared" si="52"/>
        <v>2</v>
      </c>
      <c r="AO1149" t="str">
        <f t="shared" si="53"/>
        <v>Monday</v>
      </c>
    </row>
    <row r="1150" spans="1:41" x14ac:dyDescent="0.2">
      <c r="A1150" t="s">
        <v>53</v>
      </c>
      <c r="B1150" s="1">
        <v>45772</v>
      </c>
      <c r="C1150" s="1">
        <f t="shared" si="51"/>
        <v>45777</v>
      </c>
      <c r="D1150">
        <v>17</v>
      </c>
      <c r="E1150">
        <v>51</v>
      </c>
      <c r="F1150">
        <v>4</v>
      </c>
      <c r="G1150">
        <v>0</v>
      </c>
      <c r="H1150">
        <v>0</v>
      </c>
      <c r="I1150">
        <v>0</v>
      </c>
      <c r="J1150">
        <v>0</v>
      </c>
      <c r="K1150">
        <v>35</v>
      </c>
      <c r="L1150" t="s">
        <v>53</v>
      </c>
      <c r="M1150" t="s">
        <v>38</v>
      </c>
      <c r="N1150" s="1">
        <v>45772</v>
      </c>
      <c r="O1150" s="2">
        <v>0.54134259259259254</v>
      </c>
      <c r="P1150" s="2">
        <v>0.9228587962962963</v>
      </c>
      <c r="Q1150">
        <v>9.15</v>
      </c>
      <c r="R1150">
        <v>7.76</v>
      </c>
      <c r="S1150">
        <v>0.63</v>
      </c>
      <c r="T1150">
        <v>0</v>
      </c>
      <c r="U1150">
        <v>0</v>
      </c>
      <c r="V1150">
        <v>0.25</v>
      </c>
      <c r="W1150">
        <v>6.19</v>
      </c>
      <c r="X1150">
        <v>0.11</v>
      </c>
      <c r="Y1150">
        <v>0.56999999999999995</v>
      </c>
      <c r="Z1150">
        <v>0</v>
      </c>
      <c r="AA1150">
        <v>0</v>
      </c>
      <c r="AB1150">
        <v>0.01</v>
      </c>
      <c r="AC1150">
        <v>7.76</v>
      </c>
      <c r="AD1150">
        <v>8.07</v>
      </c>
      <c r="AE1150">
        <v>0</v>
      </c>
      <c r="AF1150">
        <v>0</v>
      </c>
      <c r="AG1150">
        <v>3.2</v>
      </c>
      <c r="AH1150">
        <v>79.81</v>
      </c>
      <c r="AI1150">
        <v>1.37</v>
      </c>
      <c r="AJ1150">
        <v>7.38</v>
      </c>
      <c r="AK1150">
        <v>0</v>
      </c>
      <c r="AL1150">
        <v>0</v>
      </c>
      <c r="AM1150">
        <v>0.16</v>
      </c>
      <c r="AN1150">
        <f t="shared" si="52"/>
        <v>6</v>
      </c>
      <c r="AO1150" t="str">
        <f t="shared" si="53"/>
        <v>Friday</v>
      </c>
    </row>
    <row r="1151" spans="1:41" x14ac:dyDescent="0.2">
      <c r="A1151" t="s">
        <v>37</v>
      </c>
      <c r="B1151" s="1">
        <v>45772</v>
      </c>
      <c r="C1151" s="1">
        <f t="shared" si="51"/>
        <v>45777</v>
      </c>
      <c r="D1151">
        <v>25</v>
      </c>
      <c r="E1151">
        <v>69</v>
      </c>
      <c r="F1151">
        <v>1</v>
      </c>
      <c r="G1151">
        <v>2</v>
      </c>
      <c r="H1151">
        <v>2</v>
      </c>
      <c r="I1151">
        <v>0</v>
      </c>
      <c r="J1151">
        <v>0</v>
      </c>
      <c r="K1151">
        <v>50</v>
      </c>
      <c r="L1151" t="s">
        <v>37</v>
      </c>
      <c r="M1151" t="s">
        <v>38</v>
      </c>
      <c r="N1151" s="1">
        <v>45772</v>
      </c>
      <c r="O1151" s="2">
        <v>0.54181712962962958</v>
      </c>
      <c r="P1151" s="2">
        <v>0.91987268518518517</v>
      </c>
      <c r="Q1151">
        <v>9.07</v>
      </c>
      <c r="R1151">
        <v>8</v>
      </c>
      <c r="S1151">
        <v>0.67</v>
      </c>
      <c r="T1151">
        <v>7.0000000000000007E-2</v>
      </c>
      <c r="U1151">
        <v>0</v>
      </c>
      <c r="V1151">
        <v>0.15</v>
      </c>
      <c r="W1151">
        <v>6.73</v>
      </c>
      <c r="X1151">
        <v>0.33</v>
      </c>
      <c r="Y1151">
        <v>0</v>
      </c>
      <c r="Z1151">
        <v>0</v>
      </c>
      <c r="AA1151">
        <v>0</v>
      </c>
      <c r="AB1151">
        <v>0.06</v>
      </c>
      <c r="AC1151">
        <v>8</v>
      </c>
      <c r="AD1151">
        <v>8.36</v>
      </c>
      <c r="AE1151">
        <v>0.91</v>
      </c>
      <c r="AF1151">
        <v>0</v>
      </c>
      <c r="AG1151">
        <v>1.82</v>
      </c>
      <c r="AH1151">
        <v>84.12</v>
      </c>
      <c r="AI1151">
        <v>4.0999999999999996</v>
      </c>
      <c r="AJ1151">
        <v>0</v>
      </c>
      <c r="AK1151">
        <v>0</v>
      </c>
      <c r="AL1151">
        <v>0</v>
      </c>
      <c r="AM1151">
        <v>0.69</v>
      </c>
      <c r="AN1151">
        <f t="shared" si="52"/>
        <v>6</v>
      </c>
      <c r="AO1151" t="str">
        <f t="shared" si="53"/>
        <v>Friday</v>
      </c>
    </row>
    <row r="1152" spans="1:41" x14ac:dyDescent="0.2">
      <c r="A1152" t="s">
        <v>52</v>
      </c>
      <c r="B1152" s="1">
        <v>45772</v>
      </c>
      <c r="C1152" s="1">
        <f t="shared" si="51"/>
        <v>45777</v>
      </c>
      <c r="D1152">
        <v>23</v>
      </c>
      <c r="E1152">
        <v>47</v>
      </c>
      <c r="F1152">
        <v>3</v>
      </c>
      <c r="G1152">
        <v>3</v>
      </c>
      <c r="H1152">
        <v>3</v>
      </c>
      <c r="I1152">
        <v>0</v>
      </c>
      <c r="J1152">
        <v>0</v>
      </c>
      <c r="K1152">
        <v>32</v>
      </c>
      <c r="L1152" t="s">
        <v>52</v>
      </c>
      <c r="M1152" t="s">
        <v>38</v>
      </c>
      <c r="N1152" s="1">
        <v>45772</v>
      </c>
      <c r="O1152" s="2">
        <v>0.5417939814814815</v>
      </c>
      <c r="P1152" s="2">
        <v>0.92155092592592591</v>
      </c>
      <c r="Q1152">
        <v>9.1199999999999992</v>
      </c>
      <c r="R1152">
        <v>9.11</v>
      </c>
      <c r="S1152">
        <v>1.2</v>
      </c>
      <c r="T1152">
        <v>0.46</v>
      </c>
      <c r="U1152">
        <v>0</v>
      </c>
      <c r="V1152">
        <v>0.22</v>
      </c>
      <c r="W1152">
        <v>5.01</v>
      </c>
      <c r="X1152">
        <v>1.59</v>
      </c>
      <c r="Y1152">
        <v>0.63</v>
      </c>
      <c r="Z1152">
        <v>0</v>
      </c>
      <c r="AA1152">
        <v>0</v>
      </c>
      <c r="AB1152">
        <v>0</v>
      </c>
      <c r="AC1152">
        <v>9.11</v>
      </c>
      <c r="AD1152">
        <v>13.12</v>
      </c>
      <c r="AE1152">
        <v>5.05</v>
      </c>
      <c r="AF1152">
        <v>0</v>
      </c>
      <c r="AG1152">
        <v>2.4</v>
      </c>
      <c r="AH1152">
        <v>54.97</v>
      </c>
      <c r="AI1152">
        <v>17.48</v>
      </c>
      <c r="AJ1152">
        <v>6.92</v>
      </c>
      <c r="AK1152">
        <v>0</v>
      </c>
      <c r="AL1152">
        <v>0</v>
      </c>
      <c r="AM1152">
        <v>0.05</v>
      </c>
      <c r="AN1152">
        <f t="shared" si="52"/>
        <v>6</v>
      </c>
      <c r="AO1152" t="str">
        <f t="shared" si="53"/>
        <v>Friday</v>
      </c>
    </row>
    <row r="1153" spans="1:41" x14ac:dyDescent="0.2">
      <c r="A1153" t="s">
        <v>39</v>
      </c>
      <c r="B1153" s="1">
        <v>45772</v>
      </c>
      <c r="C1153" s="1">
        <f t="shared" si="51"/>
        <v>45777</v>
      </c>
      <c r="D1153">
        <v>10</v>
      </c>
      <c r="E1153">
        <v>32</v>
      </c>
      <c r="F1153">
        <v>0</v>
      </c>
      <c r="G1153">
        <v>0</v>
      </c>
      <c r="H1153">
        <v>1</v>
      </c>
      <c r="I1153">
        <v>0</v>
      </c>
      <c r="J1153">
        <v>0</v>
      </c>
      <c r="K1153">
        <v>26</v>
      </c>
      <c r="L1153" t="s">
        <v>39</v>
      </c>
      <c r="M1153" t="s">
        <v>38</v>
      </c>
      <c r="N1153" s="1">
        <v>45772</v>
      </c>
      <c r="O1153" s="2">
        <v>0.54201388888888891</v>
      </c>
      <c r="P1153" s="2">
        <v>0.70874999999999999</v>
      </c>
      <c r="Q1153">
        <v>4</v>
      </c>
      <c r="R1153">
        <v>4</v>
      </c>
      <c r="S1153">
        <v>0.43</v>
      </c>
      <c r="T1153">
        <v>0</v>
      </c>
      <c r="U1153">
        <v>0</v>
      </c>
      <c r="V1153">
        <v>0.02</v>
      </c>
      <c r="W1153">
        <v>3.31</v>
      </c>
      <c r="X1153">
        <v>0</v>
      </c>
      <c r="Y1153">
        <v>0.23</v>
      </c>
      <c r="Z1153">
        <v>0</v>
      </c>
      <c r="AA1153">
        <v>0</v>
      </c>
      <c r="AB1153">
        <v>0</v>
      </c>
      <c r="AC1153">
        <v>4</v>
      </c>
      <c r="AD1153">
        <v>10.69</v>
      </c>
      <c r="AE1153">
        <v>0</v>
      </c>
      <c r="AF1153">
        <v>0</v>
      </c>
      <c r="AG1153">
        <v>0.55000000000000004</v>
      </c>
      <c r="AH1153">
        <v>82.8</v>
      </c>
      <c r="AI1153">
        <v>0</v>
      </c>
      <c r="AJ1153">
        <v>5.85</v>
      </c>
      <c r="AK1153">
        <v>0</v>
      </c>
      <c r="AL1153">
        <v>0</v>
      </c>
      <c r="AM1153">
        <v>0.11</v>
      </c>
      <c r="AN1153">
        <f t="shared" si="52"/>
        <v>6</v>
      </c>
      <c r="AO1153" t="str">
        <f t="shared" si="53"/>
        <v>Friday</v>
      </c>
    </row>
    <row r="1154" spans="1:41" x14ac:dyDescent="0.2">
      <c r="A1154" t="s">
        <v>41</v>
      </c>
      <c r="B1154" s="1">
        <v>45772</v>
      </c>
      <c r="C1154" s="1">
        <f t="shared" si="51"/>
        <v>45777</v>
      </c>
      <c r="D1154">
        <v>37</v>
      </c>
      <c r="E1154">
        <v>66</v>
      </c>
      <c r="F1154">
        <v>3</v>
      </c>
      <c r="G1154">
        <v>1</v>
      </c>
      <c r="H1154">
        <v>10</v>
      </c>
      <c r="I1154">
        <v>0</v>
      </c>
      <c r="J1154">
        <v>0</v>
      </c>
      <c r="K1154">
        <v>26</v>
      </c>
      <c r="L1154" t="s">
        <v>41</v>
      </c>
      <c r="M1154" t="s">
        <v>38</v>
      </c>
      <c r="N1154" s="1">
        <v>45772</v>
      </c>
      <c r="O1154" s="2">
        <v>0.54326388888888888</v>
      </c>
      <c r="P1154" s="2">
        <v>0.91767361111111112</v>
      </c>
      <c r="Q1154">
        <v>8.98</v>
      </c>
      <c r="R1154">
        <v>8.99</v>
      </c>
      <c r="S1154">
        <v>0.9</v>
      </c>
      <c r="T1154">
        <v>7.0000000000000007E-2</v>
      </c>
      <c r="U1154">
        <v>0</v>
      </c>
      <c r="V1154">
        <v>0.1</v>
      </c>
      <c r="W1154">
        <v>6.45</v>
      </c>
      <c r="X1154">
        <v>1.45</v>
      </c>
      <c r="Y1154">
        <v>0</v>
      </c>
      <c r="Z1154">
        <v>0</v>
      </c>
      <c r="AA1154">
        <v>0</v>
      </c>
      <c r="AB1154">
        <v>0.01</v>
      </c>
      <c r="AC1154">
        <v>8.99</v>
      </c>
      <c r="AD1154">
        <v>10</v>
      </c>
      <c r="AE1154">
        <v>0.83</v>
      </c>
      <c r="AF1154">
        <v>0</v>
      </c>
      <c r="AG1154">
        <v>1.0900000000000001</v>
      </c>
      <c r="AH1154">
        <v>71.77</v>
      </c>
      <c r="AI1154">
        <v>16.16</v>
      </c>
      <c r="AJ1154">
        <v>0</v>
      </c>
      <c r="AK1154">
        <v>0</v>
      </c>
      <c r="AL1154">
        <v>0</v>
      </c>
      <c r="AM1154">
        <v>0.15</v>
      </c>
      <c r="AN1154">
        <f t="shared" si="52"/>
        <v>6</v>
      </c>
      <c r="AO1154" t="str">
        <f t="shared" si="53"/>
        <v>Friday</v>
      </c>
    </row>
    <row r="1155" spans="1:41" x14ac:dyDescent="0.2">
      <c r="A1155" t="s">
        <v>43</v>
      </c>
      <c r="B1155" s="1">
        <v>45772</v>
      </c>
      <c r="C1155" s="1">
        <f t="shared" ref="C1155:C1218" si="54">EOMONTH(B1155,0)</f>
        <v>45777</v>
      </c>
      <c r="D1155">
        <v>19</v>
      </c>
      <c r="E1155">
        <v>51</v>
      </c>
      <c r="F1155">
        <v>5</v>
      </c>
      <c r="G1155">
        <v>3</v>
      </c>
      <c r="H1155">
        <v>4</v>
      </c>
      <c r="I1155">
        <v>1</v>
      </c>
      <c r="J1155">
        <v>0</v>
      </c>
      <c r="K1155">
        <v>28</v>
      </c>
      <c r="L1155" t="s">
        <v>43</v>
      </c>
      <c r="M1155" t="s">
        <v>38</v>
      </c>
      <c r="N1155" s="1">
        <v>45772</v>
      </c>
      <c r="O1155" s="2">
        <v>0.54144675925925922</v>
      </c>
      <c r="P1155" s="2">
        <v>0.9202893518518519</v>
      </c>
      <c r="Q1155">
        <v>9.1</v>
      </c>
      <c r="R1155">
        <v>8.99</v>
      </c>
      <c r="S1155">
        <v>1.1200000000000001</v>
      </c>
      <c r="T1155">
        <v>0.21</v>
      </c>
      <c r="U1155">
        <v>0</v>
      </c>
      <c r="V1155">
        <v>0.32</v>
      </c>
      <c r="W1155">
        <v>5.31</v>
      </c>
      <c r="X1155">
        <v>1.9</v>
      </c>
      <c r="Y1155">
        <v>0</v>
      </c>
      <c r="Z1155">
        <v>0</v>
      </c>
      <c r="AA1155">
        <v>0.11</v>
      </c>
      <c r="AB1155">
        <v>0.02</v>
      </c>
      <c r="AC1155">
        <v>8.99</v>
      </c>
      <c r="AD1155">
        <v>12.42</v>
      </c>
      <c r="AE1155">
        <v>2.37</v>
      </c>
      <c r="AF1155">
        <v>0</v>
      </c>
      <c r="AG1155">
        <v>3.51</v>
      </c>
      <c r="AH1155">
        <v>59.06</v>
      </c>
      <c r="AI1155">
        <v>21.16</v>
      </c>
      <c r="AJ1155">
        <v>0</v>
      </c>
      <c r="AK1155">
        <v>0</v>
      </c>
      <c r="AL1155">
        <v>1.28</v>
      </c>
      <c r="AM1155">
        <v>0.21</v>
      </c>
      <c r="AN1155">
        <f t="shared" ref="AN1155:AN1218" si="55">WEEKDAY(B1155,1)</f>
        <v>6</v>
      </c>
      <c r="AO1155" t="str">
        <f t="shared" ref="AO1155:AO1218" si="56">VLOOKUP(AN1155,$AY$2:$AZ$8,2,FALSE)</f>
        <v>Friday</v>
      </c>
    </row>
    <row r="1156" spans="1:41" x14ac:dyDescent="0.2">
      <c r="B1156" s="1">
        <v>45772</v>
      </c>
      <c r="C1156" s="1">
        <f t="shared" si="54"/>
        <v>45777</v>
      </c>
      <c r="D1156">
        <v>664</v>
      </c>
      <c r="E1156">
        <v>0</v>
      </c>
      <c r="F1156">
        <v>0</v>
      </c>
      <c r="G1156">
        <v>0</v>
      </c>
      <c r="H1156">
        <v>0</v>
      </c>
      <c r="I1156">
        <v>0</v>
      </c>
      <c r="J1156">
        <v>0</v>
      </c>
      <c r="K1156">
        <v>0</v>
      </c>
      <c r="AN1156">
        <f t="shared" si="55"/>
        <v>6</v>
      </c>
      <c r="AO1156" t="str">
        <f t="shared" si="56"/>
        <v>Friday</v>
      </c>
    </row>
    <row r="1157" spans="1:41" x14ac:dyDescent="0.2">
      <c r="A1157" t="s">
        <v>53</v>
      </c>
      <c r="B1157" s="1">
        <v>45771</v>
      </c>
      <c r="C1157" s="1">
        <f t="shared" si="54"/>
        <v>45777</v>
      </c>
      <c r="D1157">
        <v>18</v>
      </c>
      <c r="E1157">
        <v>48</v>
      </c>
      <c r="F1157">
        <v>0</v>
      </c>
      <c r="G1157">
        <v>0</v>
      </c>
      <c r="H1157">
        <v>4</v>
      </c>
      <c r="I1157">
        <v>0</v>
      </c>
      <c r="J1157">
        <v>0</v>
      </c>
      <c r="K1157">
        <v>33</v>
      </c>
      <c r="L1157" t="s">
        <v>53</v>
      </c>
      <c r="M1157" t="s">
        <v>38</v>
      </c>
      <c r="N1157" s="1">
        <v>45771</v>
      </c>
      <c r="O1157" s="2">
        <v>0.54267361111111112</v>
      </c>
      <c r="P1157" s="2">
        <v>0.91695601851851849</v>
      </c>
      <c r="Q1157">
        <v>8.98</v>
      </c>
      <c r="R1157">
        <v>8.98</v>
      </c>
      <c r="S1157">
        <v>0.41</v>
      </c>
      <c r="T1157">
        <v>0</v>
      </c>
      <c r="U1157">
        <v>0</v>
      </c>
      <c r="V1157">
        <v>0.18</v>
      </c>
      <c r="W1157">
        <v>6.86</v>
      </c>
      <c r="X1157">
        <v>1.53</v>
      </c>
      <c r="Y1157">
        <v>0</v>
      </c>
      <c r="Z1157">
        <v>0</v>
      </c>
      <c r="AA1157">
        <v>0</v>
      </c>
      <c r="AB1157">
        <v>0</v>
      </c>
      <c r="AC1157">
        <v>8.98</v>
      </c>
      <c r="AD1157">
        <v>4.6100000000000003</v>
      </c>
      <c r="AE1157">
        <v>0</v>
      </c>
      <c r="AF1157">
        <v>0</v>
      </c>
      <c r="AG1157">
        <v>1.99</v>
      </c>
      <c r="AH1157">
        <v>76.38</v>
      </c>
      <c r="AI1157">
        <v>16.98</v>
      </c>
      <c r="AJ1157">
        <v>0</v>
      </c>
      <c r="AK1157">
        <v>0</v>
      </c>
      <c r="AL1157">
        <v>0</v>
      </c>
      <c r="AM1157">
        <v>0.04</v>
      </c>
      <c r="AN1157">
        <f t="shared" si="55"/>
        <v>5</v>
      </c>
      <c r="AO1157" t="str">
        <f t="shared" si="56"/>
        <v>Thursday</v>
      </c>
    </row>
    <row r="1158" spans="1:41" x14ac:dyDescent="0.2">
      <c r="A1158" t="s">
        <v>37</v>
      </c>
      <c r="B1158" s="1">
        <v>45771</v>
      </c>
      <c r="C1158" s="1">
        <f t="shared" si="54"/>
        <v>45777</v>
      </c>
      <c r="D1158">
        <v>15</v>
      </c>
      <c r="E1158">
        <v>40</v>
      </c>
      <c r="F1158">
        <v>1</v>
      </c>
      <c r="G1158">
        <v>5</v>
      </c>
      <c r="H1158">
        <v>9</v>
      </c>
      <c r="I1158">
        <v>0</v>
      </c>
      <c r="J1158">
        <v>1</v>
      </c>
      <c r="K1158">
        <v>16</v>
      </c>
      <c r="L1158" t="s">
        <v>37</v>
      </c>
      <c r="M1158" t="s">
        <v>38</v>
      </c>
      <c r="N1158" s="1">
        <v>45771</v>
      </c>
      <c r="O1158" s="2">
        <v>0.54270833333333335</v>
      </c>
      <c r="P1158" s="2">
        <v>0.916875</v>
      </c>
      <c r="Q1158">
        <v>8.98</v>
      </c>
      <c r="R1158">
        <v>8.27</v>
      </c>
      <c r="S1158">
        <v>1.96</v>
      </c>
      <c r="T1158">
        <v>0.22</v>
      </c>
      <c r="U1158">
        <v>0</v>
      </c>
      <c r="V1158">
        <v>0.16</v>
      </c>
      <c r="W1158">
        <v>4.87</v>
      </c>
      <c r="X1158">
        <v>0.78</v>
      </c>
      <c r="Y1158">
        <v>0.19</v>
      </c>
      <c r="Z1158">
        <v>0</v>
      </c>
      <c r="AA1158">
        <v>0</v>
      </c>
      <c r="AB1158">
        <v>0.09</v>
      </c>
      <c r="AC1158">
        <v>8.27</v>
      </c>
      <c r="AD1158">
        <v>23.69</v>
      </c>
      <c r="AE1158">
        <v>2.67</v>
      </c>
      <c r="AF1158">
        <v>0</v>
      </c>
      <c r="AG1158">
        <v>1.99</v>
      </c>
      <c r="AH1158">
        <v>58.86</v>
      </c>
      <c r="AI1158">
        <v>9.3699999999999992</v>
      </c>
      <c r="AJ1158">
        <v>2.31</v>
      </c>
      <c r="AK1158">
        <v>0</v>
      </c>
      <c r="AL1158">
        <v>0</v>
      </c>
      <c r="AM1158">
        <v>1.1100000000000001</v>
      </c>
      <c r="AN1158">
        <f t="shared" si="55"/>
        <v>5</v>
      </c>
      <c r="AO1158" t="str">
        <f t="shared" si="56"/>
        <v>Thursday</v>
      </c>
    </row>
    <row r="1159" spans="1:41" x14ac:dyDescent="0.2">
      <c r="A1159" t="s">
        <v>52</v>
      </c>
      <c r="B1159" s="1">
        <v>45771</v>
      </c>
      <c r="C1159" s="1">
        <f t="shared" si="54"/>
        <v>45777</v>
      </c>
      <c r="D1159">
        <v>16</v>
      </c>
      <c r="E1159">
        <v>37</v>
      </c>
      <c r="F1159">
        <v>2</v>
      </c>
      <c r="G1159">
        <v>2</v>
      </c>
      <c r="H1159">
        <v>4</v>
      </c>
      <c r="I1159">
        <v>0</v>
      </c>
      <c r="J1159">
        <v>0</v>
      </c>
      <c r="K1159">
        <v>21</v>
      </c>
      <c r="L1159" t="s">
        <v>52</v>
      </c>
      <c r="M1159" t="s">
        <v>38</v>
      </c>
      <c r="N1159" s="1">
        <v>45771</v>
      </c>
      <c r="O1159" s="2">
        <v>0.54156249999999995</v>
      </c>
      <c r="P1159" s="2">
        <v>0.91677083333333331</v>
      </c>
      <c r="Q1159">
        <v>9.02</v>
      </c>
      <c r="R1159">
        <v>9</v>
      </c>
      <c r="S1159">
        <v>1.36</v>
      </c>
      <c r="T1159">
        <v>0.35</v>
      </c>
      <c r="U1159">
        <v>0</v>
      </c>
      <c r="V1159">
        <v>0.17</v>
      </c>
      <c r="W1159">
        <v>5.54</v>
      </c>
      <c r="X1159">
        <v>1.57</v>
      </c>
      <c r="Y1159">
        <v>0</v>
      </c>
      <c r="Z1159">
        <v>0</v>
      </c>
      <c r="AA1159">
        <v>0</v>
      </c>
      <c r="AB1159">
        <v>0.01</v>
      </c>
      <c r="AC1159">
        <v>9</v>
      </c>
      <c r="AD1159">
        <v>15.08</v>
      </c>
      <c r="AE1159">
        <v>3.93</v>
      </c>
      <c r="AF1159">
        <v>0</v>
      </c>
      <c r="AG1159">
        <v>1.85</v>
      </c>
      <c r="AH1159">
        <v>61.56</v>
      </c>
      <c r="AI1159">
        <v>17.489999999999998</v>
      </c>
      <c r="AJ1159">
        <v>0</v>
      </c>
      <c r="AK1159">
        <v>0</v>
      </c>
      <c r="AL1159">
        <v>0</v>
      </c>
      <c r="AM1159">
        <v>0.1</v>
      </c>
      <c r="AN1159">
        <f t="shared" si="55"/>
        <v>5</v>
      </c>
      <c r="AO1159" t="str">
        <f t="shared" si="56"/>
        <v>Thursday</v>
      </c>
    </row>
    <row r="1160" spans="1:41" x14ac:dyDescent="0.2">
      <c r="A1160" t="s">
        <v>39</v>
      </c>
      <c r="B1160" s="1">
        <v>45771</v>
      </c>
      <c r="C1160" s="1">
        <f t="shared" si="54"/>
        <v>45777</v>
      </c>
      <c r="D1160">
        <v>26</v>
      </c>
      <c r="E1160">
        <v>65</v>
      </c>
      <c r="F1160">
        <v>1</v>
      </c>
      <c r="G1160">
        <v>2</v>
      </c>
      <c r="H1160">
        <v>5</v>
      </c>
      <c r="I1160">
        <v>0</v>
      </c>
      <c r="J1160">
        <v>0</v>
      </c>
      <c r="K1160">
        <v>44</v>
      </c>
      <c r="L1160" t="s">
        <v>39</v>
      </c>
      <c r="M1160" t="s">
        <v>38</v>
      </c>
      <c r="N1160" s="1">
        <v>45771</v>
      </c>
      <c r="O1160" s="2">
        <v>0.54184027777777777</v>
      </c>
      <c r="P1160" s="2">
        <v>0.91678240740740746</v>
      </c>
      <c r="Q1160">
        <v>9</v>
      </c>
      <c r="R1160">
        <v>9</v>
      </c>
      <c r="S1160">
        <v>1.1399999999999999</v>
      </c>
      <c r="T1160">
        <v>0</v>
      </c>
      <c r="U1160">
        <v>0</v>
      </c>
      <c r="V1160">
        <v>0.04</v>
      </c>
      <c r="W1160">
        <v>6.36</v>
      </c>
      <c r="X1160">
        <v>1.46</v>
      </c>
      <c r="Y1160">
        <v>0</v>
      </c>
      <c r="Z1160">
        <v>0</v>
      </c>
      <c r="AA1160">
        <v>0</v>
      </c>
      <c r="AB1160">
        <v>0</v>
      </c>
      <c r="AC1160">
        <v>9</v>
      </c>
      <c r="AD1160">
        <v>12.62</v>
      </c>
      <c r="AE1160">
        <v>0</v>
      </c>
      <c r="AF1160">
        <v>0</v>
      </c>
      <c r="AG1160">
        <v>0.46</v>
      </c>
      <c r="AH1160">
        <v>70.64</v>
      </c>
      <c r="AI1160">
        <v>16.239999999999998</v>
      </c>
      <c r="AJ1160">
        <v>0</v>
      </c>
      <c r="AK1160">
        <v>0</v>
      </c>
      <c r="AL1160">
        <v>0</v>
      </c>
      <c r="AM1160">
        <v>0.04</v>
      </c>
      <c r="AN1160">
        <f t="shared" si="55"/>
        <v>5</v>
      </c>
      <c r="AO1160" t="str">
        <f t="shared" si="56"/>
        <v>Thursday</v>
      </c>
    </row>
    <row r="1161" spans="1:41" x14ac:dyDescent="0.2">
      <c r="A1161" t="s">
        <v>41</v>
      </c>
      <c r="B1161" s="1">
        <v>45771</v>
      </c>
      <c r="C1161" s="1">
        <f t="shared" si="54"/>
        <v>45777</v>
      </c>
      <c r="D1161">
        <v>30</v>
      </c>
      <c r="E1161">
        <v>89</v>
      </c>
      <c r="F1161">
        <v>1</v>
      </c>
      <c r="G1161">
        <v>5</v>
      </c>
      <c r="H1161">
        <v>4</v>
      </c>
      <c r="I1161">
        <v>0</v>
      </c>
      <c r="J1161">
        <v>0</v>
      </c>
      <c r="K1161">
        <v>53</v>
      </c>
      <c r="L1161" t="s">
        <v>41</v>
      </c>
      <c r="M1161" t="s">
        <v>38</v>
      </c>
      <c r="N1161" s="1">
        <v>45771</v>
      </c>
      <c r="O1161" s="2">
        <v>0.54282407407407407</v>
      </c>
      <c r="P1161" s="2">
        <v>0.9164930555555556</v>
      </c>
      <c r="Q1161">
        <v>8.9700000000000006</v>
      </c>
      <c r="R1161">
        <v>8.9700000000000006</v>
      </c>
      <c r="S1161">
        <v>0.6</v>
      </c>
      <c r="T1161">
        <v>0.04</v>
      </c>
      <c r="U1161">
        <v>0</v>
      </c>
      <c r="V1161">
        <v>0.16</v>
      </c>
      <c r="W1161">
        <v>6.7</v>
      </c>
      <c r="X1161">
        <v>1.47</v>
      </c>
      <c r="Y1161">
        <v>0</v>
      </c>
      <c r="Z1161">
        <v>0</v>
      </c>
      <c r="AA1161">
        <v>0</v>
      </c>
      <c r="AB1161">
        <v>0.01</v>
      </c>
      <c r="AC1161">
        <v>8.9700000000000006</v>
      </c>
      <c r="AD1161">
        <v>6.71</v>
      </c>
      <c r="AE1161">
        <v>0.41</v>
      </c>
      <c r="AF1161">
        <v>0</v>
      </c>
      <c r="AG1161">
        <v>1.73</v>
      </c>
      <c r="AH1161">
        <v>74.69</v>
      </c>
      <c r="AI1161">
        <v>16.36</v>
      </c>
      <c r="AJ1161">
        <v>0</v>
      </c>
      <c r="AK1161">
        <v>0</v>
      </c>
      <c r="AL1161">
        <v>0</v>
      </c>
      <c r="AM1161">
        <v>0.09</v>
      </c>
      <c r="AN1161">
        <f t="shared" si="55"/>
        <v>5</v>
      </c>
      <c r="AO1161" t="str">
        <f t="shared" si="56"/>
        <v>Thursday</v>
      </c>
    </row>
    <row r="1162" spans="1:41" x14ac:dyDescent="0.2">
      <c r="A1162" t="s">
        <v>43</v>
      </c>
      <c r="B1162" s="1">
        <v>45771</v>
      </c>
      <c r="C1162" s="1">
        <f t="shared" si="54"/>
        <v>45777</v>
      </c>
      <c r="D1162">
        <v>29</v>
      </c>
      <c r="E1162">
        <v>75</v>
      </c>
      <c r="F1162">
        <v>2</v>
      </c>
      <c r="G1162">
        <v>1</v>
      </c>
      <c r="H1162">
        <v>7</v>
      </c>
      <c r="I1162">
        <v>0</v>
      </c>
      <c r="J1162">
        <v>0</v>
      </c>
      <c r="K1162">
        <v>54</v>
      </c>
      <c r="L1162" t="s">
        <v>43</v>
      </c>
      <c r="M1162" t="s">
        <v>38</v>
      </c>
      <c r="N1162" s="1">
        <v>45771</v>
      </c>
      <c r="O1162" s="2">
        <v>0.54921296296296296</v>
      </c>
      <c r="P1162" s="2">
        <v>0.9239236111111111</v>
      </c>
      <c r="Q1162">
        <v>9</v>
      </c>
      <c r="R1162">
        <v>8.99</v>
      </c>
      <c r="S1162">
        <v>0.47</v>
      </c>
      <c r="T1162">
        <v>0.19</v>
      </c>
      <c r="U1162">
        <v>0</v>
      </c>
      <c r="V1162">
        <v>0.09</v>
      </c>
      <c r="W1162">
        <v>6.69</v>
      </c>
      <c r="X1162">
        <v>1.45</v>
      </c>
      <c r="Y1162">
        <v>0.1</v>
      </c>
      <c r="Z1162">
        <v>0</v>
      </c>
      <c r="AA1162">
        <v>0</v>
      </c>
      <c r="AB1162">
        <v>0</v>
      </c>
      <c r="AC1162">
        <v>8.99</v>
      </c>
      <c r="AD1162">
        <v>5.24</v>
      </c>
      <c r="AE1162">
        <v>2.14</v>
      </c>
      <c r="AF1162">
        <v>0</v>
      </c>
      <c r="AG1162">
        <v>1.03</v>
      </c>
      <c r="AH1162">
        <v>74.319999999999993</v>
      </c>
      <c r="AI1162">
        <v>16.13</v>
      </c>
      <c r="AJ1162">
        <v>1.0900000000000001</v>
      </c>
      <c r="AK1162">
        <v>0</v>
      </c>
      <c r="AL1162">
        <v>0</v>
      </c>
      <c r="AM1162">
        <v>0.04</v>
      </c>
      <c r="AN1162">
        <f t="shared" si="55"/>
        <v>5</v>
      </c>
      <c r="AO1162" t="str">
        <f t="shared" si="56"/>
        <v>Thursday</v>
      </c>
    </row>
    <row r="1163" spans="1:41" x14ac:dyDescent="0.2">
      <c r="B1163" s="1">
        <v>45771</v>
      </c>
      <c r="C1163" s="1">
        <f t="shared" si="54"/>
        <v>45777</v>
      </c>
      <c r="D1163">
        <v>677</v>
      </c>
      <c r="E1163">
        <v>0</v>
      </c>
      <c r="F1163">
        <v>0</v>
      </c>
      <c r="G1163">
        <v>0</v>
      </c>
      <c r="H1163">
        <v>0</v>
      </c>
      <c r="I1163">
        <v>0</v>
      </c>
      <c r="J1163">
        <v>0</v>
      </c>
      <c r="K1163">
        <v>0</v>
      </c>
      <c r="AN1163">
        <f t="shared" si="55"/>
        <v>5</v>
      </c>
      <c r="AO1163" t="str">
        <f t="shared" si="56"/>
        <v>Thursday</v>
      </c>
    </row>
    <row r="1164" spans="1:41" x14ac:dyDescent="0.2">
      <c r="A1164" t="s">
        <v>53</v>
      </c>
      <c r="B1164" s="1">
        <v>45770</v>
      </c>
      <c r="C1164" s="1">
        <f t="shared" si="54"/>
        <v>45777</v>
      </c>
      <c r="D1164">
        <v>16</v>
      </c>
      <c r="E1164">
        <v>44</v>
      </c>
      <c r="F1164">
        <v>7</v>
      </c>
      <c r="G1164">
        <v>2</v>
      </c>
      <c r="H1164">
        <v>2</v>
      </c>
      <c r="I1164">
        <v>0</v>
      </c>
      <c r="J1164">
        <v>0</v>
      </c>
      <c r="K1164">
        <v>28</v>
      </c>
      <c r="L1164" t="s">
        <v>53</v>
      </c>
      <c r="M1164" t="s">
        <v>38</v>
      </c>
      <c r="N1164" s="1">
        <v>45770</v>
      </c>
      <c r="O1164" s="2">
        <v>0.54159722222222217</v>
      </c>
      <c r="P1164" s="2">
        <v>0.91685185185185181</v>
      </c>
      <c r="Q1164">
        <v>9.02</v>
      </c>
      <c r="R1164">
        <v>8.32</v>
      </c>
      <c r="S1164">
        <v>1.06</v>
      </c>
      <c r="T1164">
        <v>0</v>
      </c>
      <c r="U1164">
        <v>0</v>
      </c>
      <c r="V1164">
        <v>0.27</v>
      </c>
      <c r="W1164">
        <v>5.84</v>
      </c>
      <c r="X1164">
        <v>0.66</v>
      </c>
      <c r="Y1164">
        <v>0.47</v>
      </c>
      <c r="Z1164">
        <v>0</v>
      </c>
      <c r="AA1164">
        <v>0</v>
      </c>
      <c r="AB1164">
        <v>0.01</v>
      </c>
      <c r="AC1164">
        <v>8.32</v>
      </c>
      <c r="AD1164">
        <v>12.79</v>
      </c>
      <c r="AE1164">
        <v>0</v>
      </c>
      <c r="AF1164">
        <v>0</v>
      </c>
      <c r="AG1164">
        <v>3.25</v>
      </c>
      <c r="AH1164">
        <v>70.17</v>
      </c>
      <c r="AI1164">
        <v>7.97</v>
      </c>
      <c r="AJ1164">
        <v>5.65</v>
      </c>
      <c r="AK1164">
        <v>0</v>
      </c>
      <c r="AL1164">
        <v>0</v>
      </c>
      <c r="AM1164">
        <v>0.17</v>
      </c>
      <c r="AN1164">
        <f t="shared" si="55"/>
        <v>4</v>
      </c>
      <c r="AO1164" t="str">
        <f t="shared" si="56"/>
        <v>Wednesday</v>
      </c>
    </row>
    <row r="1165" spans="1:41" x14ac:dyDescent="0.2">
      <c r="A1165" t="s">
        <v>37</v>
      </c>
      <c r="B1165" s="1">
        <v>45770</v>
      </c>
      <c r="C1165" s="1">
        <f t="shared" si="54"/>
        <v>45777</v>
      </c>
      <c r="D1165">
        <v>24</v>
      </c>
      <c r="E1165">
        <v>76</v>
      </c>
      <c r="F1165">
        <v>1</v>
      </c>
      <c r="G1165">
        <v>1</v>
      </c>
      <c r="H1165">
        <v>0</v>
      </c>
      <c r="I1165">
        <v>0</v>
      </c>
      <c r="J1165">
        <v>0</v>
      </c>
      <c r="K1165">
        <v>57</v>
      </c>
      <c r="L1165" t="s">
        <v>37</v>
      </c>
      <c r="M1165" t="s">
        <v>38</v>
      </c>
      <c r="N1165" s="1">
        <v>45770</v>
      </c>
      <c r="O1165" s="2">
        <v>0.54222222222222227</v>
      </c>
      <c r="P1165" s="2">
        <v>0.91674768518518523</v>
      </c>
      <c r="Q1165">
        <v>9</v>
      </c>
      <c r="R1165">
        <v>8.0399999999999991</v>
      </c>
      <c r="S1165">
        <v>0.57999999999999996</v>
      </c>
      <c r="T1165">
        <v>0.32</v>
      </c>
      <c r="U1165">
        <v>0</v>
      </c>
      <c r="V1165">
        <v>0.16</v>
      </c>
      <c r="W1165">
        <v>6.48</v>
      </c>
      <c r="X1165">
        <v>0.48</v>
      </c>
      <c r="Y1165">
        <v>0</v>
      </c>
      <c r="Z1165">
        <v>0</v>
      </c>
      <c r="AA1165">
        <v>0</v>
      </c>
      <c r="AB1165">
        <v>0.01</v>
      </c>
      <c r="AC1165">
        <v>8.0399999999999991</v>
      </c>
      <c r="AD1165">
        <v>7.19</v>
      </c>
      <c r="AE1165">
        <v>4.0199999999999996</v>
      </c>
      <c r="AF1165">
        <v>0</v>
      </c>
      <c r="AG1165">
        <v>2.04</v>
      </c>
      <c r="AH1165">
        <v>80.650000000000006</v>
      </c>
      <c r="AI1165">
        <v>5.98</v>
      </c>
      <c r="AJ1165">
        <v>0</v>
      </c>
      <c r="AK1165">
        <v>0</v>
      </c>
      <c r="AL1165">
        <v>0</v>
      </c>
      <c r="AM1165">
        <v>0.12</v>
      </c>
      <c r="AN1165">
        <f t="shared" si="55"/>
        <v>4</v>
      </c>
      <c r="AO1165" t="str">
        <f t="shared" si="56"/>
        <v>Wednesday</v>
      </c>
    </row>
    <row r="1166" spans="1:41" x14ac:dyDescent="0.2">
      <c r="A1166" t="s">
        <v>52</v>
      </c>
      <c r="B1166" s="1">
        <v>45770</v>
      </c>
      <c r="C1166" s="1">
        <f t="shared" si="54"/>
        <v>45777</v>
      </c>
      <c r="D1166">
        <v>13</v>
      </c>
      <c r="E1166">
        <v>40</v>
      </c>
      <c r="F1166">
        <v>5</v>
      </c>
      <c r="G1166">
        <v>2</v>
      </c>
      <c r="H1166">
        <v>1</v>
      </c>
      <c r="I1166">
        <v>0</v>
      </c>
      <c r="J1166">
        <v>0</v>
      </c>
      <c r="K1166">
        <v>25</v>
      </c>
      <c r="L1166" t="s">
        <v>52</v>
      </c>
      <c r="M1166" t="s">
        <v>38</v>
      </c>
      <c r="N1166" s="1">
        <v>45770</v>
      </c>
      <c r="O1166" s="2">
        <v>0.54488425925925921</v>
      </c>
      <c r="P1166" s="2">
        <v>0.91675925925925927</v>
      </c>
      <c r="Q1166">
        <v>8.93</v>
      </c>
      <c r="R1166">
        <v>8.86</v>
      </c>
      <c r="S1166">
        <v>1.21</v>
      </c>
      <c r="T1166">
        <v>0.17</v>
      </c>
      <c r="U1166">
        <v>0</v>
      </c>
      <c r="V1166">
        <v>0.34</v>
      </c>
      <c r="W1166">
        <v>5.07</v>
      </c>
      <c r="X1166">
        <v>1.52</v>
      </c>
      <c r="Y1166">
        <v>0.53</v>
      </c>
      <c r="Z1166">
        <v>0</v>
      </c>
      <c r="AA1166">
        <v>0</v>
      </c>
      <c r="AB1166">
        <v>0.01</v>
      </c>
      <c r="AC1166">
        <v>8.86</v>
      </c>
      <c r="AD1166">
        <v>13.71</v>
      </c>
      <c r="AE1166">
        <v>1.88</v>
      </c>
      <c r="AF1166">
        <v>0</v>
      </c>
      <c r="AG1166">
        <v>3.86</v>
      </c>
      <c r="AH1166">
        <v>57.27</v>
      </c>
      <c r="AI1166">
        <v>17.170000000000002</v>
      </c>
      <c r="AJ1166">
        <v>6.01</v>
      </c>
      <c r="AK1166">
        <v>0</v>
      </c>
      <c r="AL1166">
        <v>0</v>
      </c>
      <c r="AM1166">
        <v>0.1</v>
      </c>
      <c r="AN1166">
        <f t="shared" si="55"/>
        <v>4</v>
      </c>
      <c r="AO1166" t="str">
        <f t="shared" si="56"/>
        <v>Wednesday</v>
      </c>
    </row>
    <row r="1167" spans="1:41" x14ac:dyDescent="0.2">
      <c r="A1167" t="s">
        <v>39</v>
      </c>
      <c r="B1167" s="1">
        <v>45770</v>
      </c>
      <c r="C1167" s="1">
        <f t="shared" si="54"/>
        <v>45777</v>
      </c>
      <c r="D1167">
        <v>22</v>
      </c>
      <c r="E1167">
        <v>48</v>
      </c>
      <c r="F1167">
        <v>2</v>
      </c>
      <c r="G1167">
        <v>2</v>
      </c>
      <c r="H1167">
        <v>4</v>
      </c>
      <c r="I1167">
        <v>0</v>
      </c>
      <c r="J1167">
        <v>0</v>
      </c>
      <c r="K1167">
        <v>32</v>
      </c>
      <c r="L1167" t="s">
        <v>39</v>
      </c>
      <c r="M1167" t="s">
        <v>38</v>
      </c>
      <c r="N1167" s="1">
        <v>45770</v>
      </c>
      <c r="O1167" s="2">
        <v>0.54172453703703705</v>
      </c>
      <c r="P1167" s="2">
        <v>0.91670138888888886</v>
      </c>
      <c r="Q1167">
        <v>9</v>
      </c>
      <c r="R1167">
        <v>9</v>
      </c>
      <c r="S1167">
        <v>0.62</v>
      </c>
      <c r="T1167">
        <v>0.11</v>
      </c>
      <c r="U1167">
        <v>0</v>
      </c>
      <c r="V1167">
        <v>0.03</v>
      </c>
      <c r="W1167">
        <v>6.75</v>
      </c>
      <c r="X1167">
        <v>1.49</v>
      </c>
      <c r="Y1167">
        <v>0</v>
      </c>
      <c r="Z1167">
        <v>0</v>
      </c>
      <c r="AA1167">
        <v>0</v>
      </c>
      <c r="AB1167">
        <v>0</v>
      </c>
      <c r="AC1167">
        <v>9</v>
      </c>
      <c r="AD1167">
        <v>6.91</v>
      </c>
      <c r="AE1167">
        <v>1.18</v>
      </c>
      <c r="AF1167">
        <v>0</v>
      </c>
      <c r="AG1167">
        <v>0.28000000000000003</v>
      </c>
      <c r="AH1167">
        <v>75.02</v>
      </c>
      <c r="AI1167">
        <v>16.55</v>
      </c>
      <c r="AJ1167">
        <v>0</v>
      </c>
      <c r="AK1167">
        <v>0</v>
      </c>
      <c r="AL1167">
        <v>0</v>
      </c>
      <c r="AM1167">
        <v>0.05</v>
      </c>
      <c r="AN1167">
        <f t="shared" si="55"/>
        <v>4</v>
      </c>
      <c r="AO1167" t="str">
        <f t="shared" si="56"/>
        <v>Wednesday</v>
      </c>
    </row>
    <row r="1168" spans="1:41" x14ac:dyDescent="0.2">
      <c r="A1168" t="s">
        <v>41</v>
      </c>
      <c r="B1168" s="1">
        <v>45770</v>
      </c>
      <c r="C1168" s="1">
        <f t="shared" si="54"/>
        <v>45777</v>
      </c>
      <c r="D1168">
        <v>27</v>
      </c>
      <c r="E1168">
        <v>69</v>
      </c>
      <c r="F1168">
        <v>2</v>
      </c>
      <c r="G1168">
        <v>1</v>
      </c>
      <c r="H1168">
        <v>6</v>
      </c>
      <c r="I1168">
        <v>0</v>
      </c>
      <c r="J1168">
        <v>1</v>
      </c>
      <c r="K1168">
        <v>39</v>
      </c>
      <c r="L1168" t="s">
        <v>41</v>
      </c>
      <c r="M1168" t="s">
        <v>38</v>
      </c>
      <c r="N1168" s="1">
        <v>45770</v>
      </c>
      <c r="O1168" s="2">
        <v>0.54353009259259255</v>
      </c>
      <c r="P1168" s="2">
        <v>0.91613425925925929</v>
      </c>
      <c r="Q1168">
        <v>8.9499999999999993</v>
      </c>
      <c r="R1168">
        <v>8.93</v>
      </c>
      <c r="S1168">
        <v>0.77</v>
      </c>
      <c r="T1168">
        <v>0</v>
      </c>
      <c r="U1168">
        <v>0</v>
      </c>
      <c r="V1168">
        <v>0.08</v>
      </c>
      <c r="W1168">
        <v>6.6</v>
      </c>
      <c r="X1168">
        <v>1.48</v>
      </c>
      <c r="Y1168">
        <v>0</v>
      </c>
      <c r="Z1168">
        <v>0</v>
      </c>
      <c r="AA1168">
        <v>0</v>
      </c>
      <c r="AB1168">
        <v>0.01</v>
      </c>
      <c r="AC1168">
        <v>8.93</v>
      </c>
      <c r="AD1168">
        <v>8.6300000000000008</v>
      </c>
      <c r="AE1168">
        <v>0</v>
      </c>
      <c r="AF1168">
        <v>0</v>
      </c>
      <c r="AG1168">
        <v>0.87</v>
      </c>
      <c r="AH1168">
        <v>73.89</v>
      </c>
      <c r="AI1168">
        <v>16.53</v>
      </c>
      <c r="AJ1168">
        <v>0</v>
      </c>
      <c r="AK1168">
        <v>0</v>
      </c>
      <c r="AL1168">
        <v>0</v>
      </c>
      <c r="AM1168">
        <v>0.09</v>
      </c>
      <c r="AN1168">
        <f t="shared" si="55"/>
        <v>4</v>
      </c>
      <c r="AO1168" t="str">
        <f t="shared" si="56"/>
        <v>Wednesday</v>
      </c>
    </row>
    <row r="1169" spans="1:41" x14ac:dyDescent="0.2">
      <c r="A1169" t="s">
        <v>45</v>
      </c>
      <c r="B1169" s="1">
        <v>45770</v>
      </c>
      <c r="C1169" s="1">
        <f t="shared" si="54"/>
        <v>45777</v>
      </c>
      <c r="D1169">
        <v>1</v>
      </c>
      <c r="E1169">
        <v>3</v>
      </c>
      <c r="F1169">
        <v>2</v>
      </c>
      <c r="G1169">
        <v>0</v>
      </c>
      <c r="H1169">
        <v>0</v>
      </c>
      <c r="I1169">
        <v>0</v>
      </c>
      <c r="J1169">
        <v>0</v>
      </c>
      <c r="K1169">
        <v>0</v>
      </c>
      <c r="AN1169">
        <f t="shared" si="55"/>
        <v>4</v>
      </c>
      <c r="AO1169" t="str">
        <f t="shared" si="56"/>
        <v>Wednesday</v>
      </c>
    </row>
    <row r="1170" spans="1:41" x14ac:dyDescent="0.2">
      <c r="A1170" t="s">
        <v>43</v>
      </c>
      <c r="B1170" s="1">
        <v>45770</v>
      </c>
      <c r="C1170" s="1">
        <f t="shared" si="54"/>
        <v>45777</v>
      </c>
      <c r="D1170">
        <v>23</v>
      </c>
      <c r="E1170">
        <v>60</v>
      </c>
      <c r="F1170">
        <v>3</v>
      </c>
      <c r="G1170">
        <v>4</v>
      </c>
      <c r="H1170">
        <v>4</v>
      </c>
      <c r="I1170">
        <v>0</v>
      </c>
      <c r="J1170">
        <v>0</v>
      </c>
      <c r="K1170">
        <v>42</v>
      </c>
      <c r="L1170" t="s">
        <v>43</v>
      </c>
      <c r="M1170" t="s">
        <v>38</v>
      </c>
      <c r="N1170" s="1">
        <v>45770</v>
      </c>
      <c r="O1170" s="2">
        <v>0.5413310185185185</v>
      </c>
      <c r="P1170" s="2">
        <v>0.91732638888888884</v>
      </c>
      <c r="Q1170">
        <v>9.02</v>
      </c>
      <c r="R1170">
        <v>9.02</v>
      </c>
      <c r="S1170">
        <v>0.91</v>
      </c>
      <c r="T1170">
        <v>0.25</v>
      </c>
      <c r="U1170">
        <v>0</v>
      </c>
      <c r="V1170">
        <v>0.2</v>
      </c>
      <c r="W1170">
        <v>5.99</v>
      </c>
      <c r="X1170">
        <v>1.37</v>
      </c>
      <c r="Y1170">
        <v>0.3</v>
      </c>
      <c r="Z1170">
        <v>0</v>
      </c>
      <c r="AA1170">
        <v>0</v>
      </c>
      <c r="AB1170">
        <v>0</v>
      </c>
      <c r="AC1170">
        <v>9.02</v>
      </c>
      <c r="AD1170">
        <v>10.050000000000001</v>
      </c>
      <c r="AE1170">
        <v>2.81</v>
      </c>
      <c r="AF1170">
        <v>0</v>
      </c>
      <c r="AG1170">
        <v>2.19</v>
      </c>
      <c r="AH1170">
        <v>66.42</v>
      </c>
      <c r="AI1170">
        <v>15.21</v>
      </c>
      <c r="AJ1170">
        <v>3.28</v>
      </c>
      <c r="AK1170">
        <v>0</v>
      </c>
      <c r="AL1170">
        <v>0</v>
      </c>
      <c r="AM1170">
        <v>0.04</v>
      </c>
      <c r="AN1170">
        <f t="shared" si="55"/>
        <v>4</v>
      </c>
      <c r="AO1170" t="str">
        <f t="shared" si="56"/>
        <v>Wednesday</v>
      </c>
    </row>
    <row r="1171" spans="1:41" x14ac:dyDescent="0.2">
      <c r="B1171" s="1">
        <v>45770</v>
      </c>
      <c r="C1171" s="1">
        <f t="shared" si="54"/>
        <v>45777</v>
      </c>
      <c r="D1171">
        <v>640</v>
      </c>
      <c r="E1171">
        <v>0</v>
      </c>
      <c r="F1171">
        <v>0</v>
      </c>
      <c r="G1171">
        <v>0</v>
      </c>
      <c r="H1171">
        <v>0</v>
      </c>
      <c r="I1171">
        <v>0</v>
      </c>
      <c r="J1171">
        <v>0</v>
      </c>
      <c r="K1171">
        <v>0</v>
      </c>
      <c r="AN1171">
        <f t="shared" si="55"/>
        <v>4</v>
      </c>
      <c r="AO1171" t="str">
        <f t="shared" si="56"/>
        <v>Wednesday</v>
      </c>
    </row>
    <row r="1172" spans="1:41" x14ac:dyDescent="0.2">
      <c r="A1172" t="s">
        <v>53</v>
      </c>
      <c r="B1172" s="1">
        <v>45769</v>
      </c>
      <c r="C1172" s="1">
        <f t="shared" si="54"/>
        <v>45777</v>
      </c>
      <c r="D1172">
        <v>15</v>
      </c>
      <c r="E1172">
        <v>39</v>
      </c>
      <c r="F1172">
        <v>6</v>
      </c>
      <c r="G1172">
        <v>0</v>
      </c>
      <c r="H1172">
        <v>1</v>
      </c>
      <c r="I1172">
        <v>0</v>
      </c>
      <c r="J1172">
        <v>0</v>
      </c>
      <c r="K1172">
        <v>23</v>
      </c>
      <c r="L1172" t="s">
        <v>53</v>
      </c>
      <c r="M1172" t="s">
        <v>38</v>
      </c>
      <c r="N1172" s="1">
        <v>45769</v>
      </c>
      <c r="O1172" s="2">
        <v>4.7233796296296295E-2</v>
      </c>
      <c r="P1172" s="2">
        <v>0.91678240740740746</v>
      </c>
      <c r="Q1172">
        <v>20.87</v>
      </c>
      <c r="R1172">
        <v>8.6999999999999993</v>
      </c>
      <c r="S1172">
        <v>0.54</v>
      </c>
      <c r="T1172">
        <v>0</v>
      </c>
      <c r="U1172">
        <v>0</v>
      </c>
      <c r="V1172">
        <v>0.31</v>
      </c>
      <c r="W1172">
        <v>5.67</v>
      </c>
      <c r="X1172">
        <v>1.59</v>
      </c>
      <c r="Y1172">
        <v>0</v>
      </c>
      <c r="Z1172">
        <v>0</v>
      </c>
      <c r="AA1172">
        <v>0.57999999999999996</v>
      </c>
      <c r="AB1172">
        <v>0.01</v>
      </c>
      <c r="AC1172">
        <v>8.6999999999999993</v>
      </c>
      <c r="AD1172">
        <v>6.2</v>
      </c>
      <c r="AE1172">
        <v>0</v>
      </c>
      <c r="AF1172">
        <v>0</v>
      </c>
      <c r="AG1172">
        <v>3.54</v>
      </c>
      <c r="AH1172">
        <v>65.239999999999995</v>
      </c>
      <c r="AI1172">
        <v>18.27</v>
      </c>
      <c r="AJ1172">
        <v>0</v>
      </c>
      <c r="AK1172">
        <v>0</v>
      </c>
      <c r="AL1172">
        <v>6.64</v>
      </c>
      <c r="AM1172">
        <v>0.11</v>
      </c>
      <c r="AN1172">
        <f t="shared" si="55"/>
        <v>3</v>
      </c>
      <c r="AO1172" t="str">
        <f t="shared" si="56"/>
        <v>Tuesday</v>
      </c>
    </row>
    <row r="1173" spans="1:41" x14ac:dyDescent="0.2">
      <c r="A1173" t="s">
        <v>37</v>
      </c>
      <c r="B1173" s="1">
        <v>45769</v>
      </c>
      <c r="C1173" s="1">
        <f t="shared" si="54"/>
        <v>45777</v>
      </c>
      <c r="D1173">
        <v>23</v>
      </c>
      <c r="E1173">
        <v>67</v>
      </c>
      <c r="F1173">
        <v>4</v>
      </c>
      <c r="G1173">
        <v>1</v>
      </c>
      <c r="H1173">
        <v>7</v>
      </c>
      <c r="I1173">
        <v>0</v>
      </c>
      <c r="J1173">
        <v>0</v>
      </c>
      <c r="K1173">
        <v>50</v>
      </c>
      <c r="L1173" t="s">
        <v>37</v>
      </c>
      <c r="M1173" t="s">
        <v>38</v>
      </c>
      <c r="N1173" s="1">
        <v>45769</v>
      </c>
      <c r="O1173" s="2">
        <v>0.54275462962962961</v>
      </c>
      <c r="P1173" s="2">
        <v>0.91996527777777781</v>
      </c>
      <c r="Q1173">
        <v>9.0500000000000007</v>
      </c>
      <c r="R1173">
        <v>8.11</v>
      </c>
      <c r="S1173">
        <v>0.56000000000000005</v>
      </c>
      <c r="T1173">
        <v>0.23</v>
      </c>
      <c r="U1173">
        <v>0</v>
      </c>
      <c r="V1173">
        <v>0.24</v>
      </c>
      <c r="W1173">
        <v>6.53</v>
      </c>
      <c r="X1173">
        <v>0.53</v>
      </c>
      <c r="Y1173">
        <v>0</v>
      </c>
      <c r="Z1173">
        <v>0</v>
      </c>
      <c r="AA1173">
        <v>0</v>
      </c>
      <c r="AB1173">
        <v>0.02</v>
      </c>
      <c r="AC1173">
        <v>8.11</v>
      </c>
      <c r="AD1173">
        <v>6.89</v>
      </c>
      <c r="AE1173">
        <v>2.83</v>
      </c>
      <c r="AF1173">
        <v>0</v>
      </c>
      <c r="AG1173">
        <v>2.98</v>
      </c>
      <c r="AH1173">
        <v>80.55</v>
      </c>
      <c r="AI1173">
        <v>6.54</v>
      </c>
      <c r="AJ1173">
        <v>0</v>
      </c>
      <c r="AK1173">
        <v>0</v>
      </c>
      <c r="AL1173">
        <v>0</v>
      </c>
      <c r="AM1173">
        <v>0.22</v>
      </c>
      <c r="AN1173">
        <f t="shared" si="55"/>
        <v>3</v>
      </c>
      <c r="AO1173" t="str">
        <f t="shared" si="56"/>
        <v>Tuesday</v>
      </c>
    </row>
    <row r="1174" spans="1:41" x14ac:dyDescent="0.2">
      <c r="A1174" t="s">
        <v>52</v>
      </c>
      <c r="B1174" s="1">
        <v>45769</v>
      </c>
      <c r="C1174" s="1">
        <f t="shared" si="54"/>
        <v>45777</v>
      </c>
      <c r="D1174">
        <v>18</v>
      </c>
      <c r="E1174">
        <v>50</v>
      </c>
      <c r="F1174">
        <v>2</v>
      </c>
      <c r="G1174">
        <v>1</v>
      </c>
      <c r="H1174">
        <v>3</v>
      </c>
      <c r="I1174">
        <v>2</v>
      </c>
      <c r="J1174">
        <v>0</v>
      </c>
      <c r="K1174">
        <v>40</v>
      </c>
      <c r="L1174" t="s">
        <v>52</v>
      </c>
      <c r="M1174" t="s">
        <v>38</v>
      </c>
      <c r="N1174" s="1">
        <v>45769</v>
      </c>
      <c r="O1174" s="2">
        <v>0.54199074074074072</v>
      </c>
      <c r="P1174" s="2">
        <v>0.91719907407407408</v>
      </c>
      <c r="Q1174">
        <v>9</v>
      </c>
      <c r="R1174">
        <v>9.01</v>
      </c>
      <c r="S1174">
        <v>1.75</v>
      </c>
      <c r="T1174">
        <v>0</v>
      </c>
      <c r="U1174">
        <v>0</v>
      </c>
      <c r="V1174">
        <v>0.2</v>
      </c>
      <c r="W1174">
        <v>5.53</v>
      </c>
      <c r="X1174">
        <v>1.52</v>
      </c>
      <c r="Y1174">
        <v>0</v>
      </c>
      <c r="Z1174">
        <v>0</v>
      </c>
      <c r="AA1174">
        <v>0</v>
      </c>
      <c r="AB1174">
        <v>0.01</v>
      </c>
      <c r="AC1174">
        <v>9.01</v>
      </c>
      <c r="AD1174">
        <v>19.48</v>
      </c>
      <c r="AE1174">
        <v>0</v>
      </c>
      <c r="AF1174">
        <v>0</v>
      </c>
      <c r="AG1174">
        <v>2.2599999999999998</v>
      </c>
      <c r="AH1174">
        <v>61.36</v>
      </c>
      <c r="AI1174">
        <v>16.84</v>
      </c>
      <c r="AJ1174">
        <v>0</v>
      </c>
      <c r="AK1174">
        <v>0</v>
      </c>
      <c r="AL1174">
        <v>0</v>
      </c>
      <c r="AM1174">
        <v>0.06</v>
      </c>
      <c r="AN1174">
        <f t="shared" si="55"/>
        <v>3</v>
      </c>
      <c r="AO1174" t="str">
        <f t="shared" si="56"/>
        <v>Tuesday</v>
      </c>
    </row>
    <row r="1175" spans="1:41" x14ac:dyDescent="0.2">
      <c r="A1175" t="s">
        <v>39</v>
      </c>
      <c r="B1175" s="1">
        <v>45769</v>
      </c>
      <c r="C1175" s="1">
        <f t="shared" si="54"/>
        <v>45777</v>
      </c>
      <c r="D1175">
        <v>24</v>
      </c>
      <c r="E1175">
        <v>55</v>
      </c>
      <c r="F1175">
        <v>7</v>
      </c>
      <c r="G1175">
        <v>2</v>
      </c>
      <c r="H1175">
        <v>4</v>
      </c>
      <c r="I1175">
        <v>1</v>
      </c>
      <c r="J1175">
        <v>0</v>
      </c>
      <c r="K1175">
        <v>37</v>
      </c>
      <c r="L1175" t="s">
        <v>39</v>
      </c>
      <c r="M1175" t="s">
        <v>38</v>
      </c>
      <c r="N1175" s="1">
        <v>45769</v>
      </c>
      <c r="O1175" s="2">
        <v>0.54184027777777777</v>
      </c>
      <c r="P1175" s="2">
        <v>0.91684027777777777</v>
      </c>
      <c r="Q1175">
        <v>9</v>
      </c>
      <c r="R1175">
        <v>9</v>
      </c>
      <c r="S1175">
        <v>1.32</v>
      </c>
      <c r="T1175">
        <v>0</v>
      </c>
      <c r="U1175">
        <v>0</v>
      </c>
      <c r="V1175">
        <v>0.02</v>
      </c>
      <c r="W1175">
        <v>6.23</v>
      </c>
      <c r="X1175">
        <v>1.42</v>
      </c>
      <c r="Y1175">
        <v>0</v>
      </c>
      <c r="Z1175">
        <v>0</v>
      </c>
      <c r="AA1175">
        <v>0</v>
      </c>
      <c r="AB1175">
        <v>0.01</v>
      </c>
      <c r="AC1175">
        <v>9</v>
      </c>
      <c r="AD1175">
        <v>14.65</v>
      </c>
      <c r="AE1175">
        <v>0</v>
      </c>
      <c r="AF1175">
        <v>0</v>
      </c>
      <c r="AG1175">
        <v>0.24</v>
      </c>
      <c r="AH1175">
        <v>69.209999999999994</v>
      </c>
      <c r="AI1175">
        <v>15.75</v>
      </c>
      <c r="AJ1175">
        <v>0</v>
      </c>
      <c r="AK1175">
        <v>0</v>
      </c>
      <c r="AL1175">
        <v>0</v>
      </c>
      <c r="AM1175">
        <v>0.15</v>
      </c>
      <c r="AN1175">
        <f t="shared" si="55"/>
        <v>3</v>
      </c>
      <c r="AO1175" t="str">
        <f t="shared" si="56"/>
        <v>Tuesday</v>
      </c>
    </row>
    <row r="1176" spans="1:41" x14ac:dyDescent="0.2">
      <c r="A1176" t="s">
        <v>41</v>
      </c>
      <c r="B1176" s="1">
        <v>45769</v>
      </c>
      <c r="C1176" s="1">
        <f t="shared" si="54"/>
        <v>45777</v>
      </c>
      <c r="D1176">
        <v>23</v>
      </c>
      <c r="E1176">
        <v>70</v>
      </c>
      <c r="F1176">
        <v>9</v>
      </c>
      <c r="G1176">
        <v>5</v>
      </c>
      <c r="H1176">
        <v>7</v>
      </c>
      <c r="I1176">
        <v>0</v>
      </c>
      <c r="J1176">
        <v>0</v>
      </c>
      <c r="K1176">
        <v>41</v>
      </c>
      <c r="L1176" t="s">
        <v>41</v>
      </c>
      <c r="M1176" t="s">
        <v>38</v>
      </c>
      <c r="N1176" s="1">
        <v>45769</v>
      </c>
      <c r="O1176" s="2">
        <v>0.54399305555555555</v>
      </c>
      <c r="P1176" s="2">
        <v>0.91745370370370372</v>
      </c>
      <c r="Q1176">
        <v>8.9700000000000006</v>
      </c>
      <c r="R1176">
        <v>8.9600000000000009</v>
      </c>
      <c r="S1176">
        <v>0.85</v>
      </c>
      <c r="T1176">
        <v>0</v>
      </c>
      <c r="U1176">
        <v>0</v>
      </c>
      <c r="V1176">
        <v>0.23</v>
      </c>
      <c r="W1176">
        <v>6.41</v>
      </c>
      <c r="X1176">
        <v>1.47</v>
      </c>
      <c r="Y1176">
        <v>0</v>
      </c>
      <c r="Z1176">
        <v>0</v>
      </c>
      <c r="AA1176">
        <v>0</v>
      </c>
      <c r="AB1176">
        <v>0</v>
      </c>
      <c r="AC1176">
        <v>8.9600000000000009</v>
      </c>
      <c r="AD1176">
        <v>9.4600000000000009</v>
      </c>
      <c r="AE1176">
        <v>0</v>
      </c>
      <c r="AF1176">
        <v>0</v>
      </c>
      <c r="AG1176">
        <v>2.5499999999999998</v>
      </c>
      <c r="AH1176">
        <v>71.55</v>
      </c>
      <c r="AI1176">
        <v>16.39</v>
      </c>
      <c r="AJ1176">
        <v>0</v>
      </c>
      <c r="AK1176">
        <v>0</v>
      </c>
      <c r="AL1176">
        <v>0</v>
      </c>
      <c r="AM1176">
        <v>0.05</v>
      </c>
      <c r="AN1176">
        <f t="shared" si="55"/>
        <v>3</v>
      </c>
      <c r="AO1176" t="str">
        <f t="shared" si="56"/>
        <v>Tuesday</v>
      </c>
    </row>
    <row r="1177" spans="1:41" x14ac:dyDescent="0.2">
      <c r="A1177" t="s">
        <v>43</v>
      </c>
      <c r="B1177" s="1">
        <v>45769</v>
      </c>
      <c r="C1177" s="1">
        <f t="shared" si="54"/>
        <v>45777</v>
      </c>
      <c r="D1177">
        <v>27</v>
      </c>
      <c r="E1177">
        <v>72</v>
      </c>
      <c r="F1177">
        <v>6</v>
      </c>
      <c r="G1177">
        <v>0</v>
      </c>
      <c r="H1177">
        <v>4</v>
      </c>
      <c r="I1177">
        <v>0</v>
      </c>
      <c r="J1177">
        <v>0</v>
      </c>
      <c r="K1177">
        <v>47</v>
      </c>
      <c r="L1177" t="s">
        <v>43</v>
      </c>
      <c r="M1177" t="s">
        <v>38</v>
      </c>
      <c r="N1177" s="1">
        <v>45769</v>
      </c>
      <c r="O1177" s="2">
        <v>0.54140046296296296</v>
      </c>
      <c r="P1177" s="2">
        <v>0.92021990740740744</v>
      </c>
      <c r="Q1177">
        <v>9.1</v>
      </c>
      <c r="R1177">
        <v>9.09</v>
      </c>
      <c r="S1177">
        <v>0.68</v>
      </c>
      <c r="T1177">
        <v>0.18</v>
      </c>
      <c r="U1177">
        <v>0</v>
      </c>
      <c r="V1177">
        <v>0.42</v>
      </c>
      <c r="W1177">
        <v>6.35</v>
      </c>
      <c r="X1177">
        <v>1.46</v>
      </c>
      <c r="Y1177">
        <v>0</v>
      </c>
      <c r="Z1177">
        <v>0</v>
      </c>
      <c r="AA1177">
        <v>0</v>
      </c>
      <c r="AB1177">
        <v>0</v>
      </c>
      <c r="AC1177">
        <v>9.09</v>
      </c>
      <c r="AD1177">
        <v>7.52</v>
      </c>
      <c r="AE1177">
        <v>1.95</v>
      </c>
      <c r="AF1177">
        <v>0</v>
      </c>
      <c r="AG1177">
        <v>4.58</v>
      </c>
      <c r="AH1177">
        <v>69.819999999999993</v>
      </c>
      <c r="AI1177">
        <v>16.079999999999998</v>
      </c>
      <c r="AJ1177">
        <v>0</v>
      </c>
      <c r="AK1177">
        <v>0</v>
      </c>
      <c r="AL1177">
        <v>0</v>
      </c>
      <c r="AM1177">
        <v>0.04</v>
      </c>
      <c r="AN1177">
        <f t="shared" si="55"/>
        <v>3</v>
      </c>
      <c r="AO1177" t="str">
        <f t="shared" si="56"/>
        <v>Tuesday</v>
      </c>
    </row>
    <row r="1178" spans="1:41" x14ac:dyDescent="0.2">
      <c r="B1178" s="1">
        <v>45769</v>
      </c>
      <c r="C1178" s="1">
        <f t="shared" si="54"/>
        <v>45777</v>
      </c>
      <c r="D1178">
        <v>601</v>
      </c>
      <c r="E1178">
        <v>0</v>
      </c>
      <c r="F1178">
        <v>0</v>
      </c>
      <c r="G1178">
        <v>0</v>
      </c>
      <c r="H1178">
        <v>0</v>
      </c>
      <c r="I1178">
        <v>0</v>
      </c>
      <c r="J1178">
        <v>0</v>
      </c>
      <c r="K1178">
        <v>0</v>
      </c>
      <c r="AN1178">
        <f t="shared" si="55"/>
        <v>3</v>
      </c>
      <c r="AO1178" t="str">
        <f t="shared" si="56"/>
        <v>Tuesday</v>
      </c>
    </row>
    <row r="1179" spans="1:41" x14ac:dyDescent="0.2">
      <c r="A1179" t="s">
        <v>53</v>
      </c>
      <c r="B1179" s="1">
        <v>45768</v>
      </c>
      <c r="C1179" s="1">
        <f t="shared" si="54"/>
        <v>45777</v>
      </c>
      <c r="D1179">
        <v>7</v>
      </c>
      <c r="E1179">
        <v>14</v>
      </c>
      <c r="F1179">
        <v>4</v>
      </c>
      <c r="G1179">
        <v>0</v>
      </c>
      <c r="H1179">
        <v>2</v>
      </c>
      <c r="I1179">
        <v>0</v>
      </c>
      <c r="J1179">
        <v>0</v>
      </c>
      <c r="K1179">
        <v>4</v>
      </c>
      <c r="L1179" t="s">
        <v>53</v>
      </c>
      <c r="M1179" t="s">
        <v>38</v>
      </c>
      <c r="N1179" s="1">
        <v>45768</v>
      </c>
      <c r="O1179" s="2">
        <v>0.73043981481481479</v>
      </c>
      <c r="P1179" s="2">
        <v>0.91730324074074077</v>
      </c>
      <c r="Q1179">
        <v>4.4800000000000004</v>
      </c>
      <c r="R1179">
        <v>4.4800000000000004</v>
      </c>
      <c r="S1179">
        <v>0.31</v>
      </c>
      <c r="T1179">
        <v>0</v>
      </c>
      <c r="U1179">
        <v>0</v>
      </c>
      <c r="V1179">
        <v>0.35</v>
      </c>
      <c r="W1179">
        <v>3.53</v>
      </c>
      <c r="X1179">
        <v>0</v>
      </c>
      <c r="Y1179">
        <v>0.25</v>
      </c>
      <c r="Z1179">
        <v>0</v>
      </c>
      <c r="AA1179">
        <v>0.03</v>
      </c>
      <c r="AB1179">
        <v>0</v>
      </c>
      <c r="AC1179">
        <v>4.4800000000000004</v>
      </c>
      <c r="AD1179">
        <v>6.98</v>
      </c>
      <c r="AE1179">
        <v>0</v>
      </c>
      <c r="AF1179">
        <v>0</v>
      </c>
      <c r="AG1179">
        <v>7.79</v>
      </c>
      <c r="AH1179">
        <v>78.78</v>
      </c>
      <c r="AI1179">
        <v>0</v>
      </c>
      <c r="AJ1179">
        <v>5.64</v>
      </c>
      <c r="AK1179">
        <v>0</v>
      </c>
      <c r="AL1179">
        <v>0.71</v>
      </c>
      <c r="AM1179">
        <v>0.11</v>
      </c>
      <c r="AN1179">
        <f t="shared" si="55"/>
        <v>2</v>
      </c>
      <c r="AO1179" t="str">
        <f t="shared" si="56"/>
        <v>Monday</v>
      </c>
    </row>
    <row r="1180" spans="1:41" x14ac:dyDescent="0.2">
      <c r="A1180" t="s">
        <v>37</v>
      </c>
      <c r="B1180" s="1">
        <v>45768</v>
      </c>
      <c r="C1180" s="1">
        <f t="shared" si="54"/>
        <v>45777</v>
      </c>
      <c r="D1180">
        <v>25</v>
      </c>
      <c r="E1180">
        <v>74</v>
      </c>
      <c r="F1180">
        <v>2</v>
      </c>
      <c r="G1180">
        <v>4</v>
      </c>
      <c r="H1180">
        <v>1</v>
      </c>
      <c r="I1180">
        <v>1</v>
      </c>
      <c r="J1180">
        <v>0</v>
      </c>
      <c r="K1180">
        <v>54</v>
      </c>
      <c r="L1180" t="s">
        <v>37</v>
      </c>
      <c r="M1180" t="s">
        <v>38</v>
      </c>
      <c r="N1180" s="1">
        <v>45768</v>
      </c>
      <c r="O1180" s="2">
        <v>0.5423958333333333</v>
      </c>
      <c r="P1180" s="2">
        <v>0.91678240740740746</v>
      </c>
      <c r="Q1180">
        <v>8.98</v>
      </c>
      <c r="R1180">
        <v>8.24</v>
      </c>
      <c r="S1180">
        <v>0.91</v>
      </c>
      <c r="T1180">
        <v>0.15</v>
      </c>
      <c r="U1180">
        <v>0</v>
      </c>
      <c r="V1180">
        <v>0.18</v>
      </c>
      <c r="W1180">
        <v>6.21</v>
      </c>
      <c r="X1180">
        <v>0.65</v>
      </c>
      <c r="Y1180">
        <v>0</v>
      </c>
      <c r="Z1180">
        <v>0</v>
      </c>
      <c r="AA1180">
        <v>0</v>
      </c>
      <c r="AB1180">
        <v>0.13</v>
      </c>
      <c r="AC1180">
        <v>8.24</v>
      </c>
      <c r="AD1180">
        <v>11.04</v>
      </c>
      <c r="AE1180">
        <v>1.82</v>
      </c>
      <c r="AF1180">
        <v>0</v>
      </c>
      <c r="AG1180">
        <v>2.19</v>
      </c>
      <c r="AH1180">
        <v>75.400000000000006</v>
      </c>
      <c r="AI1180">
        <v>7.91</v>
      </c>
      <c r="AJ1180">
        <v>0</v>
      </c>
      <c r="AK1180">
        <v>0</v>
      </c>
      <c r="AL1180">
        <v>0</v>
      </c>
      <c r="AM1180">
        <v>1.64</v>
      </c>
      <c r="AN1180">
        <f t="shared" si="55"/>
        <v>2</v>
      </c>
      <c r="AO1180" t="str">
        <f t="shared" si="56"/>
        <v>Monday</v>
      </c>
    </row>
    <row r="1181" spans="1:41" x14ac:dyDescent="0.2">
      <c r="A1181" t="s">
        <v>52</v>
      </c>
      <c r="B1181" s="1">
        <v>45768</v>
      </c>
      <c r="C1181" s="1">
        <f t="shared" si="54"/>
        <v>45777</v>
      </c>
      <c r="D1181">
        <v>11</v>
      </c>
      <c r="E1181">
        <v>41</v>
      </c>
      <c r="F1181">
        <v>2</v>
      </c>
      <c r="G1181">
        <v>0</v>
      </c>
      <c r="H1181">
        <v>5</v>
      </c>
      <c r="I1181">
        <v>0</v>
      </c>
      <c r="J1181">
        <v>0</v>
      </c>
      <c r="K1181">
        <v>32</v>
      </c>
      <c r="L1181" t="s">
        <v>52</v>
      </c>
      <c r="M1181" t="s">
        <v>38</v>
      </c>
      <c r="N1181" s="1">
        <v>45768</v>
      </c>
      <c r="O1181" s="2">
        <v>0.54708333333333337</v>
      </c>
      <c r="P1181" s="2">
        <v>0.91987268518518517</v>
      </c>
      <c r="Q1181">
        <v>8.9499999999999993</v>
      </c>
      <c r="R1181">
        <v>8.9499999999999993</v>
      </c>
      <c r="S1181">
        <v>0.69</v>
      </c>
      <c r="T1181">
        <v>0.44</v>
      </c>
      <c r="U1181">
        <v>0</v>
      </c>
      <c r="V1181">
        <v>0.23</v>
      </c>
      <c r="W1181">
        <v>5.92</v>
      </c>
      <c r="X1181">
        <v>1.51</v>
      </c>
      <c r="Y1181">
        <v>0.14000000000000001</v>
      </c>
      <c r="Z1181">
        <v>0</v>
      </c>
      <c r="AA1181">
        <v>0</v>
      </c>
      <c r="AB1181">
        <v>0.01</v>
      </c>
      <c r="AC1181">
        <v>8.9499999999999993</v>
      </c>
      <c r="AD1181">
        <v>7.69</v>
      </c>
      <c r="AE1181">
        <v>4.97</v>
      </c>
      <c r="AF1181">
        <v>0</v>
      </c>
      <c r="AG1181">
        <v>2.62</v>
      </c>
      <c r="AH1181">
        <v>66.12</v>
      </c>
      <c r="AI1181">
        <v>16.91</v>
      </c>
      <c r="AJ1181">
        <v>1.6</v>
      </c>
      <c r="AK1181">
        <v>0</v>
      </c>
      <c r="AL1181">
        <v>0</v>
      </c>
      <c r="AM1181">
        <v>0.09</v>
      </c>
      <c r="AN1181">
        <f t="shared" si="55"/>
        <v>2</v>
      </c>
      <c r="AO1181" t="str">
        <f t="shared" si="56"/>
        <v>Monday</v>
      </c>
    </row>
    <row r="1182" spans="1:41" x14ac:dyDescent="0.2">
      <c r="A1182" t="s">
        <v>39</v>
      </c>
      <c r="B1182" s="1">
        <v>45768</v>
      </c>
      <c r="C1182" s="1">
        <f t="shared" si="54"/>
        <v>45777</v>
      </c>
      <c r="D1182">
        <v>17</v>
      </c>
      <c r="E1182">
        <v>39</v>
      </c>
      <c r="F1182">
        <v>7</v>
      </c>
      <c r="G1182">
        <v>1</v>
      </c>
      <c r="H1182">
        <v>3</v>
      </c>
      <c r="I1182">
        <v>0</v>
      </c>
      <c r="J1182">
        <v>0</v>
      </c>
      <c r="K1182">
        <v>19</v>
      </c>
      <c r="L1182" t="s">
        <v>39</v>
      </c>
      <c r="M1182" t="s">
        <v>38</v>
      </c>
      <c r="N1182" s="1">
        <v>45768</v>
      </c>
      <c r="O1182" s="2">
        <v>0.54216435185185186</v>
      </c>
      <c r="P1182" s="2">
        <v>0.91668981481481482</v>
      </c>
      <c r="Q1182">
        <v>9</v>
      </c>
      <c r="R1182">
        <v>8.99</v>
      </c>
      <c r="S1182">
        <v>0.72</v>
      </c>
      <c r="T1182">
        <v>0</v>
      </c>
      <c r="U1182">
        <v>0</v>
      </c>
      <c r="V1182">
        <v>0.02</v>
      </c>
      <c r="W1182">
        <v>6.26</v>
      </c>
      <c r="X1182">
        <v>1.48</v>
      </c>
      <c r="Y1182">
        <v>0.51</v>
      </c>
      <c r="Z1182">
        <v>0</v>
      </c>
      <c r="AA1182">
        <v>0</v>
      </c>
      <c r="AB1182">
        <v>0.01</v>
      </c>
      <c r="AC1182">
        <v>8.99</v>
      </c>
      <c r="AD1182">
        <v>8.0299999999999994</v>
      </c>
      <c r="AE1182">
        <v>0</v>
      </c>
      <c r="AF1182">
        <v>0</v>
      </c>
      <c r="AG1182">
        <v>0.18</v>
      </c>
      <c r="AH1182">
        <v>69.61</v>
      </c>
      <c r="AI1182">
        <v>16.440000000000001</v>
      </c>
      <c r="AJ1182">
        <v>5.69</v>
      </c>
      <c r="AK1182">
        <v>0</v>
      </c>
      <c r="AL1182">
        <v>0</v>
      </c>
      <c r="AM1182">
        <v>0.06</v>
      </c>
      <c r="AN1182">
        <f t="shared" si="55"/>
        <v>2</v>
      </c>
      <c r="AO1182" t="str">
        <f t="shared" si="56"/>
        <v>Monday</v>
      </c>
    </row>
    <row r="1183" spans="1:41" x14ac:dyDescent="0.2">
      <c r="A1183" t="s">
        <v>41</v>
      </c>
      <c r="B1183" s="1">
        <v>45768</v>
      </c>
      <c r="C1183" s="1">
        <f t="shared" si="54"/>
        <v>45777</v>
      </c>
      <c r="D1183">
        <v>29</v>
      </c>
      <c r="E1183">
        <v>61</v>
      </c>
      <c r="F1183">
        <v>3</v>
      </c>
      <c r="G1183">
        <v>8</v>
      </c>
      <c r="H1183">
        <v>6</v>
      </c>
      <c r="I1183">
        <v>2</v>
      </c>
      <c r="J1183">
        <v>0</v>
      </c>
      <c r="K1183">
        <v>31</v>
      </c>
      <c r="L1183" t="s">
        <v>41</v>
      </c>
      <c r="M1183" t="s">
        <v>38</v>
      </c>
      <c r="N1183" s="1">
        <v>45768</v>
      </c>
      <c r="O1183" s="2">
        <v>0.54353009259259255</v>
      </c>
      <c r="P1183" s="2">
        <v>0.91615740740740736</v>
      </c>
      <c r="Q1183">
        <v>8.9499999999999993</v>
      </c>
      <c r="R1183">
        <v>8.94</v>
      </c>
      <c r="S1183">
        <v>0.97</v>
      </c>
      <c r="T1183">
        <v>0.26</v>
      </c>
      <c r="U1183">
        <v>0</v>
      </c>
      <c r="V1183">
        <v>0.18</v>
      </c>
      <c r="W1183">
        <v>5.89</v>
      </c>
      <c r="X1183">
        <v>1.48</v>
      </c>
      <c r="Y1183">
        <v>0.16</v>
      </c>
      <c r="Z1183">
        <v>0</v>
      </c>
      <c r="AA1183">
        <v>0</v>
      </c>
      <c r="AB1183">
        <v>0</v>
      </c>
      <c r="AC1183">
        <v>8.94</v>
      </c>
      <c r="AD1183">
        <v>10.83</v>
      </c>
      <c r="AE1183">
        <v>2.86</v>
      </c>
      <c r="AF1183">
        <v>0</v>
      </c>
      <c r="AG1183">
        <v>2.0299999999999998</v>
      </c>
      <c r="AH1183">
        <v>65.87</v>
      </c>
      <c r="AI1183">
        <v>16.52</v>
      </c>
      <c r="AJ1183">
        <v>1.83</v>
      </c>
      <c r="AK1183">
        <v>0</v>
      </c>
      <c r="AL1183">
        <v>0</v>
      </c>
      <c r="AM1183">
        <v>0.05</v>
      </c>
      <c r="AN1183">
        <f t="shared" si="55"/>
        <v>2</v>
      </c>
      <c r="AO1183" t="str">
        <f t="shared" si="56"/>
        <v>Monday</v>
      </c>
    </row>
    <row r="1184" spans="1:41" x14ac:dyDescent="0.2">
      <c r="A1184" t="s">
        <v>43</v>
      </c>
      <c r="B1184" s="1">
        <v>45768</v>
      </c>
      <c r="C1184" s="1">
        <f t="shared" si="54"/>
        <v>45777</v>
      </c>
      <c r="D1184">
        <v>23</v>
      </c>
      <c r="E1184">
        <v>62</v>
      </c>
      <c r="F1184">
        <v>8</v>
      </c>
      <c r="G1184">
        <v>4</v>
      </c>
      <c r="H1184">
        <v>1</v>
      </c>
      <c r="I1184">
        <v>0</v>
      </c>
      <c r="J1184">
        <v>0</v>
      </c>
      <c r="K1184">
        <v>39</v>
      </c>
      <c r="L1184" t="s">
        <v>43</v>
      </c>
      <c r="M1184" t="s">
        <v>38</v>
      </c>
      <c r="N1184" s="1">
        <v>45768</v>
      </c>
      <c r="O1184" s="2">
        <v>0.54140046296296296</v>
      </c>
      <c r="P1184" s="2">
        <v>0.91675925925925927</v>
      </c>
      <c r="Q1184">
        <v>9.02</v>
      </c>
      <c r="R1184">
        <v>8.94</v>
      </c>
      <c r="S1184">
        <v>0.56999999999999995</v>
      </c>
      <c r="T1184">
        <v>0.12</v>
      </c>
      <c r="U1184">
        <v>0</v>
      </c>
      <c r="V1184">
        <v>0.19</v>
      </c>
      <c r="W1184">
        <v>6.32</v>
      </c>
      <c r="X1184">
        <v>1.5</v>
      </c>
      <c r="Y1184">
        <v>0.13</v>
      </c>
      <c r="Z1184">
        <v>0</v>
      </c>
      <c r="AA1184">
        <v>0.1</v>
      </c>
      <c r="AB1184">
        <v>0.02</v>
      </c>
      <c r="AC1184">
        <v>8.94</v>
      </c>
      <c r="AD1184">
        <v>6.35</v>
      </c>
      <c r="AE1184">
        <v>1.31</v>
      </c>
      <c r="AF1184">
        <v>0</v>
      </c>
      <c r="AG1184">
        <v>2.17</v>
      </c>
      <c r="AH1184">
        <v>70.63</v>
      </c>
      <c r="AI1184">
        <v>16.77</v>
      </c>
      <c r="AJ1184">
        <v>1.46</v>
      </c>
      <c r="AK1184">
        <v>0</v>
      </c>
      <c r="AL1184">
        <v>1.1399999999999999</v>
      </c>
      <c r="AM1184">
        <v>0.18</v>
      </c>
      <c r="AN1184">
        <f t="shared" si="55"/>
        <v>2</v>
      </c>
      <c r="AO1184" t="str">
        <f t="shared" si="56"/>
        <v>Monday</v>
      </c>
    </row>
    <row r="1185" spans="1:41" x14ac:dyDescent="0.2">
      <c r="B1185" s="1">
        <v>45768</v>
      </c>
      <c r="C1185" s="1">
        <f t="shared" si="54"/>
        <v>45777</v>
      </c>
      <c r="D1185">
        <v>640</v>
      </c>
      <c r="E1185">
        <v>0</v>
      </c>
      <c r="F1185">
        <v>0</v>
      </c>
      <c r="G1185">
        <v>0</v>
      </c>
      <c r="H1185">
        <v>0</v>
      </c>
      <c r="I1185">
        <v>0</v>
      </c>
      <c r="J1185">
        <v>0</v>
      </c>
      <c r="K1185">
        <v>0</v>
      </c>
      <c r="AN1185">
        <f t="shared" si="55"/>
        <v>2</v>
      </c>
      <c r="AO1185" t="str">
        <f t="shared" si="56"/>
        <v>Monday</v>
      </c>
    </row>
    <row r="1186" spans="1:41" x14ac:dyDescent="0.2">
      <c r="A1186" t="s">
        <v>37</v>
      </c>
      <c r="B1186" s="1">
        <v>45765</v>
      </c>
      <c r="C1186" s="1">
        <f t="shared" si="54"/>
        <v>45777</v>
      </c>
      <c r="D1186">
        <v>25</v>
      </c>
      <c r="E1186">
        <v>61</v>
      </c>
      <c r="F1186">
        <v>0</v>
      </c>
      <c r="G1186">
        <v>2</v>
      </c>
      <c r="H1186">
        <v>0</v>
      </c>
      <c r="I1186">
        <v>0</v>
      </c>
      <c r="J1186">
        <v>0</v>
      </c>
      <c r="K1186">
        <v>36</v>
      </c>
      <c r="L1186" t="s">
        <v>37</v>
      </c>
      <c r="M1186" t="s">
        <v>38</v>
      </c>
      <c r="N1186" s="1">
        <v>45765</v>
      </c>
      <c r="O1186" s="2">
        <v>0.54221064814814812</v>
      </c>
      <c r="P1186" s="2">
        <v>0.91728009259259258</v>
      </c>
      <c r="Q1186">
        <v>9</v>
      </c>
      <c r="R1186">
        <v>8.3000000000000007</v>
      </c>
      <c r="S1186">
        <v>0.37</v>
      </c>
      <c r="T1186">
        <v>7.0000000000000007E-2</v>
      </c>
      <c r="U1186">
        <v>0</v>
      </c>
      <c r="V1186">
        <v>0.14000000000000001</v>
      </c>
      <c r="W1186">
        <v>6.22</v>
      </c>
      <c r="X1186">
        <v>0.51</v>
      </c>
      <c r="Y1186">
        <v>0.96</v>
      </c>
      <c r="Z1186">
        <v>0</v>
      </c>
      <c r="AA1186">
        <v>0</v>
      </c>
      <c r="AB1186">
        <v>0.04</v>
      </c>
      <c r="AC1186">
        <v>8.3000000000000007</v>
      </c>
      <c r="AD1186">
        <v>4.4800000000000004</v>
      </c>
      <c r="AE1186">
        <v>0.8</v>
      </c>
      <c r="AF1186">
        <v>0</v>
      </c>
      <c r="AG1186">
        <v>1.63</v>
      </c>
      <c r="AH1186">
        <v>74.91</v>
      </c>
      <c r="AI1186">
        <v>6.17</v>
      </c>
      <c r="AJ1186">
        <v>11.52</v>
      </c>
      <c r="AK1186">
        <v>0</v>
      </c>
      <c r="AL1186">
        <v>0</v>
      </c>
      <c r="AM1186">
        <v>0.49</v>
      </c>
      <c r="AN1186">
        <f t="shared" si="55"/>
        <v>6</v>
      </c>
      <c r="AO1186" t="str">
        <f t="shared" si="56"/>
        <v>Friday</v>
      </c>
    </row>
    <row r="1187" spans="1:41" x14ac:dyDescent="0.2">
      <c r="A1187" t="s">
        <v>39</v>
      </c>
      <c r="B1187" s="1">
        <v>45765</v>
      </c>
      <c r="C1187" s="1">
        <f t="shared" si="54"/>
        <v>45777</v>
      </c>
      <c r="D1187">
        <v>20</v>
      </c>
      <c r="E1187">
        <v>49</v>
      </c>
      <c r="F1187">
        <v>3</v>
      </c>
      <c r="G1187">
        <v>2</v>
      </c>
      <c r="H1187">
        <v>3</v>
      </c>
      <c r="I1187">
        <v>0</v>
      </c>
      <c r="J1187">
        <v>0</v>
      </c>
      <c r="K1187">
        <v>33</v>
      </c>
      <c r="L1187" t="s">
        <v>39</v>
      </c>
      <c r="M1187" t="s">
        <v>38</v>
      </c>
      <c r="N1187" s="1">
        <v>45765</v>
      </c>
      <c r="O1187" s="2">
        <v>0.54248842592592594</v>
      </c>
      <c r="P1187" s="2">
        <v>0.91681712962962958</v>
      </c>
      <c r="Q1187">
        <v>8.98</v>
      </c>
      <c r="R1187">
        <v>8.98</v>
      </c>
      <c r="S1187">
        <v>0.56000000000000005</v>
      </c>
      <c r="T1187">
        <v>0</v>
      </c>
      <c r="U1187">
        <v>0</v>
      </c>
      <c r="V1187">
        <v>0.03</v>
      </c>
      <c r="W1187">
        <v>6.9</v>
      </c>
      <c r="X1187">
        <v>1.48</v>
      </c>
      <c r="Y1187">
        <v>0</v>
      </c>
      <c r="Z1187">
        <v>0</v>
      </c>
      <c r="AA1187">
        <v>0</v>
      </c>
      <c r="AB1187">
        <v>0.01</v>
      </c>
      <c r="AC1187">
        <v>8.98</v>
      </c>
      <c r="AD1187">
        <v>6.29</v>
      </c>
      <c r="AE1187">
        <v>0</v>
      </c>
      <c r="AF1187">
        <v>0</v>
      </c>
      <c r="AG1187">
        <v>0.32</v>
      </c>
      <c r="AH1187">
        <v>76.849999999999994</v>
      </c>
      <c r="AI1187">
        <v>16.47</v>
      </c>
      <c r="AJ1187">
        <v>0</v>
      </c>
      <c r="AK1187">
        <v>0</v>
      </c>
      <c r="AL1187">
        <v>0</v>
      </c>
      <c r="AM1187">
        <v>7.0000000000000007E-2</v>
      </c>
      <c r="AN1187">
        <f t="shared" si="55"/>
        <v>6</v>
      </c>
      <c r="AO1187" t="str">
        <f t="shared" si="56"/>
        <v>Friday</v>
      </c>
    </row>
    <row r="1188" spans="1:41" x14ac:dyDescent="0.2">
      <c r="A1188" t="s">
        <v>41</v>
      </c>
      <c r="B1188" s="1">
        <v>45765</v>
      </c>
      <c r="C1188" s="1">
        <f t="shared" si="54"/>
        <v>45777</v>
      </c>
      <c r="D1188">
        <v>23</v>
      </c>
      <c r="E1188">
        <v>57</v>
      </c>
      <c r="F1188">
        <v>2</v>
      </c>
      <c r="G1188">
        <v>4</v>
      </c>
      <c r="H1188">
        <v>3</v>
      </c>
      <c r="I1188">
        <v>0</v>
      </c>
      <c r="J1188">
        <v>0</v>
      </c>
      <c r="K1188">
        <v>39</v>
      </c>
      <c r="L1188" t="s">
        <v>41</v>
      </c>
      <c r="M1188" t="s">
        <v>38</v>
      </c>
      <c r="N1188" s="1">
        <v>45765</v>
      </c>
      <c r="O1188" s="2">
        <v>0.54398148148148151</v>
      </c>
      <c r="P1188" s="2">
        <v>0.91637731481481477</v>
      </c>
      <c r="Q1188">
        <v>8.93</v>
      </c>
      <c r="R1188">
        <v>8.94</v>
      </c>
      <c r="S1188">
        <v>0.62</v>
      </c>
      <c r="T1188">
        <v>0.41</v>
      </c>
      <c r="U1188">
        <v>0</v>
      </c>
      <c r="V1188">
        <v>0.14000000000000001</v>
      </c>
      <c r="W1188">
        <v>6.33</v>
      </c>
      <c r="X1188">
        <v>1.44</v>
      </c>
      <c r="Y1188">
        <v>0</v>
      </c>
      <c r="Z1188">
        <v>0</v>
      </c>
      <c r="AA1188">
        <v>0</v>
      </c>
      <c r="AB1188">
        <v>0</v>
      </c>
      <c r="AC1188">
        <v>8.94</v>
      </c>
      <c r="AD1188">
        <v>6.89</v>
      </c>
      <c r="AE1188">
        <v>4.6100000000000003</v>
      </c>
      <c r="AF1188">
        <v>0</v>
      </c>
      <c r="AG1188">
        <v>1.54</v>
      </c>
      <c r="AH1188">
        <v>70.790000000000006</v>
      </c>
      <c r="AI1188">
        <v>16.13</v>
      </c>
      <c r="AJ1188">
        <v>0</v>
      </c>
      <c r="AK1188">
        <v>0</v>
      </c>
      <c r="AL1188">
        <v>0</v>
      </c>
      <c r="AM1188">
        <v>0.05</v>
      </c>
      <c r="AN1188">
        <f t="shared" si="55"/>
        <v>6</v>
      </c>
      <c r="AO1188" t="str">
        <f t="shared" si="56"/>
        <v>Friday</v>
      </c>
    </row>
    <row r="1189" spans="1:41" x14ac:dyDescent="0.2">
      <c r="A1189" t="s">
        <v>43</v>
      </c>
      <c r="B1189" s="1">
        <v>45765</v>
      </c>
      <c r="C1189" s="1">
        <f t="shared" si="54"/>
        <v>45777</v>
      </c>
      <c r="D1189">
        <v>23</v>
      </c>
      <c r="E1189">
        <v>74</v>
      </c>
      <c r="F1189">
        <v>4</v>
      </c>
      <c r="G1189">
        <v>0</v>
      </c>
      <c r="H1189">
        <v>17</v>
      </c>
      <c r="I1189">
        <v>1</v>
      </c>
      <c r="J1189">
        <v>0</v>
      </c>
      <c r="K1189">
        <v>43</v>
      </c>
      <c r="L1189" t="s">
        <v>43</v>
      </c>
      <c r="M1189" t="s">
        <v>38</v>
      </c>
      <c r="N1189" s="1">
        <v>45765</v>
      </c>
      <c r="O1189" s="2">
        <v>0.54114583333333333</v>
      </c>
      <c r="P1189" s="2">
        <v>0.91748842592592594</v>
      </c>
      <c r="Q1189">
        <v>9.0299999999999994</v>
      </c>
      <c r="R1189">
        <v>9.0299999999999994</v>
      </c>
      <c r="S1189">
        <v>0.59</v>
      </c>
      <c r="T1189">
        <v>0.13</v>
      </c>
      <c r="U1189">
        <v>0</v>
      </c>
      <c r="V1189">
        <v>0.3</v>
      </c>
      <c r="W1189">
        <v>6.29</v>
      </c>
      <c r="X1189">
        <v>1.72</v>
      </c>
      <c r="Y1189">
        <v>0</v>
      </c>
      <c r="Z1189">
        <v>0</v>
      </c>
      <c r="AA1189">
        <v>0</v>
      </c>
      <c r="AB1189">
        <v>0</v>
      </c>
      <c r="AC1189">
        <v>9.0299999999999994</v>
      </c>
      <c r="AD1189">
        <v>6.51</v>
      </c>
      <c r="AE1189">
        <v>1.42</v>
      </c>
      <c r="AF1189">
        <v>0</v>
      </c>
      <c r="AG1189">
        <v>3.36</v>
      </c>
      <c r="AH1189">
        <v>69.599999999999994</v>
      </c>
      <c r="AI1189">
        <v>19.059999999999999</v>
      </c>
      <c r="AJ1189">
        <v>0</v>
      </c>
      <c r="AK1189">
        <v>0</v>
      </c>
      <c r="AL1189">
        <v>0</v>
      </c>
      <c r="AM1189">
        <v>0.05</v>
      </c>
      <c r="AN1189">
        <f t="shared" si="55"/>
        <v>6</v>
      </c>
      <c r="AO1189" t="str">
        <f t="shared" si="56"/>
        <v>Friday</v>
      </c>
    </row>
    <row r="1190" spans="1:41" x14ac:dyDescent="0.2">
      <c r="B1190" s="1">
        <v>45765</v>
      </c>
      <c r="C1190" s="1">
        <f t="shared" si="54"/>
        <v>45777</v>
      </c>
      <c r="D1190">
        <v>644</v>
      </c>
      <c r="E1190">
        <v>0</v>
      </c>
      <c r="F1190">
        <v>0</v>
      </c>
      <c r="G1190">
        <v>0</v>
      </c>
      <c r="H1190">
        <v>0</v>
      </c>
      <c r="I1190">
        <v>0</v>
      </c>
      <c r="J1190">
        <v>0</v>
      </c>
      <c r="K1190">
        <v>0</v>
      </c>
      <c r="AN1190">
        <f t="shared" si="55"/>
        <v>6</v>
      </c>
      <c r="AO1190" t="str">
        <f t="shared" si="56"/>
        <v>Friday</v>
      </c>
    </row>
    <row r="1191" spans="1:41" x14ac:dyDescent="0.2">
      <c r="A1191" t="s">
        <v>37</v>
      </c>
      <c r="B1191" s="1">
        <v>45764</v>
      </c>
      <c r="C1191" s="1">
        <f t="shared" si="54"/>
        <v>45777</v>
      </c>
      <c r="D1191">
        <v>16</v>
      </c>
      <c r="E1191">
        <v>47</v>
      </c>
      <c r="F1191">
        <v>0</v>
      </c>
      <c r="G1191">
        <v>3</v>
      </c>
      <c r="H1191">
        <v>1</v>
      </c>
      <c r="I1191">
        <v>0</v>
      </c>
      <c r="J1191">
        <v>0</v>
      </c>
      <c r="K1191">
        <v>31</v>
      </c>
      <c r="L1191" t="s">
        <v>37</v>
      </c>
      <c r="M1191" t="s">
        <v>38</v>
      </c>
      <c r="N1191" s="1">
        <v>45764</v>
      </c>
      <c r="O1191" s="2">
        <v>0.54214120370370367</v>
      </c>
      <c r="P1191" s="2">
        <v>0.916875</v>
      </c>
      <c r="Q1191">
        <v>9</v>
      </c>
      <c r="R1191">
        <v>8.09</v>
      </c>
      <c r="S1191">
        <v>0.37</v>
      </c>
      <c r="T1191">
        <v>0.06</v>
      </c>
      <c r="U1191">
        <v>0</v>
      </c>
      <c r="V1191">
        <v>0.13</v>
      </c>
      <c r="W1191">
        <v>6.93</v>
      </c>
      <c r="X1191">
        <v>0.57999999999999996</v>
      </c>
      <c r="Y1191">
        <v>0</v>
      </c>
      <c r="Z1191">
        <v>0</v>
      </c>
      <c r="AA1191">
        <v>0</v>
      </c>
      <c r="AB1191">
        <v>0.01</v>
      </c>
      <c r="AC1191">
        <v>8.09</v>
      </c>
      <c r="AD1191">
        <v>4.58</v>
      </c>
      <c r="AE1191">
        <v>0.77</v>
      </c>
      <c r="AF1191">
        <v>0</v>
      </c>
      <c r="AG1191">
        <v>1.63</v>
      </c>
      <c r="AH1191">
        <v>85.68</v>
      </c>
      <c r="AI1191">
        <v>7.19</v>
      </c>
      <c r="AJ1191">
        <v>0</v>
      </c>
      <c r="AK1191">
        <v>0</v>
      </c>
      <c r="AL1191">
        <v>0</v>
      </c>
      <c r="AM1191">
        <v>0.16</v>
      </c>
      <c r="AN1191">
        <f t="shared" si="55"/>
        <v>5</v>
      </c>
      <c r="AO1191" t="str">
        <f t="shared" si="56"/>
        <v>Thursday</v>
      </c>
    </row>
    <row r="1192" spans="1:41" x14ac:dyDescent="0.2">
      <c r="A1192" t="s">
        <v>39</v>
      </c>
      <c r="B1192" s="1">
        <v>45764</v>
      </c>
      <c r="C1192" s="1">
        <f t="shared" si="54"/>
        <v>45777</v>
      </c>
      <c r="D1192">
        <v>19</v>
      </c>
      <c r="E1192">
        <v>41</v>
      </c>
      <c r="F1192">
        <v>0</v>
      </c>
      <c r="G1192">
        <v>2</v>
      </c>
      <c r="H1192">
        <v>6</v>
      </c>
      <c r="I1192">
        <v>0</v>
      </c>
      <c r="J1192">
        <v>0</v>
      </c>
      <c r="K1192">
        <v>27</v>
      </c>
      <c r="L1192" t="s">
        <v>39</v>
      </c>
      <c r="M1192" t="s">
        <v>38</v>
      </c>
      <c r="N1192" s="1">
        <v>45764</v>
      </c>
      <c r="O1192" s="2">
        <v>0.54194444444444445</v>
      </c>
      <c r="P1192" s="2">
        <v>0.91692129629629626</v>
      </c>
      <c r="Q1192">
        <v>9</v>
      </c>
      <c r="R1192">
        <v>9</v>
      </c>
      <c r="S1192">
        <v>0.5</v>
      </c>
      <c r="T1192">
        <v>0</v>
      </c>
      <c r="U1192">
        <v>0</v>
      </c>
      <c r="V1192">
        <v>0.02</v>
      </c>
      <c r="W1192">
        <v>7</v>
      </c>
      <c r="X1192">
        <v>1.48</v>
      </c>
      <c r="Y1192">
        <v>0</v>
      </c>
      <c r="Z1192">
        <v>0</v>
      </c>
      <c r="AA1192">
        <v>0</v>
      </c>
      <c r="AB1192">
        <v>0</v>
      </c>
      <c r="AC1192">
        <v>9</v>
      </c>
      <c r="AD1192">
        <v>5.52</v>
      </c>
      <c r="AE1192">
        <v>0</v>
      </c>
      <c r="AF1192">
        <v>0</v>
      </c>
      <c r="AG1192">
        <v>0.22</v>
      </c>
      <c r="AH1192">
        <v>77.790000000000006</v>
      </c>
      <c r="AI1192">
        <v>16.43</v>
      </c>
      <c r="AJ1192">
        <v>0</v>
      </c>
      <c r="AK1192">
        <v>0</v>
      </c>
      <c r="AL1192">
        <v>0</v>
      </c>
      <c r="AM1192">
        <v>0.04</v>
      </c>
      <c r="AN1192">
        <f t="shared" si="55"/>
        <v>5</v>
      </c>
      <c r="AO1192" t="str">
        <f t="shared" si="56"/>
        <v>Thursday</v>
      </c>
    </row>
    <row r="1193" spans="1:41" x14ac:dyDescent="0.2">
      <c r="A1193" t="s">
        <v>41</v>
      </c>
      <c r="B1193" s="1">
        <v>45764</v>
      </c>
      <c r="C1193" s="1">
        <f t="shared" si="54"/>
        <v>45777</v>
      </c>
      <c r="D1193">
        <v>26</v>
      </c>
      <c r="E1193">
        <v>70</v>
      </c>
      <c r="F1193">
        <v>1</v>
      </c>
      <c r="G1193">
        <v>0</v>
      </c>
      <c r="H1193">
        <v>4</v>
      </c>
      <c r="I1193">
        <v>1</v>
      </c>
      <c r="J1193">
        <v>0</v>
      </c>
      <c r="K1193">
        <v>53</v>
      </c>
      <c r="L1193" t="s">
        <v>41</v>
      </c>
      <c r="M1193" t="s">
        <v>38</v>
      </c>
      <c r="N1193" s="1">
        <v>45764</v>
      </c>
      <c r="O1193" s="2">
        <v>0.54587962962962966</v>
      </c>
      <c r="P1193" s="2">
        <v>0.91740740740740745</v>
      </c>
      <c r="Q1193">
        <v>8.92</v>
      </c>
      <c r="R1193">
        <v>8.91</v>
      </c>
      <c r="S1193">
        <v>0.48</v>
      </c>
      <c r="T1193">
        <v>0.24</v>
      </c>
      <c r="U1193">
        <v>0</v>
      </c>
      <c r="V1193">
        <v>0.12</v>
      </c>
      <c r="W1193">
        <v>6.58</v>
      </c>
      <c r="X1193">
        <v>1.48</v>
      </c>
      <c r="Y1193">
        <v>0</v>
      </c>
      <c r="Z1193">
        <v>0</v>
      </c>
      <c r="AA1193">
        <v>0</v>
      </c>
      <c r="AB1193">
        <v>0.01</v>
      </c>
      <c r="AC1193">
        <v>8.91</v>
      </c>
      <c r="AD1193">
        <v>5.36</v>
      </c>
      <c r="AE1193">
        <v>2.65</v>
      </c>
      <c r="AF1193">
        <v>0</v>
      </c>
      <c r="AG1193">
        <v>1.39</v>
      </c>
      <c r="AH1193">
        <v>73.87</v>
      </c>
      <c r="AI1193">
        <v>16.64</v>
      </c>
      <c r="AJ1193">
        <v>0</v>
      </c>
      <c r="AK1193">
        <v>0</v>
      </c>
      <c r="AL1193">
        <v>0</v>
      </c>
      <c r="AM1193">
        <v>0.09</v>
      </c>
      <c r="AN1193">
        <f t="shared" si="55"/>
        <v>5</v>
      </c>
      <c r="AO1193" t="str">
        <f t="shared" si="56"/>
        <v>Thursday</v>
      </c>
    </row>
    <row r="1194" spans="1:41" x14ac:dyDescent="0.2">
      <c r="A1194" t="s">
        <v>43</v>
      </c>
      <c r="B1194" s="1">
        <v>45764</v>
      </c>
      <c r="C1194" s="1">
        <f t="shared" si="54"/>
        <v>45777</v>
      </c>
      <c r="D1194">
        <v>28</v>
      </c>
      <c r="E1194">
        <v>80</v>
      </c>
      <c r="F1194">
        <v>3</v>
      </c>
      <c r="G1194">
        <v>1</v>
      </c>
      <c r="H1194">
        <v>3</v>
      </c>
      <c r="I1194">
        <v>0</v>
      </c>
      <c r="J1194">
        <v>0</v>
      </c>
      <c r="K1194">
        <v>54</v>
      </c>
      <c r="L1194" t="s">
        <v>43</v>
      </c>
      <c r="M1194" t="s">
        <v>38</v>
      </c>
      <c r="N1194" s="1">
        <v>45764</v>
      </c>
      <c r="O1194" s="2">
        <v>0.54119212962962959</v>
      </c>
      <c r="P1194" s="2">
        <v>0.91696759259259264</v>
      </c>
      <c r="Q1194">
        <v>9.02</v>
      </c>
      <c r="R1194">
        <v>8.99</v>
      </c>
      <c r="S1194">
        <v>0.64</v>
      </c>
      <c r="T1194">
        <v>0.06</v>
      </c>
      <c r="U1194">
        <v>0</v>
      </c>
      <c r="V1194">
        <v>0.19</v>
      </c>
      <c r="W1194">
        <v>6.54</v>
      </c>
      <c r="X1194">
        <v>1.48</v>
      </c>
      <c r="Y1194">
        <v>0</v>
      </c>
      <c r="Z1194">
        <v>0</v>
      </c>
      <c r="AA1194">
        <v>7.0000000000000007E-2</v>
      </c>
      <c r="AB1194">
        <v>0.01</v>
      </c>
      <c r="AC1194">
        <v>8.99</v>
      </c>
      <c r="AD1194">
        <v>7.1</v>
      </c>
      <c r="AE1194">
        <v>0.64</v>
      </c>
      <c r="AF1194">
        <v>0</v>
      </c>
      <c r="AG1194">
        <v>2.17</v>
      </c>
      <c r="AH1194">
        <v>72.819999999999993</v>
      </c>
      <c r="AI1194">
        <v>16.43</v>
      </c>
      <c r="AJ1194">
        <v>0</v>
      </c>
      <c r="AK1194">
        <v>0</v>
      </c>
      <c r="AL1194">
        <v>0.72</v>
      </c>
      <c r="AM1194">
        <v>0.12</v>
      </c>
      <c r="AN1194">
        <f t="shared" si="55"/>
        <v>5</v>
      </c>
      <c r="AO1194" t="str">
        <f t="shared" si="56"/>
        <v>Thursday</v>
      </c>
    </row>
    <row r="1195" spans="1:41" x14ac:dyDescent="0.2">
      <c r="B1195" s="1">
        <v>45764</v>
      </c>
      <c r="C1195" s="1">
        <f t="shared" si="54"/>
        <v>45777</v>
      </c>
      <c r="D1195">
        <v>648</v>
      </c>
      <c r="E1195">
        <v>0</v>
      </c>
      <c r="F1195">
        <v>0</v>
      </c>
      <c r="G1195">
        <v>0</v>
      </c>
      <c r="H1195">
        <v>0</v>
      </c>
      <c r="I1195">
        <v>0</v>
      </c>
      <c r="J1195">
        <v>0</v>
      </c>
      <c r="K1195">
        <v>0</v>
      </c>
      <c r="AN1195">
        <f t="shared" si="55"/>
        <v>5</v>
      </c>
      <c r="AO1195" t="str">
        <f t="shared" si="56"/>
        <v>Thursday</v>
      </c>
    </row>
    <row r="1196" spans="1:41" x14ac:dyDescent="0.2">
      <c r="A1196" t="s">
        <v>37</v>
      </c>
      <c r="B1196" s="1">
        <v>45763</v>
      </c>
      <c r="C1196" s="1">
        <f t="shared" si="54"/>
        <v>45777</v>
      </c>
      <c r="D1196">
        <v>23</v>
      </c>
      <c r="E1196">
        <v>56</v>
      </c>
      <c r="F1196">
        <v>2</v>
      </c>
      <c r="G1196">
        <v>0</v>
      </c>
      <c r="H1196">
        <v>1</v>
      </c>
      <c r="I1196">
        <v>0</v>
      </c>
      <c r="J1196">
        <v>0</v>
      </c>
      <c r="K1196">
        <v>39</v>
      </c>
      <c r="L1196" t="s">
        <v>37</v>
      </c>
      <c r="M1196" t="s">
        <v>38</v>
      </c>
      <c r="N1196" s="1">
        <v>45763</v>
      </c>
      <c r="O1196" s="2">
        <v>0.54207175925925921</v>
      </c>
      <c r="P1196" s="2">
        <v>0.91748842592592594</v>
      </c>
      <c r="Q1196">
        <v>9.02</v>
      </c>
      <c r="R1196">
        <v>8.17</v>
      </c>
      <c r="S1196">
        <v>0.62</v>
      </c>
      <c r="T1196">
        <v>0.28999999999999998</v>
      </c>
      <c r="U1196">
        <v>0</v>
      </c>
      <c r="V1196">
        <v>0.22</v>
      </c>
      <c r="W1196">
        <v>6.12</v>
      </c>
      <c r="X1196">
        <v>0.51</v>
      </c>
      <c r="Y1196">
        <v>0.3</v>
      </c>
      <c r="Z1196">
        <v>0</v>
      </c>
      <c r="AA1196">
        <v>0</v>
      </c>
      <c r="AB1196">
        <v>0.12</v>
      </c>
      <c r="AC1196">
        <v>8.17</v>
      </c>
      <c r="AD1196">
        <v>7.54</v>
      </c>
      <c r="AE1196">
        <v>3.54</v>
      </c>
      <c r="AF1196">
        <v>0</v>
      </c>
      <c r="AG1196">
        <v>2.64</v>
      </c>
      <c r="AH1196">
        <v>74.900000000000006</v>
      </c>
      <c r="AI1196">
        <v>6.21</v>
      </c>
      <c r="AJ1196">
        <v>3.7</v>
      </c>
      <c r="AK1196">
        <v>0</v>
      </c>
      <c r="AL1196">
        <v>0</v>
      </c>
      <c r="AM1196">
        <v>1.46</v>
      </c>
      <c r="AN1196">
        <f t="shared" si="55"/>
        <v>4</v>
      </c>
      <c r="AO1196" t="str">
        <f t="shared" si="56"/>
        <v>Wednesday</v>
      </c>
    </row>
    <row r="1197" spans="1:41" x14ac:dyDescent="0.2">
      <c r="A1197" t="s">
        <v>39</v>
      </c>
      <c r="B1197" s="1">
        <v>45763</v>
      </c>
      <c r="C1197" s="1">
        <f t="shared" si="54"/>
        <v>45777</v>
      </c>
      <c r="D1197">
        <v>26</v>
      </c>
      <c r="E1197">
        <v>71</v>
      </c>
      <c r="F1197">
        <v>4</v>
      </c>
      <c r="G1197">
        <v>1</v>
      </c>
      <c r="H1197">
        <v>2</v>
      </c>
      <c r="I1197">
        <v>0</v>
      </c>
      <c r="J1197">
        <v>5</v>
      </c>
      <c r="K1197">
        <v>47</v>
      </c>
      <c r="L1197" t="s">
        <v>39</v>
      </c>
      <c r="M1197" t="s">
        <v>38</v>
      </c>
      <c r="N1197" s="1">
        <v>45763</v>
      </c>
      <c r="O1197" s="2">
        <v>0.54172453703703705</v>
      </c>
      <c r="P1197" s="2">
        <v>0.91745370370370372</v>
      </c>
      <c r="Q1197">
        <v>9.02</v>
      </c>
      <c r="R1197">
        <v>9.02</v>
      </c>
      <c r="S1197">
        <v>0.81</v>
      </c>
      <c r="T1197">
        <v>0.03</v>
      </c>
      <c r="U1197">
        <v>0</v>
      </c>
      <c r="V1197">
        <v>0.03</v>
      </c>
      <c r="W1197">
        <v>6.18</v>
      </c>
      <c r="X1197">
        <v>1.46</v>
      </c>
      <c r="Y1197">
        <v>0.49</v>
      </c>
      <c r="Z1197">
        <v>0</v>
      </c>
      <c r="AA1197">
        <v>0</v>
      </c>
      <c r="AB1197">
        <v>0</v>
      </c>
      <c r="AC1197">
        <v>9.02</v>
      </c>
      <c r="AD1197">
        <v>8.9499999999999993</v>
      </c>
      <c r="AE1197">
        <v>0.38</v>
      </c>
      <c r="AF1197">
        <v>0</v>
      </c>
      <c r="AG1197">
        <v>0.38</v>
      </c>
      <c r="AH1197">
        <v>68.55</v>
      </c>
      <c r="AI1197">
        <v>16.239999999999998</v>
      </c>
      <c r="AJ1197">
        <v>5.46</v>
      </c>
      <c r="AK1197">
        <v>0</v>
      </c>
      <c r="AL1197">
        <v>0</v>
      </c>
      <c r="AM1197">
        <v>0.05</v>
      </c>
      <c r="AN1197">
        <f t="shared" si="55"/>
        <v>4</v>
      </c>
      <c r="AO1197" t="str">
        <f t="shared" si="56"/>
        <v>Wednesday</v>
      </c>
    </row>
    <row r="1198" spans="1:41" x14ac:dyDescent="0.2">
      <c r="A1198" t="s">
        <v>41</v>
      </c>
      <c r="B1198" s="1">
        <v>45763</v>
      </c>
      <c r="C1198" s="1">
        <f t="shared" si="54"/>
        <v>45777</v>
      </c>
      <c r="D1198">
        <v>30</v>
      </c>
      <c r="E1198">
        <v>60</v>
      </c>
      <c r="F1198">
        <v>0</v>
      </c>
      <c r="G1198">
        <v>6</v>
      </c>
      <c r="H1198">
        <v>8</v>
      </c>
      <c r="I1198">
        <v>0</v>
      </c>
      <c r="J1198">
        <v>0</v>
      </c>
      <c r="K1198">
        <v>32</v>
      </c>
      <c r="L1198" t="s">
        <v>41</v>
      </c>
      <c r="M1198" t="s">
        <v>38</v>
      </c>
      <c r="N1198" s="1">
        <v>45763</v>
      </c>
      <c r="O1198" s="2">
        <v>0.54445601851851855</v>
      </c>
      <c r="P1198" s="2">
        <v>0.92013888888888884</v>
      </c>
      <c r="Q1198">
        <v>9.02</v>
      </c>
      <c r="R1198">
        <v>9.02</v>
      </c>
      <c r="S1198">
        <v>1.1100000000000001</v>
      </c>
      <c r="T1198">
        <v>0.13</v>
      </c>
      <c r="U1198">
        <v>0</v>
      </c>
      <c r="V1198">
        <v>0.18</v>
      </c>
      <c r="W1198">
        <v>5.85</v>
      </c>
      <c r="X1198">
        <v>1.47</v>
      </c>
      <c r="Y1198">
        <v>0.27</v>
      </c>
      <c r="Z1198">
        <v>0</v>
      </c>
      <c r="AA1198">
        <v>0</v>
      </c>
      <c r="AB1198">
        <v>0</v>
      </c>
      <c r="AC1198">
        <v>9.02</v>
      </c>
      <c r="AD1198">
        <v>12.31</v>
      </c>
      <c r="AE1198">
        <v>1.45</v>
      </c>
      <c r="AF1198">
        <v>0</v>
      </c>
      <c r="AG1198">
        <v>2.0499999999999998</v>
      </c>
      <c r="AH1198">
        <v>64.89</v>
      </c>
      <c r="AI1198">
        <v>16.32</v>
      </c>
      <c r="AJ1198">
        <v>2.94</v>
      </c>
      <c r="AK1198">
        <v>0</v>
      </c>
      <c r="AL1198">
        <v>0</v>
      </c>
      <c r="AM1198">
        <v>0.05</v>
      </c>
      <c r="AN1198">
        <f t="shared" si="55"/>
        <v>4</v>
      </c>
      <c r="AO1198" t="str">
        <f t="shared" si="56"/>
        <v>Wednesday</v>
      </c>
    </row>
    <row r="1199" spans="1:41" x14ac:dyDescent="0.2">
      <c r="A1199" t="s">
        <v>43</v>
      </c>
      <c r="B1199" s="1">
        <v>45763</v>
      </c>
      <c r="C1199" s="1">
        <f t="shared" si="54"/>
        <v>45777</v>
      </c>
      <c r="D1199">
        <v>22</v>
      </c>
      <c r="E1199">
        <v>75</v>
      </c>
      <c r="F1199">
        <v>4</v>
      </c>
      <c r="G1199">
        <v>8</v>
      </c>
      <c r="H1199">
        <v>8</v>
      </c>
      <c r="I1199">
        <v>0</v>
      </c>
      <c r="J1199">
        <v>0</v>
      </c>
      <c r="K1199">
        <v>37</v>
      </c>
      <c r="L1199" t="s">
        <v>43</v>
      </c>
      <c r="M1199" t="s">
        <v>38</v>
      </c>
      <c r="N1199" s="1">
        <v>45763</v>
      </c>
      <c r="O1199" s="2">
        <v>0.54107638888888887</v>
      </c>
      <c r="P1199" s="2">
        <v>0.91856481481481478</v>
      </c>
      <c r="Q1199">
        <v>9.0500000000000007</v>
      </c>
      <c r="R1199">
        <v>8.5</v>
      </c>
      <c r="S1199">
        <v>0.94</v>
      </c>
      <c r="T1199">
        <v>0.25</v>
      </c>
      <c r="U1199">
        <v>0</v>
      </c>
      <c r="V1199">
        <v>0.2</v>
      </c>
      <c r="W1199">
        <v>5.31</v>
      </c>
      <c r="X1199">
        <v>1.1499999999999999</v>
      </c>
      <c r="Y1199">
        <v>0.26</v>
      </c>
      <c r="Z1199">
        <v>0</v>
      </c>
      <c r="AA1199">
        <v>0.32</v>
      </c>
      <c r="AB1199">
        <v>7.0000000000000007E-2</v>
      </c>
      <c r="AC1199">
        <v>8.5</v>
      </c>
      <c r="AD1199">
        <v>11.05</v>
      </c>
      <c r="AE1199">
        <v>2.95</v>
      </c>
      <c r="AF1199">
        <v>0</v>
      </c>
      <c r="AG1199">
        <v>2.39</v>
      </c>
      <c r="AH1199">
        <v>62.49</v>
      </c>
      <c r="AI1199">
        <v>13.47</v>
      </c>
      <c r="AJ1199">
        <v>3.1</v>
      </c>
      <c r="AK1199">
        <v>0</v>
      </c>
      <c r="AL1199">
        <v>3.78</v>
      </c>
      <c r="AM1199">
        <v>0.76</v>
      </c>
      <c r="AN1199">
        <f t="shared" si="55"/>
        <v>4</v>
      </c>
      <c r="AO1199" t="str">
        <f t="shared" si="56"/>
        <v>Wednesday</v>
      </c>
    </row>
    <row r="1200" spans="1:41" x14ac:dyDescent="0.2">
      <c r="B1200" s="1">
        <v>45763</v>
      </c>
      <c r="C1200" s="1">
        <f t="shared" si="54"/>
        <v>45777</v>
      </c>
      <c r="D1200">
        <v>655</v>
      </c>
      <c r="E1200">
        <v>0</v>
      </c>
      <c r="F1200">
        <v>0</v>
      </c>
      <c r="G1200">
        <v>0</v>
      </c>
      <c r="H1200">
        <v>0</v>
      </c>
      <c r="I1200">
        <v>0</v>
      </c>
      <c r="J1200">
        <v>0</v>
      </c>
      <c r="K1200">
        <v>0</v>
      </c>
      <c r="AN1200">
        <f t="shared" si="55"/>
        <v>4</v>
      </c>
      <c r="AO1200" t="str">
        <f t="shared" si="56"/>
        <v>Wednesday</v>
      </c>
    </row>
    <row r="1201" spans="1:41" x14ac:dyDescent="0.2">
      <c r="A1201" t="s">
        <v>37</v>
      </c>
      <c r="B1201" s="1">
        <v>45762</v>
      </c>
      <c r="C1201" s="1">
        <f t="shared" si="54"/>
        <v>45777</v>
      </c>
      <c r="D1201">
        <v>35</v>
      </c>
      <c r="E1201">
        <v>87</v>
      </c>
      <c r="F1201">
        <v>11</v>
      </c>
      <c r="G1201">
        <v>8</v>
      </c>
      <c r="H1201">
        <v>3</v>
      </c>
      <c r="I1201">
        <v>3</v>
      </c>
      <c r="J1201">
        <v>2</v>
      </c>
      <c r="K1201">
        <v>43</v>
      </c>
      <c r="L1201" t="s">
        <v>37</v>
      </c>
      <c r="M1201" t="s">
        <v>38</v>
      </c>
      <c r="N1201" s="1">
        <v>45762</v>
      </c>
      <c r="O1201" s="2">
        <v>0.54212962962962963</v>
      </c>
      <c r="P1201" s="2">
        <v>0.91942129629629632</v>
      </c>
      <c r="Q1201">
        <v>9.0500000000000007</v>
      </c>
      <c r="R1201">
        <v>8.15</v>
      </c>
      <c r="S1201">
        <v>1.86</v>
      </c>
      <c r="T1201">
        <v>0.46</v>
      </c>
      <c r="U1201">
        <v>0</v>
      </c>
      <c r="V1201">
        <v>0.46</v>
      </c>
      <c r="W1201">
        <v>4.6900000000000004</v>
      </c>
      <c r="X1201">
        <v>0.47</v>
      </c>
      <c r="Y1201">
        <v>0.16</v>
      </c>
      <c r="Z1201">
        <v>0</v>
      </c>
      <c r="AA1201">
        <v>0</v>
      </c>
      <c r="AB1201">
        <v>0.05</v>
      </c>
      <c r="AC1201">
        <v>8.15</v>
      </c>
      <c r="AD1201">
        <v>22.84</v>
      </c>
      <c r="AE1201">
        <v>5.69</v>
      </c>
      <c r="AF1201">
        <v>0</v>
      </c>
      <c r="AG1201">
        <v>5.64</v>
      </c>
      <c r="AH1201">
        <v>57.48</v>
      </c>
      <c r="AI1201">
        <v>5.76</v>
      </c>
      <c r="AJ1201">
        <v>1.98</v>
      </c>
      <c r="AK1201">
        <v>0</v>
      </c>
      <c r="AL1201">
        <v>0</v>
      </c>
      <c r="AM1201">
        <v>0.61</v>
      </c>
      <c r="AN1201">
        <f t="shared" si="55"/>
        <v>3</v>
      </c>
      <c r="AO1201" t="str">
        <f t="shared" si="56"/>
        <v>Tuesday</v>
      </c>
    </row>
    <row r="1202" spans="1:41" x14ac:dyDescent="0.2">
      <c r="A1202" t="s">
        <v>39</v>
      </c>
      <c r="B1202" s="1">
        <v>45762</v>
      </c>
      <c r="C1202" s="1">
        <f t="shared" si="54"/>
        <v>45777</v>
      </c>
      <c r="D1202">
        <v>31</v>
      </c>
      <c r="E1202">
        <v>87</v>
      </c>
      <c r="F1202">
        <v>3</v>
      </c>
      <c r="G1202">
        <v>9</v>
      </c>
      <c r="H1202">
        <v>8</v>
      </c>
      <c r="I1202">
        <v>0</v>
      </c>
      <c r="J1202">
        <v>1</v>
      </c>
      <c r="K1202">
        <v>59</v>
      </c>
      <c r="L1202" t="s">
        <v>39</v>
      </c>
      <c r="M1202" t="s">
        <v>38</v>
      </c>
      <c r="N1202" s="1">
        <v>45762</v>
      </c>
      <c r="O1202" s="2">
        <v>0.54116898148148151</v>
      </c>
      <c r="P1202" s="2">
        <v>0.91674768518518523</v>
      </c>
      <c r="Q1202">
        <v>9.02</v>
      </c>
      <c r="R1202">
        <v>9.01</v>
      </c>
      <c r="S1202">
        <v>1.41</v>
      </c>
      <c r="T1202">
        <v>7.0000000000000007E-2</v>
      </c>
      <c r="U1202">
        <v>0</v>
      </c>
      <c r="V1202">
        <v>0.06</v>
      </c>
      <c r="W1202">
        <v>6</v>
      </c>
      <c r="X1202">
        <v>1.46</v>
      </c>
      <c r="Y1202">
        <v>0</v>
      </c>
      <c r="Z1202">
        <v>0</v>
      </c>
      <c r="AA1202">
        <v>0</v>
      </c>
      <c r="AB1202">
        <v>0.01</v>
      </c>
      <c r="AC1202">
        <v>9.01</v>
      </c>
      <c r="AD1202">
        <v>15.61</v>
      </c>
      <c r="AE1202">
        <v>0.82</v>
      </c>
      <c r="AF1202">
        <v>0</v>
      </c>
      <c r="AG1202">
        <v>0.63</v>
      </c>
      <c r="AH1202">
        <v>66.569999999999993</v>
      </c>
      <c r="AI1202">
        <v>16.2</v>
      </c>
      <c r="AJ1202">
        <v>0</v>
      </c>
      <c r="AK1202">
        <v>0</v>
      </c>
      <c r="AL1202">
        <v>0</v>
      </c>
      <c r="AM1202">
        <v>0.16</v>
      </c>
      <c r="AN1202">
        <f t="shared" si="55"/>
        <v>3</v>
      </c>
      <c r="AO1202" t="str">
        <f t="shared" si="56"/>
        <v>Tuesday</v>
      </c>
    </row>
    <row r="1203" spans="1:41" x14ac:dyDescent="0.2">
      <c r="A1203" t="s">
        <v>41</v>
      </c>
      <c r="B1203" s="1">
        <v>45762</v>
      </c>
      <c r="C1203" s="1">
        <f t="shared" si="54"/>
        <v>45777</v>
      </c>
      <c r="D1203">
        <v>18</v>
      </c>
      <c r="E1203">
        <v>31</v>
      </c>
      <c r="F1203">
        <v>3</v>
      </c>
      <c r="G1203">
        <v>2</v>
      </c>
      <c r="H1203">
        <v>3</v>
      </c>
      <c r="I1203">
        <v>0</v>
      </c>
      <c r="J1203">
        <v>0</v>
      </c>
      <c r="K1203">
        <v>9</v>
      </c>
      <c r="L1203" t="s">
        <v>41</v>
      </c>
      <c r="M1203" t="s">
        <v>38</v>
      </c>
      <c r="N1203" s="1">
        <v>45762</v>
      </c>
      <c r="O1203" s="2">
        <v>0.54231481481481481</v>
      </c>
      <c r="P1203" s="2">
        <v>0.91684027777777777</v>
      </c>
      <c r="Q1203">
        <v>9</v>
      </c>
      <c r="R1203">
        <v>6.07</v>
      </c>
      <c r="S1203">
        <v>0.95</v>
      </c>
      <c r="T1203">
        <v>0</v>
      </c>
      <c r="U1203">
        <v>0</v>
      </c>
      <c r="V1203">
        <v>0.08</v>
      </c>
      <c r="W1203">
        <v>4.54</v>
      </c>
      <c r="X1203">
        <v>0.49</v>
      </c>
      <c r="Y1203">
        <v>0</v>
      </c>
      <c r="Z1203">
        <v>0</v>
      </c>
      <c r="AA1203">
        <v>0</v>
      </c>
      <c r="AB1203">
        <v>0.01</v>
      </c>
      <c r="AC1203">
        <v>6.07</v>
      </c>
      <c r="AD1203">
        <v>15.67</v>
      </c>
      <c r="AE1203">
        <v>0</v>
      </c>
      <c r="AF1203">
        <v>0</v>
      </c>
      <c r="AG1203">
        <v>1.37</v>
      </c>
      <c r="AH1203">
        <v>74.72</v>
      </c>
      <c r="AI1203">
        <v>8.1199999999999992</v>
      </c>
      <c r="AJ1203">
        <v>0</v>
      </c>
      <c r="AK1203">
        <v>0</v>
      </c>
      <c r="AL1203">
        <v>0</v>
      </c>
      <c r="AM1203">
        <v>0.11</v>
      </c>
      <c r="AN1203">
        <f t="shared" si="55"/>
        <v>3</v>
      </c>
      <c r="AO1203" t="str">
        <f t="shared" si="56"/>
        <v>Tuesday</v>
      </c>
    </row>
    <row r="1204" spans="1:41" x14ac:dyDescent="0.2">
      <c r="A1204" t="s">
        <v>43</v>
      </c>
      <c r="B1204" s="1">
        <v>45762</v>
      </c>
      <c r="C1204" s="1">
        <f t="shared" si="54"/>
        <v>45777</v>
      </c>
      <c r="D1204">
        <v>38</v>
      </c>
      <c r="E1204">
        <v>114</v>
      </c>
      <c r="F1204">
        <v>5</v>
      </c>
      <c r="G1204">
        <v>4</v>
      </c>
      <c r="H1204">
        <v>5</v>
      </c>
      <c r="I1204">
        <v>1</v>
      </c>
      <c r="J1204">
        <v>0</v>
      </c>
      <c r="K1204">
        <v>79</v>
      </c>
      <c r="L1204" t="s">
        <v>43</v>
      </c>
      <c r="M1204" t="s">
        <v>38</v>
      </c>
      <c r="N1204" s="1">
        <v>45762</v>
      </c>
      <c r="O1204" s="2">
        <v>0.54076388888888893</v>
      </c>
      <c r="P1204" s="2">
        <v>0.91731481481481481</v>
      </c>
      <c r="Q1204">
        <v>9.0299999999999994</v>
      </c>
      <c r="R1204">
        <v>9.0399999999999991</v>
      </c>
      <c r="S1204">
        <v>1.55</v>
      </c>
      <c r="T1204">
        <v>0.1</v>
      </c>
      <c r="U1204">
        <v>0</v>
      </c>
      <c r="V1204">
        <v>0.48</v>
      </c>
      <c r="W1204">
        <v>5.4</v>
      </c>
      <c r="X1204">
        <v>1.52</v>
      </c>
      <c r="Y1204">
        <v>0</v>
      </c>
      <c r="Z1204">
        <v>0</v>
      </c>
      <c r="AA1204">
        <v>0</v>
      </c>
      <c r="AB1204">
        <v>0</v>
      </c>
      <c r="AC1204">
        <v>9.0399999999999991</v>
      </c>
      <c r="AD1204">
        <v>17.149999999999999</v>
      </c>
      <c r="AE1204">
        <v>1.06</v>
      </c>
      <c r="AF1204">
        <v>0</v>
      </c>
      <c r="AG1204">
        <v>5.27</v>
      </c>
      <c r="AH1204">
        <v>59.71</v>
      </c>
      <c r="AI1204">
        <v>16.77</v>
      </c>
      <c r="AJ1204">
        <v>0</v>
      </c>
      <c r="AK1204">
        <v>0</v>
      </c>
      <c r="AL1204">
        <v>0</v>
      </c>
      <c r="AM1204">
        <v>0.04</v>
      </c>
      <c r="AN1204">
        <f t="shared" si="55"/>
        <v>3</v>
      </c>
      <c r="AO1204" t="str">
        <f t="shared" si="56"/>
        <v>Tuesday</v>
      </c>
    </row>
    <row r="1205" spans="1:41" x14ac:dyDescent="0.2">
      <c r="A1205" t="s">
        <v>46</v>
      </c>
      <c r="B1205" s="1">
        <v>45762</v>
      </c>
      <c r="C1205" s="1">
        <f t="shared" si="54"/>
        <v>45777</v>
      </c>
      <c r="D1205">
        <v>1</v>
      </c>
      <c r="E1205">
        <v>2</v>
      </c>
      <c r="F1205">
        <v>1</v>
      </c>
      <c r="G1205">
        <v>0</v>
      </c>
      <c r="H1205">
        <v>0</v>
      </c>
      <c r="I1205">
        <v>0</v>
      </c>
      <c r="J1205">
        <v>0</v>
      </c>
      <c r="K1205">
        <v>0</v>
      </c>
      <c r="AN1205">
        <f t="shared" si="55"/>
        <v>3</v>
      </c>
      <c r="AO1205" t="str">
        <f t="shared" si="56"/>
        <v>Tuesday</v>
      </c>
    </row>
    <row r="1206" spans="1:41" x14ac:dyDescent="0.2">
      <c r="B1206" s="1">
        <v>45762</v>
      </c>
      <c r="C1206" s="1">
        <f t="shared" si="54"/>
        <v>45777</v>
      </c>
      <c r="D1206">
        <v>675</v>
      </c>
      <c r="E1206">
        <v>0</v>
      </c>
      <c r="F1206">
        <v>0</v>
      </c>
      <c r="G1206">
        <v>0</v>
      </c>
      <c r="H1206">
        <v>0</v>
      </c>
      <c r="I1206">
        <v>0</v>
      </c>
      <c r="J1206">
        <v>0</v>
      </c>
      <c r="K1206">
        <v>0</v>
      </c>
      <c r="AN1206">
        <f t="shared" si="55"/>
        <v>3</v>
      </c>
      <c r="AO1206" t="str">
        <f t="shared" si="56"/>
        <v>Tuesday</v>
      </c>
    </row>
    <row r="1207" spans="1:41" x14ac:dyDescent="0.2">
      <c r="A1207" t="s">
        <v>53</v>
      </c>
      <c r="B1207" s="1">
        <v>45761</v>
      </c>
      <c r="C1207" s="1">
        <f t="shared" si="54"/>
        <v>45777</v>
      </c>
      <c r="D1207">
        <v>1</v>
      </c>
      <c r="E1207">
        <v>4</v>
      </c>
      <c r="F1207">
        <v>1</v>
      </c>
      <c r="G1207">
        <v>0</v>
      </c>
      <c r="H1207">
        <v>0</v>
      </c>
      <c r="I1207">
        <v>0</v>
      </c>
      <c r="J1207">
        <v>0</v>
      </c>
      <c r="K1207">
        <v>0</v>
      </c>
      <c r="L1207" t="s">
        <v>53</v>
      </c>
      <c r="M1207" t="s">
        <v>38</v>
      </c>
      <c r="N1207" s="1">
        <v>45761</v>
      </c>
      <c r="O1207" s="2">
        <v>0.55549768518518516</v>
      </c>
      <c r="P1207" s="2">
        <v>0.83221064814814816</v>
      </c>
      <c r="Q1207">
        <v>6.65</v>
      </c>
      <c r="R1207">
        <v>10.130000000000001</v>
      </c>
      <c r="S1207">
        <v>0.92</v>
      </c>
      <c r="T1207">
        <v>0</v>
      </c>
      <c r="U1207">
        <v>0</v>
      </c>
      <c r="V1207">
        <v>7.0000000000000007E-2</v>
      </c>
      <c r="W1207">
        <v>8.7799999999999994</v>
      </c>
      <c r="X1207">
        <v>0</v>
      </c>
      <c r="Y1207">
        <v>0</v>
      </c>
      <c r="Z1207">
        <v>0</v>
      </c>
      <c r="AA1207">
        <v>0</v>
      </c>
      <c r="AB1207">
        <v>0.37</v>
      </c>
      <c r="AC1207">
        <v>10.130000000000001</v>
      </c>
      <c r="AD1207">
        <v>9.06</v>
      </c>
      <c r="AE1207">
        <v>0</v>
      </c>
      <c r="AF1207">
        <v>0</v>
      </c>
      <c r="AG1207">
        <v>0.68</v>
      </c>
      <c r="AH1207">
        <v>86.62</v>
      </c>
      <c r="AI1207">
        <v>0</v>
      </c>
      <c r="AJ1207">
        <v>0</v>
      </c>
      <c r="AK1207">
        <v>0</v>
      </c>
      <c r="AL1207">
        <v>0</v>
      </c>
      <c r="AM1207">
        <v>3.65</v>
      </c>
      <c r="AN1207">
        <f t="shared" si="55"/>
        <v>2</v>
      </c>
      <c r="AO1207" t="str">
        <f t="shared" si="56"/>
        <v>Monday</v>
      </c>
    </row>
    <row r="1208" spans="1:41" x14ac:dyDescent="0.2">
      <c r="A1208" t="s">
        <v>37</v>
      </c>
      <c r="B1208" s="1">
        <v>45761</v>
      </c>
      <c r="C1208" s="1">
        <f t="shared" si="54"/>
        <v>45777</v>
      </c>
      <c r="D1208">
        <v>25</v>
      </c>
      <c r="E1208">
        <v>69</v>
      </c>
      <c r="F1208">
        <v>7</v>
      </c>
      <c r="G1208">
        <v>3</v>
      </c>
      <c r="H1208">
        <v>5</v>
      </c>
      <c r="I1208">
        <v>0</v>
      </c>
      <c r="J1208">
        <v>0</v>
      </c>
      <c r="K1208">
        <v>44</v>
      </c>
      <c r="L1208" t="s">
        <v>37</v>
      </c>
      <c r="M1208" t="s">
        <v>38</v>
      </c>
      <c r="N1208" s="1">
        <v>45761</v>
      </c>
      <c r="O1208" s="2">
        <v>0.54211805555555559</v>
      </c>
      <c r="P1208" s="2">
        <v>0.91696759259259264</v>
      </c>
      <c r="Q1208">
        <v>9</v>
      </c>
      <c r="R1208">
        <v>8.08</v>
      </c>
      <c r="S1208">
        <v>1.6</v>
      </c>
      <c r="T1208">
        <v>7.0000000000000007E-2</v>
      </c>
      <c r="U1208">
        <v>0</v>
      </c>
      <c r="V1208">
        <v>0.34</v>
      </c>
      <c r="W1208">
        <v>5.36</v>
      </c>
      <c r="X1208">
        <v>0.6</v>
      </c>
      <c r="Y1208">
        <v>0</v>
      </c>
      <c r="Z1208">
        <v>0</v>
      </c>
      <c r="AA1208">
        <v>0</v>
      </c>
      <c r="AB1208">
        <v>0.11</v>
      </c>
      <c r="AC1208">
        <v>8.08</v>
      </c>
      <c r="AD1208">
        <v>19.809999999999999</v>
      </c>
      <c r="AE1208">
        <v>0.93</v>
      </c>
      <c r="AF1208">
        <v>0</v>
      </c>
      <c r="AG1208">
        <v>4.1900000000000004</v>
      </c>
      <c r="AH1208">
        <v>66.33</v>
      </c>
      <c r="AI1208">
        <v>7.38</v>
      </c>
      <c r="AJ1208">
        <v>0</v>
      </c>
      <c r="AK1208">
        <v>0</v>
      </c>
      <c r="AL1208">
        <v>0</v>
      </c>
      <c r="AM1208">
        <v>1.37</v>
      </c>
      <c r="AN1208">
        <f t="shared" si="55"/>
        <v>2</v>
      </c>
      <c r="AO1208" t="str">
        <f t="shared" si="56"/>
        <v>Monday</v>
      </c>
    </row>
    <row r="1209" spans="1:41" x14ac:dyDescent="0.2">
      <c r="A1209" t="s">
        <v>39</v>
      </c>
      <c r="B1209" s="1">
        <v>45761</v>
      </c>
      <c r="C1209" s="1">
        <f t="shared" si="54"/>
        <v>45777</v>
      </c>
      <c r="D1209">
        <v>37</v>
      </c>
      <c r="E1209">
        <v>112</v>
      </c>
      <c r="F1209">
        <v>10</v>
      </c>
      <c r="G1209">
        <v>6</v>
      </c>
      <c r="H1209">
        <v>11</v>
      </c>
      <c r="I1209">
        <v>0</v>
      </c>
      <c r="J1209">
        <v>0</v>
      </c>
      <c r="K1209">
        <v>72</v>
      </c>
      <c r="L1209" t="s">
        <v>39</v>
      </c>
      <c r="M1209" t="s">
        <v>38</v>
      </c>
      <c r="N1209" s="1">
        <v>45761</v>
      </c>
      <c r="O1209" s="2">
        <v>0.54155092592592591</v>
      </c>
      <c r="P1209" s="2">
        <v>0.91672453703703705</v>
      </c>
      <c r="Q1209">
        <v>9.02</v>
      </c>
      <c r="R1209">
        <v>9</v>
      </c>
      <c r="S1209">
        <v>1.62</v>
      </c>
      <c r="T1209">
        <v>0.08</v>
      </c>
      <c r="U1209">
        <v>0</v>
      </c>
      <c r="V1209">
        <v>0.03</v>
      </c>
      <c r="W1209">
        <v>5.82</v>
      </c>
      <c r="X1209">
        <v>1.45</v>
      </c>
      <c r="Y1209">
        <v>0</v>
      </c>
      <c r="Z1209">
        <v>0</v>
      </c>
      <c r="AA1209">
        <v>0</v>
      </c>
      <c r="AB1209">
        <v>0.01</v>
      </c>
      <c r="AC1209">
        <v>9</v>
      </c>
      <c r="AD1209">
        <v>17.97</v>
      </c>
      <c r="AE1209">
        <v>0.91</v>
      </c>
      <c r="AF1209">
        <v>0</v>
      </c>
      <c r="AG1209">
        <v>0.35</v>
      </c>
      <c r="AH1209">
        <v>64.63</v>
      </c>
      <c r="AI1209">
        <v>16.07</v>
      </c>
      <c r="AJ1209">
        <v>0</v>
      </c>
      <c r="AK1209">
        <v>0</v>
      </c>
      <c r="AL1209">
        <v>0</v>
      </c>
      <c r="AM1209">
        <v>7.0000000000000007E-2</v>
      </c>
      <c r="AN1209">
        <f t="shared" si="55"/>
        <v>2</v>
      </c>
      <c r="AO1209" t="str">
        <f t="shared" si="56"/>
        <v>Monday</v>
      </c>
    </row>
    <row r="1210" spans="1:41" x14ac:dyDescent="0.2">
      <c r="A1210" t="s">
        <v>41</v>
      </c>
      <c r="B1210" s="1">
        <v>45761</v>
      </c>
      <c r="C1210" s="1">
        <f t="shared" si="54"/>
        <v>45777</v>
      </c>
      <c r="D1210">
        <v>32</v>
      </c>
      <c r="E1210">
        <v>74</v>
      </c>
      <c r="F1210">
        <v>7</v>
      </c>
      <c r="G1210">
        <v>10</v>
      </c>
      <c r="H1210">
        <v>11</v>
      </c>
      <c r="I1210">
        <v>0</v>
      </c>
      <c r="J1210">
        <v>0</v>
      </c>
      <c r="K1210">
        <v>41</v>
      </c>
      <c r="L1210" t="s">
        <v>41</v>
      </c>
      <c r="M1210" t="s">
        <v>38</v>
      </c>
      <c r="N1210" s="1">
        <v>45761</v>
      </c>
      <c r="O1210" s="2">
        <v>0.54269675925925931</v>
      </c>
      <c r="P1210" s="2">
        <v>0.91723379629629631</v>
      </c>
      <c r="Q1210">
        <v>8.98</v>
      </c>
      <c r="R1210">
        <v>8.84</v>
      </c>
      <c r="S1210">
        <v>1.05</v>
      </c>
      <c r="T1210">
        <v>0.4</v>
      </c>
      <c r="U1210">
        <v>0</v>
      </c>
      <c r="V1210">
        <v>0.27</v>
      </c>
      <c r="W1210">
        <v>5.74</v>
      </c>
      <c r="X1210">
        <v>1.36</v>
      </c>
      <c r="Y1210">
        <v>0</v>
      </c>
      <c r="Z1210">
        <v>0</v>
      </c>
      <c r="AA1210">
        <v>0</v>
      </c>
      <c r="AB1210">
        <v>0.01</v>
      </c>
      <c r="AC1210">
        <v>8.84</v>
      </c>
      <c r="AD1210">
        <v>11.91</v>
      </c>
      <c r="AE1210">
        <v>4.53</v>
      </c>
      <c r="AF1210">
        <v>0</v>
      </c>
      <c r="AG1210">
        <v>3.08</v>
      </c>
      <c r="AH1210">
        <v>64.94</v>
      </c>
      <c r="AI1210">
        <v>15.43</v>
      </c>
      <c r="AJ1210">
        <v>0</v>
      </c>
      <c r="AK1210">
        <v>0</v>
      </c>
      <c r="AL1210">
        <v>0</v>
      </c>
      <c r="AM1210">
        <v>0.1</v>
      </c>
      <c r="AN1210">
        <f t="shared" si="55"/>
        <v>2</v>
      </c>
      <c r="AO1210" t="str">
        <f t="shared" si="56"/>
        <v>Monday</v>
      </c>
    </row>
    <row r="1211" spans="1:41" x14ac:dyDescent="0.2">
      <c r="A1211" t="s">
        <v>42</v>
      </c>
      <c r="B1211" s="1">
        <v>45761</v>
      </c>
      <c r="C1211" s="1">
        <f t="shared" si="54"/>
        <v>45777</v>
      </c>
      <c r="D1211">
        <v>1</v>
      </c>
      <c r="E1211">
        <v>2</v>
      </c>
      <c r="F1211">
        <v>0</v>
      </c>
      <c r="G1211">
        <v>0</v>
      </c>
      <c r="H1211">
        <v>0</v>
      </c>
      <c r="I1211">
        <v>0</v>
      </c>
      <c r="J1211">
        <v>1</v>
      </c>
      <c r="K1211">
        <v>0</v>
      </c>
      <c r="L1211" t="s">
        <v>42</v>
      </c>
      <c r="M1211" t="s">
        <v>38</v>
      </c>
      <c r="N1211" s="1">
        <v>45761</v>
      </c>
      <c r="O1211" s="2">
        <v>0.65886574074074078</v>
      </c>
      <c r="P1211" s="2">
        <v>0.72259259259259256</v>
      </c>
      <c r="Q1211">
        <v>1.53</v>
      </c>
      <c r="R1211">
        <v>0.26</v>
      </c>
      <c r="S1211">
        <v>0.24</v>
      </c>
      <c r="T1211">
        <v>0</v>
      </c>
      <c r="U1211">
        <v>0</v>
      </c>
      <c r="V1211">
        <v>0.01</v>
      </c>
      <c r="W1211">
        <v>0</v>
      </c>
      <c r="X1211">
        <v>0</v>
      </c>
      <c r="Y1211">
        <v>0</v>
      </c>
      <c r="Z1211">
        <v>0</v>
      </c>
      <c r="AA1211">
        <v>0</v>
      </c>
      <c r="AB1211">
        <v>0.01</v>
      </c>
      <c r="AC1211">
        <v>0.26</v>
      </c>
      <c r="AD1211">
        <v>94.26</v>
      </c>
      <c r="AE1211">
        <v>0</v>
      </c>
      <c r="AF1211">
        <v>0</v>
      </c>
      <c r="AG1211">
        <v>2.4900000000000002</v>
      </c>
      <c r="AH1211">
        <v>0</v>
      </c>
      <c r="AI1211">
        <v>0</v>
      </c>
      <c r="AJ1211">
        <v>0</v>
      </c>
      <c r="AK1211">
        <v>0</v>
      </c>
      <c r="AL1211">
        <v>0</v>
      </c>
      <c r="AM1211">
        <v>3.25</v>
      </c>
      <c r="AN1211">
        <f t="shared" si="55"/>
        <v>2</v>
      </c>
      <c r="AO1211" t="str">
        <f t="shared" si="56"/>
        <v>Monday</v>
      </c>
    </row>
    <row r="1212" spans="1:41" x14ac:dyDescent="0.2">
      <c r="A1212" t="s">
        <v>43</v>
      </c>
      <c r="B1212" s="1">
        <v>45761</v>
      </c>
      <c r="C1212" s="1">
        <f t="shared" si="54"/>
        <v>45777</v>
      </c>
      <c r="D1212">
        <v>39</v>
      </c>
      <c r="E1212">
        <v>122</v>
      </c>
      <c r="F1212">
        <v>17</v>
      </c>
      <c r="G1212">
        <v>2</v>
      </c>
      <c r="H1212">
        <v>23</v>
      </c>
      <c r="I1212">
        <v>0</v>
      </c>
      <c r="J1212">
        <v>0</v>
      </c>
      <c r="K1212">
        <v>61</v>
      </c>
      <c r="L1212" t="s">
        <v>43</v>
      </c>
      <c r="M1212" t="s">
        <v>38</v>
      </c>
      <c r="N1212" s="1">
        <v>45761</v>
      </c>
      <c r="O1212" s="2">
        <v>0.54049768518518515</v>
      </c>
      <c r="P1212" s="2">
        <v>0.91775462962962961</v>
      </c>
      <c r="Q1212">
        <v>9.0500000000000007</v>
      </c>
      <c r="R1212">
        <v>9.0500000000000007</v>
      </c>
      <c r="S1212">
        <v>1.26</v>
      </c>
      <c r="T1212">
        <v>0.15</v>
      </c>
      <c r="U1212">
        <v>0</v>
      </c>
      <c r="V1212">
        <v>0.51</v>
      </c>
      <c r="W1212">
        <v>5.69</v>
      </c>
      <c r="X1212">
        <v>1.44</v>
      </c>
      <c r="Y1212">
        <v>0</v>
      </c>
      <c r="Z1212">
        <v>0</v>
      </c>
      <c r="AA1212">
        <v>0</v>
      </c>
      <c r="AB1212">
        <v>0</v>
      </c>
      <c r="AC1212">
        <v>9.0500000000000007</v>
      </c>
      <c r="AD1212">
        <v>13.93</v>
      </c>
      <c r="AE1212">
        <v>1.65</v>
      </c>
      <c r="AF1212">
        <v>0</v>
      </c>
      <c r="AG1212">
        <v>5.6</v>
      </c>
      <c r="AH1212">
        <v>62.85</v>
      </c>
      <c r="AI1212">
        <v>15.92</v>
      </c>
      <c r="AJ1212">
        <v>0</v>
      </c>
      <c r="AK1212">
        <v>0</v>
      </c>
      <c r="AL1212">
        <v>0</v>
      </c>
      <c r="AM1212">
        <v>0.04</v>
      </c>
      <c r="AN1212">
        <f t="shared" si="55"/>
        <v>2</v>
      </c>
      <c r="AO1212" t="str">
        <f t="shared" si="56"/>
        <v>Monday</v>
      </c>
    </row>
    <row r="1213" spans="1:41" x14ac:dyDescent="0.2">
      <c r="B1213" s="1">
        <v>45761</v>
      </c>
      <c r="C1213" s="1">
        <f t="shared" si="54"/>
        <v>45777</v>
      </c>
      <c r="D1213">
        <v>618</v>
      </c>
      <c r="E1213">
        <v>0</v>
      </c>
      <c r="F1213">
        <v>0</v>
      </c>
      <c r="G1213">
        <v>0</v>
      </c>
      <c r="H1213">
        <v>0</v>
      </c>
      <c r="I1213">
        <v>0</v>
      </c>
      <c r="J1213">
        <v>0</v>
      </c>
      <c r="K1213">
        <v>0</v>
      </c>
      <c r="AN1213">
        <f t="shared" si="55"/>
        <v>2</v>
      </c>
      <c r="AO1213" t="str">
        <f t="shared" si="56"/>
        <v>Monday</v>
      </c>
    </row>
    <row r="1214" spans="1:41" x14ac:dyDescent="0.2">
      <c r="A1214" t="s">
        <v>37</v>
      </c>
      <c r="B1214" s="1">
        <v>45758</v>
      </c>
      <c r="C1214" s="1">
        <f t="shared" si="54"/>
        <v>45777</v>
      </c>
      <c r="D1214">
        <v>32</v>
      </c>
      <c r="E1214">
        <v>90</v>
      </c>
      <c r="F1214">
        <v>4</v>
      </c>
      <c r="G1214">
        <v>5</v>
      </c>
      <c r="H1214">
        <v>1</v>
      </c>
      <c r="I1214">
        <v>1</v>
      </c>
      <c r="J1214">
        <v>4</v>
      </c>
      <c r="K1214">
        <v>58</v>
      </c>
      <c r="L1214" t="s">
        <v>37</v>
      </c>
      <c r="M1214" t="s">
        <v>38</v>
      </c>
      <c r="N1214" s="1">
        <v>45758</v>
      </c>
      <c r="O1214" s="2">
        <v>0.54216435185185186</v>
      </c>
      <c r="P1214" s="2">
        <v>0.91692129629629626</v>
      </c>
      <c r="Q1214">
        <v>9</v>
      </c>
      <c r="R1214">
        <v>8.09</v>
      </c>
      <c r="S1214">
        <v>1.1499999999999999</v>
      </c>
      <c r="T1214">
        <v>0.68</v>
      </c>
      <c r="U1214">
        <v>0</v>
      </c>
      <c r="V1214">
        <v>0.34</v>
      </c>
      <c r="W1214">
        <v>5.44</v>
      </c>
      <c r="X1214">
        <v>0.35</v>
      </c>
      <c r="Y1214">
        <v>0</v>
      </c>
      <c r="Z1214">
        <v>0</v>
      </c>
      <c r="AA1214">
        <v>0</v>
      </c>
      <c r="AB1214">
        <v>0.13</v>
      </c>
      <c r="AC1214">
        <v>8.09</v>
      </c>
      <c r="AD1214">
        <v>14.17</v>
      </c>
      <c r="AE1214">
        <v>8.43</v>
      </c>
      <c r="AF1214">
        <v>0</v>
      </c>
      <c r="AG1214">
        <v>4.1900000000000004</v>
      </c>
      <c r="AH1214">
        <v>67.260000000000005</v>
      </c>
      <c r="AI1214">
        <v>4.3600000000000003</v>
      </c>
      <c r="AJ1214">
        <v>0</v>
      </c>
      <c r="AK1214">
        <v>0</v>
      </c>
      <c r="AL1214">
        <v>0</v>
      </c>
      <c r="AM1214">
        <v>1.58</v>
      </c>
      <c r="AN1214">
        <f t="shared" si="55"/>
        <v>6</v>
      </c>
      <c r="AO1214" t="str">
        <f t="shared" si="56"/>
        <v>Friday</v>
      </c>
    </row>
    <row r="1215" spans="1:41" x14ac:dyDescent="0.2">
      <c r="A1215" t="s">
        <v>39</v>
      </c>
      <c r="B1215" s="1">
        <v>45758</v>
      </c>
      <c r="C1215" s="1">
        <f t="shared" si="54"/>
        <v>45777</v>
      </c>
      <c r="D1215">
        <v>26</v>
      </c>
      <c r="E1215">
        <v>66</v>
      </c>
      <c r="F1215">
        <v>4</v>
      </c>
      <c r="G1215">
        <v>1</v>
      </c>
      <c r="H1215">
        <v>3</v>
      </c>
      <c r="I1215">
        <v>2</v>
      </c>
      <c r="J1215">
        <v>2</v>
      </c>
      <c r="K1215">
        <v>46</v>
      </c>
      <c r="L1215" t="s">
        <v>39</v>
      </c>
      <c r="M1215" t="s">
        <v>38</v>
      </c>
      <c r="N1215" s="1">
        <v>45758</v>
      </c>
      <c r="O1215" s="2">
        <v>0.54193287037037041</v>
      </c>
      <c r="P1215" s="2">
        <v>0.91668981481481482</v>
      </c>
      <c r="Q1215">
        <v>9</v>
      </c>
      <c r="R1215">
        <v>8.99</v>
      </c>
      <c r="S1215">
        <v>2.16</v>
      </c>
      <c r="T1215">
        <v>0</v>
      </c>
      <c r="U1215">
        <v>0</v>
      </c>
      <c r="V1215">
        <v>0.03</v>
      </c>
      <c r="W1215">
        <v>5.31</v>
      </c>
      <c r="X1215">
        <v>1.49</v>
      </c>
      <c r="Y1215">
        <v>0</v>
      </c>
      <c r="Z1215">
        <v>0</v>
      </c>
      <c r="AA1215">
        <v>0</v>
      </c>
      <c r="AB1215">
        <v>0</v>
      </c>
      <c r="AC1215">
        <v>8.99</v>
      </c>
      <c r="AD1215">
        <v>24.01</v>
      </c>
      <c r="AE1215">
        <v>0</v>
      </c>
      <c r="AF1215">
        <v>0</v>
      </c>
      <c r="AG1215">
        <v>0.33</v>
      </c>
      <c r="AH1215">
        <v>59</v>
      </c>
      <c r="AI1215">
        <v>16.62</v>
      </c>
      <c r="AJ1215">
        <v>0</v>
      </c>
      <c r="AK1215">
        <v>0</v>
      </c>
      <c r="AL1215">
        <v>0</v>
      </c>
      <c r="AM1215">
        <v>0.04</v>
      </c>
      <c r="AN1215">
        <f t="shared" si="55"/>
        <v>6</v>
      </c>
      <c r="AO1215" t="str">
        <f t="shared" si="56"/>
        <v>Friday</v>
      </c>
    </row>
    <row r="1216" spans="1:41" x14ac:dyDescent="0.2">
      <c r="A1216" t="s">
        <v>42</v>
      </c>
      <c r="B1216" s="1">
        <v>45758</v>
      </c>
      <c r="C1216" s="1">
        <f t="shared" si="54"/>
        <v>45777</v>
      </c>
      <c r="D1216">
        <v>1</v>
      </c>
      <c r="E1216">
        <v>2</v>
      </c>
      <c r="F1216">
        <v>0</v>
      </c>
      <c r="G1216">
        <v>0</v>
      </c>
      <c r="H1216">
        <v>0</v>
      </c>
      <c r="I1216">
        <v>0</v>
      </c>
      <c r="J1216">
        <v>0</v>
      </c>
      <c r="K1216">
        <v>0</v>
      </c>
      <c r="L1216" t="s">
        <v>42</v>
      </c>
      <c r="M1216" t="s">
        <v>38</v>
      </c>
      <c r="N1216" s="1">
        <v>45758</v>
      </c>
      <c r="O1216" s="2">
        <v>0.68495370370370368</v>
      </c>
      <c r="P1216" s="2">
        <v>0.6932638888888889</v>
      </c>
      <c r="Q1216">
        <v>0.2</v>
      </c>
      <c r="R1216">
        <v>7.0000000000000007E-2</v>
      </c>
      <c r="S1216">
        <v>0.05</v>
      </c>
      <c r="T1216">
        <v>0</v>
      </c>
      <c r="U1216">
        <v>0</v>
      </c>
      <c r="V1216">
        <v>0.01</v>
      </c>
      <c r="W1216">
        <v>0</v>
      </c>
      <c r="X1216">
        <v>0</v>
      </c>
      <c r="Y1216">
        <v>0</v>
      </c>
      <c r="Z1216">
        <v>0</v>
      </c>
      <c r="AA1216">
        <v>0</v>
      </c>
      <c r="AB1216">
        <v>0.01</v>
      </c>
      <c r="AC1216">
        <v>7.0000000000000007E-2</v>
      </c>
      <c r="AD1216">
        <v>71.2</v>
      </c>
      <c r="AE1216">
        <v>0</v>
      </c>
      <c r="AF1216">
        <v>0</v>
      </c>
      <c r="AG1216">
        <v>13.6</v>
      </c>
      <c r="AH1216">
        <v>0</v>
      </c>
      <c r="AI1216">
        <v>0</v>
      </c>
      <c r="AJ1216">
        <v>0</v>
      </c>
      <c r="AK1216">
        <v>0</v>
      </c>
      <c r="AL1216">
        <v>0</v>
      </c>
      <c r="AM1216">
        <v>15.2</v>
      </c>
      <c r="AN1216">
        <f t="shared" si="55"/>
        <v>6</v>
      </c>
      <c r="AO1216" t="str">
        <f t="shared" si="56"/>
        <v>Friday</v>
      </c>
    </row>
    <row r="1217" spans="1:41" x14ac:dyDescent="0.2">
      <c r="A1217" t="s">
        <v>43</v>
      </c>
      <c r="B1217" s="1">
        <v>45758</v>
      </c>
      <c r="C1217" s="1">
        <f t="shared" si="54"/>
        <v>45777</v>
      </c>
      <c r="D1217">
        <v>33</v>
      </c>
      <c r="E1217">
        <v>84</v>
      </c>
      <c r="F1217">
        <v>5</v>
      </c>
      <c r="G1217">
        <v>5</v>
      </c>
      <c r="H1217">
        <v>0</v>
      </c>
      <c r="I1217">
        <v>0</v>
      </c>
      <c r="J1217">
        <v>0</v>
      </c>
      <c r="K1217">
        <v>54</v>
      </c>
      <c r="L1217" t="s">
        <v>43</v>
      </c>
      <c r="M1217" t="s">
        <v>38</v>
      </c>
      <c r="N1217" s="1">
        <v>45758</v>
      </c>
      <c r="O1217" s="2">
        <v>0.54155092592592591</v>
      </c>
      <c r="P1217" s="2">
        <v>0.91766203703703708</v>
      </c>
      <c r="Q1217">
        <v>9.0299999999999994</v>
      </c>
      <c r="R1217">
        <v>9.0299999999999994</v>
      </c>
      <c r="S1217">
        <v>1.07</v>
      </c>
      <c r="T1217">
        <v>0.22</v>
      </c>
      <c r="U1217">
        <v>0</v>
      </c>
      <c r="V1217">
        <v>0.42</v>
      </c>
      <c r="W1217">
        <v>4.95</v>
      </c>
      <c r="X1217">
        <v>1.71</v>
      </c>
      <c r="Y1217">
        <v>0.66</v>
      </c>
      <c r="Z1217">
        <v>0</v>
      </c>
      <c r="AA1217">
        <v>0</v>
      </c>
      <c r="AB1217">
        <v>0</v>
      </c>
      <c r="AC1217">
        <v>9.0299999999999994</v>
      </c>
      <c r="AD1217">
        <v>11.82</v>
      </c>
      <c r="AE1217">
        <v>2.4500000000000002</v>
      </c>
      <c r="AF1217">
        <v>0</v>
      </c>
      <c r="AG1217">
        <v>4.6500000000000004</v>
      </c>
      <c r="AH1217">
        <v>54.81</v>
      </c>
      <c r="AI1217">
        <v>18.91</v>
      </c>
      <c r="AJ1217">
        <v>7.32</v>
      </c>
      <c r="AK1217">
        <v>0</v>
      </c>
      <c r="AL1217">
        <v>0</v>
      </c>
      <c r="AM1217">
        <v>0.04</v>
      </c>
      <c r="AN1217">
        <f t="shared" si="55"/>
        <v>6</v>
      </c>
      <c r="AO1217" t="str">
        <f t="shared" si="56"/>
        <v>Friday</v>
      </c>
    </row>
    <row r="1218" spans="1:41" x14ac:dyDescent="0.2">
      <c r="B1218" s="1">
        <v>45758</v>
      </c>
      <c r="C1218" s="1">
        <f t="shared" si="54"/>
        <v>45777</v>
      </c>
      <c r="D1218">
        <v>661</v>
      </c>
      <c r="E1218">
        <v>0</v>
      </c>
      <c r="F1218">
        <v>0</v>
      </c>
      <c r="G1218">
        <v>0</v>
      </c>
      <c r="H1218">
        <v>0</v>
      </c>
      <c r="I1218">
        <v>0</v>
      </c>
      <c r="J1218">
        <v>0</v>
      </c>
      <c r="K1218">
        <v>0</v>
      </c>
      <c r="AN1218">
        <f t="shared" si="55"/>
        <v>6</v>
      </c>
      <c r="AO1218" t="str">
        <f t="shared" si="56"/>
        <v>Friday</v>
      </c>
    </row>
    <row r="1219" spans="1:41" x14ac:dyDescent="0.2">
      <c r="A1219" t="s">
        <v>37</v>
      </c>
      <c r="B1219" s="1">
        <v>45757</v>
      </c>
      <c r="C1219" s="1">
        <f t="shared" ref="C1219:C1282" si="57">EOMONTH(B1219,0)</f>
        <v>45777</v>
      </c>
      <c r="D1219">
        <v>21</v>
      </c>
      <c r="E1219">
        <v>56</v>
      </c>
      <c r="F1219">
        <v>5</v>
      </c>
      <c r="G1219">
        <v>6</v>
      </c>
      <c r="H1219">
        <v>4</v>
      </c>
      <c r="I1219">
        <v>0</v>
      </c>
      <c r="J1219">
        <v>1</v>
      </c>
      <c r="K1219">
        <v>37</v>
      </c>
      <c r="L1219" t="s">
        <v>37</v>
      </c>
      <c r="M1219" t="s">
        <v>38</v>
      </c>
      <c r="N1219" s="1">
        <v>45757</v>
      </c>
      <c r="O1219" s="2">
        <v>0.54207175925925921</v>
      </c>
      <c r="P1219" s="2">
        <v>0.91702546296296295</v>
      </c>
      <c r="Q1219">
        <v>9</v>
      </c>
      <c r="R1219">
        <v>8.11</v>
      </c>
      <c r="S1219">
        <v>1.4</v>
      </c>
      <c r="T1219">
        <v>0.19</v>
      </c>
      <c r="U1219">
        <v>0</v>
      </c>
      <c r="V1219">
        <v>0.48</v>
      </c>
      <c r="W1219">
        <v>5.43</v>
      </c>
      <c r="X1219">
        <v>0.56000000000000005</v>
      </c>
      <c r="Y1219">
        <v>0</v>
      </c>
      <c r="Z1219">
        <v>0</v>
      </c>
      <c r="AA1219">
        <v>0</v>
      </c>
      <c r="AB1219">
        <v>0.04</v>
      </c>
      <c r="AC1219">
        <v>8.11</v>
      </c>
      <c r="AD1219">
        <v>17.309999999999999</v>
      </c>
      <c r="AE1219">
        <v>2.34</v>
      </c>
      <c r="AF1219">
        <v>0</v>
      </c>
      <c r="AG1219">
        <v>5.96</v>
      </c>
      <c r="AH1219">
        <v>66.98</v>
      </c>
      <c r="AI1219">
        <v>6.87</v>
      </c>
      <c r="AJ1219">
        <v>0</v>
      </c>
      <c r="AK1219">
        <v>0</v>
      </c>
      <c r="AL1219">
        <v>0</v>
      </c>
      <c r="AM1219">
        <v>0.54</v>
      </c>
      <c r="AN1219">
        <f t="shared" ref="AN1219:AN1282" si="58">WEEKDAY(B1219,1)</f>
        <v>5</v>
      </c>
      <c r="AO1219" t="str">
        <f t="shared" ref="AO1219:AO1282" si="59">VLOOKUP(AN1219,$AY$2:$AZ$8,2,FALSE)</f>
        <v>Thursday</v>
      </c>
    </row>
    <row r="1220" spans="1:41" x14ac:dyDescent="0.2">
      <c r="A1220" t="s">
        <v>52</v>
      </c>
      <c r="B1220" s="1">
        <v>45757</v>
      </c>
      <c r="C1220" s="1">
        <f t="shared" si="57"/>
        <v>45777</v>
      </c>
      <c r="D1220">
        <v>1</v>
      </c>
      <c r="E1220">
        <v>1</v>
      </c>
      <c r="F1220">
        <v>0</v>
      </c>
      <c r="G1220">
        <v>0</v>
      </c>
      <c r="H1220">
        <v>0</v>
      </c>
      <c r="I1220">
        <v>0</v>
      </c>
      <c r="J1220">
        <v>0</v>
      </c>
      <c r="K1220">
        <v>0</v>
      </c>
      <c r="L1220" t="s">
        <v>52</v>
      </c>
      <c r="M1220" t="s">
        <v>38</v>
      </c>
      <c r="N1220" s="1">
        <v>45757</v>
      </c>
      <c r="O1220" s="2">
        <v>0.58303240740740736</v>
      </c>
      <c r="P1220" s="2">
        <v>0.92703703703703699</v>
      </c>
      <c r="Q1220">
        <v>8.25</v>
      </c>
      <c r="R1220">
        <v>6.71</v>
      </c>
      <c r="S1220">
        <v>0</v>
      </c>
      <c r="T1220">
        <v>0</v>
      </c>
      <c r="U1220">
        <v>0</v>
      </c>
      <c r="V1220">
        <v>0.08</v>
      </c>
      <c r="W1220">
        <v>0</v>
      </c>
      <c r="X1220">
        <v>0</v>
      </c>
      <c r="Y1220">
        <v>0</v>
      </c>
      <c r="Z1220">
        <v>0</v>
      </c>
      <c r="AA1220">
        <v>4.91</v>
      </c>
      <c r="AB1220">
        <v>1.71</v>
      </c>
      <c r="AC1220">
        <v>6.71</v>
      </c>
      <c r="AD1220">
        <v>0.05</v>
      </c>
      <c r="AE1220">
        <v>0</v>
      </c>
      <c r="AF1220">
        <v>0</v>
      </c>
      <c r="AG1220">
        <v>1.24</v>
      </c>
      <c r="AH1220">
        <v>0</v>
      </c>
      <c r="AI1220">
        <v>0</v>
      </c>
      <c r="AJ1220">
        <v>0</v>
      </c>
      <c r="AK1220">
        <v>0</v>
      </c>
      <c r="AL1220">
        <v>73.260000000000005</v>
      </c>
      <c r="AM1220">
        <v>25.44</v>
      </c>
      <c r="AN1220">
        <f t="shared" si="58"/>
        <v>5</v>
      </c>
      <c r="AO1220" t="str">
        <f t="shared" si="59"/>
        <v>Thursday</v>
      </c>
    </row>
    <row r="1221" spans="1:41" x14ac:dyDescent="0.2">
      <c r="A1221" t="s">
        <v>39</v>
      </c>
      <c r="B1221" s="1">
        <v>45757</v>
      </c>
      <c r="C1221" s="1">
        <f t="shared" si="57"/>
        <v>45777</v>
      </c>
      <c r="D1221">
        <v>25</v>
      </c>
      <c r="E1221">
        <v>75</v>
      </c>
      <c r="F1221">
        <v>2</v>
      </c>
      <c r="G1221">
        <v>2</v>
      </c>
      <c r="H1221">
        <v>2</v>
      </c>
      <c r="I1221">
        <v>0</v>
      </c>
      <c r="J1221">
        <v>3</v>
      </c>
      <c r="K1221">
        <v>59</v>
      </c>
      <c r="L1221" t="s">
        <v>39</v>
      </c>
      <c r="M1221" t="s">
        <v>38</v>
      </c>
      <c r="N1221" s="1">
        <v>45757</v>
      </c>
      <c r="O1221" s="2">
        <v>0.54155092592592591</v>
      </c>
      <c r="P1221" s="2">
        <v>0.91672453703703705</v>
      </c>
      <c r="Q1221">
        <v>9.02</v>
      </c>
      <c r="R1221">
        <v>9</v>
      </c>
      <c r="S1221">
        <v>0.78</v>
      </c>
      <c r="T1221">
        <v>0.21</v>
      </c>
      <c r="U1221">
        <v>0</v>
      </c>
      <c r="V1221">
        <v>0.03</v>
      </c>
      <c r="W1221">
        <v>6.32</v>
      </c>
      <c r="X1221">
        <v>1.41</v>
      </c>
      <c r="Y1221">
        <v>0.26</v>
      </c>
      <c r="Z1221">
        <v>0</v>
      </c>
      <c r="AA1221">
        <v>0</v>
      </c>
      <c r="AB1221">
        <v>0.01</v>
      </c>
      <c r="AC1221">
        <v>9</v>
      </c>
      <c r="AD1221">
        <v>8.6199999999999992</v>
      </c>
      <c r="AE1221">
        <v>2.38</v>
      </c>
      <c r="AF1221">
        <v>0</v>
      </c>
      <c r="AG1221">
        <v>0.32</v>
      </c>
      <c r="AH1221">
        <v>70.17</v>
      </c>
      <c r="AI1221">
        <v>15.62</v>
      </c>
      <c r="AJ1221">
        <v>2.83</v>
      </c>
      <c r="AK1221">
        <v>0</v>
      </c>
      <c r="AL1221">
        <v>0</v>
      </c>
      <c r="AM1221">
        <v>0.06</v>
      </c>
      <c r="AN1221">
        <f t="shared" si="58"/>
        <v>5</v>
      </c>
      <c r="AO1221" t="str">
        <f t="shared" si="59"/>
        <v>Thursday</v>
      </c>
    </row>
    <row r="1222" spans="1:41" x14ac:dyDescent="0.2">
      <c r="A1222" t="s">
        <v>41</v>
      </c>
      <c r="B1222" s="1">
        <v>45757</v>
      </c>
      <c r="C1222" s="1">
        <f t="shared" si="57"/>
        <v>45777</v>
      </c>
      <c r="D1222">
        <v>22</v>
      </c>
      <c r="E1222">
        <v>56</v>
      </c>
      <c r="F1222">
        <v>1</v>
      </c>
      <c r="G1222">
        <v>4</v>
      </c>
      <c r="H1222">
        <v>1</v>
      </c>
      <c r="I1222">
        <v>0</v>
      </c>
      <c r="J1222">
        <v>2</v>
      </c>
      <c r="K1222">
        <v>39</v>
      </c>
      <c r="L1222" t="s">
        <v>41</v>
      </c>
      <c r="M1222" t="s">
        <v>38</v>
      </c>
      <c r="N1222" s="1">
        <v>45757</v>
      </c>
      <c r="O1222" s="2">
        <v>0.54326388888888888</v>
      </c>
      <c r="P1222" s="2">
        <v>0.81187500000000001</v>
      </c>
      <c r="Q1222">
        <v>6.45</v>
      </c>
      <c r="R1222">
        <v>6.45</v>
      </c>
      <c r="S1222">
        <v>0.38</v>
      </c>
      <c r="T1222">
        <v>0</v>
      </c>
      <c r="U1222">
        <v>0</v>
      </c>
      <c r="V1222">
        <v>0.15</v>
      </c>
      <c r="W1222">
        <v>4.45</v>
      </c>
      <c r="X1222">
        <v>1.44</v>
      </c>
      <c r="Y1222">
        <v>0</v>
      </c>
      <c r="Z1222">
        <v>0</v>
      </c>
      <c r="AA1222">
        <v>0.02</v>
      </c>
      <c r="AB1222">
        <v>0.01</v>
      </c>
      <c r="AC1222">
        <v>6.45</v>
      </c>
      <c r="AD1222">
        <v>5.9</v>
      </c>
      <c r="AE1222">
        <v>0</v>
      </c>
      <c r="AF1222">
        <v>0</v>
      </c>
      <c r="AG1222">
        <v>2.29</v>
      </c>
      <c r="AH1222">
        <v>69.010000000000005</v>
      </c>
      <c r="AI1222">
        <v>22.4</v>
      </c>
      <c r="AJ1222">
        <v>0</v>
      </c>
      <c r="AK1222">
        <v>0</v>
      </c>
      <c r="AL1222">
        <v>0.28000000000000003</v>
      </c>
      <c r="AM1222">
        <v>0.11</v>
      </c>
      <c r="AN1222">
        <f t="shared" si="58"/>
        <v>5</v>
      </c>
      <c r="AO1222" t="str">
        <f t="shared" si="59"/>
        <v>Thursday</v>
      </c>
    </row>
    <row r="1223" spans="1:41" x14ac:dyDescent="0.2">
      <c r="A1223" t="s">
        <v>43</v>
      </c>
      <c r="B1223" s="1">
        <v>45757</v>
      </c>
      <c r="C1223" s="1">
        <f t="shared" si="57"/>
        <v>45777</v>
      </c>
      <c r="D1223">
        <v>26</v>
      </c>
      <c r="E1223">
        <v>97</v>
      </c>
      <c r="F1223">
        <v>3</v>
      </c>
      <c r="G1223">
        <v>5</v>
      </c>
      <c r="H1223">
        <v>10</v>
      </c>
      <c r="I1223">
        <v>0</v>
      </c>
      <c r="J1223">
        <v>0</v>
      </c>
      <c r="K1223">
        <v>65</v>
      </c>
      <c r="L1223" t="s">
        <v>43</v>
      </c>
      <c r="M1223" t="s">
        <v>38</v>
      </c>
      <c r="N1223" s="1">
        <v>45757</v>
      </c>
      <c r="O1223" s="2">
        <v>0.54164351851851855</v>
      </c>
      <c r="P1223" s="2">
        <v>0.91793981481481479</v>
      </c>
      <c r="Q1223">
        <v>9.0299999999999994</v>
      </c>
      <c r="R1223">
        <v>8.98</v>
      </c>
      <c r="S1223">
        <v>0.87</v>
      </c>
      <c r="T1223">
        <v>0.06</v>
      </c>
      <c r="U1223">
        <v>0</v>
      </c>
      <c r="V1223">
        <v>0.37</v>
      </c>
      <c r="W1223">
        <v>5.95</v>
      </c>
      <c r="X1223">
        <v>1.5</v>
      </c>
      <c r="Y1223">
        <v>0</v>
      </c>
      <c r="Z1223">
        <v>0</v>
      </c>
      <c r="AA1223">
        <v>0.2</v>
      </c>
      <c r="AB1223">
        <v>0.03</v>
      </c>
      <c r="AC1223">
        <v>8.98</v>
      </c>
      <c r="AD1223">
        <v>9.7100000000000009</v>
      </c>
      <c r="AE1223">
        <v>0.62</v>
      </c>
      <c r="AF1223">
        <v>0</v>
      </c>
      <c r="AG1223">
        <v>4.08</v>
      </c>
      <c r="AH1223">
        <v>66.290000000000006</v>
      </c>
      <c r="AI1223">
        <v>16.7</v>
      </c>
      <c r="AJ1223">
        <v>0</v>
      </c>
      <c r="AK1223">
        <v>0</v>
      </c>
      <c r="AL1223">
        <v>2.25</v>
      </c>
      <c r="AM1223">
        <v>0.35</v>
      </c>
      <c r="AN1223">
        <f t="shared" si="58"/>
        <v>5</v>
      </c>
      <c r="AO1223" t="str">
        <f t="shared" si="59"/>
        <v>Thursday</v>
      </c>
    </row>
    <row r="1224" spans="1:41" x14ac:dyDescent="0.2">
      <c r="B1224" s="1">
        <v>45757</v>
      </c>
      <c r="C1224" s="1">
        <f t="shared" si="57"/>
        <v>45777</v>
      </c>
      <c r="D1224">
        <v>674</v>
      </c>
      <c r="E1224">
        <v>0</v>
      </c>
      <c r="F1224">
        <v>0</v>
      </c>
      <c r="G1224">
        <v>0</v>
      </c>
      <c r="H1224">
        <v>0</v>
      </c>
      <c r="I1224">
        <v>0</v>
      </c>
      <c r="J1224">
        <v>0</v>
      </c>
      <c r="K1224">
        <v>0</v>
      </c>
      <c r="AN1224">
        <f t="shared" si="58"/>
        <v>5</v>
      </c>
      <c r="AO1224" t="str">
        <f t="shared" si="59"/>
        <v>Thursday</v>
      </c>
    </row>
    <row r="1225" spans="1:41" x14ac:dyDescent="0.2">
      <c r="A1225" t="s">
        <v>37</v>
      </c>
      <c r="B1225" s="1">
        <v>45756</v>
      </c>
      <c r="C1225" s="1">
        <f t="shared" si="57"/>
        <v>45777</v>
      </c>
      <c r="D1225">
        <v>24</v>
      </c>
      <c r="E1225">
        <v>61</v>
      </c>
      <c r="F1225">
        <v>4</v>
      </c>
      <c r="G1225">
        <v>5</v>
      </c>
      <c r="H1225">
        <v>1</v>
      </c>
      <c r="I1225">
        <v>0</v>
      </c>
      <c r="J1225">
        <v>1</v>
      </c>
      <c r="K1225">
        <v>44</v>
      </c>
      <c r="L1225" t="s">
        <v>37</v>
      </c>
      <c r="M1225" t="s">
        <v>38</v>
      </c>
      <c r="N1225" s="1">
        <v>45756</v>
      </c>
      <c r="O1225" s="2">
        <v>0.54222222222222227</v>
      </c>
      <c r="P1225" s="2">
        <v>0.91680555555555554</v>
      </c>
      <c r="Q1225">
        <v>9</v>
      </c>
      <c r="R1225">
        <v>7.93</v>
      </c>
      <c r="S1225">
        <v>1.22</v>
      </c>
      <c r="T1225">
        <v>0.17</v>
      </c>
      <c r="U1225">
        <v>0</v>
      </c>
      <c r="V1225">
        <v>0.3</v>
      </c>
      <c r="W1225">
        <v>5.33</v>
      </c>
      <c r="X1225">
        <v>0.49</v>
      </c>
      <c r="Y1225">
        <v>0.3</v>
      </c>
      <c r="Z1225">
        <v>0</v>
      </c>
      <c r="AA1225">
        <v>0</v>
      </c>
      <c r="AB1225">
        <v>0.13</v>
      </c>
      <c r="AC1225">
        <v>7.93</v>
      </c>
      <c r="AD1225">
        <v>15.33</v>
      </c>
      <c r="AE1225">
        <v>2.09</v>
      </c>
      <c r="AF1225">
        <v>0</v>
      </c>
      <c r="AG1225">
        <v>3.81</v>
      </c>
      <c r="AH1225">
        <v>67.209999999999994</v>
      </c>
      <c r="AI1225">
        <v>6.13</v>
      </c>
      <c r="AJ1225">
        <v>3.78</v>
      </c>
      <c r="AK1225">
        <v>0</v>
      </c>
      <c r="AL1225">
        <v>0</v>
      </c>
      <c r="AM1225">
        <v>1.64</v>
      </c>
      <c r="AN1225">
        <f t="shared" si="58"/>
        <v>4</v>
      </c>
      <c r="AO1225" t="str">
        <f t="shared" si="59"/>
        <v>Wednesday</v>
      </c>
    </row>
    <row r="1226" spans="1:41" x14ac:dyDescent="0.2">
      <c r="A1226" t="s">
        <v>39</v>
      </c>
      <c r="B1226" s="1">
        <v>45756</v>
      </c>
      <c r="C1226" s="1">
        <f t="shared" si="57"/>
        <v>45777</v>
      </c>
      <c r="D1226">
        <v>29</v>
      </c>
      <c r="E1226">
        <v>79</v>
      </c>
      <c r="F1226">
        <v>2</v>
      </c>
      <c r="G1226">
        <v>3</v>
      </c>
      <c r="H1226">
        <v>2</v>
      </c>
      <c r="I1226">
        <v>0</v>
      </c>
      <c r="J1226">
        <v>1</v>
      </c>
      <c r="K1226">
        <v>54</v>
      </c>
      <c r="L1226" t="s">
        <v>39</v>
      </c>
      <c r="M1226" t="s">
        <v>38</v>
      </c>
      <c r="N1226" s="1">
        <v>45756</v>
      </c>
      <c r="O1226" s="2">
        <v>0.54216435185185186</v>
      </c>
      <c r="P1226" s="2">
        <v>0.91769675925925931</v>
      </c>
      <c r="Q1226">
        <v>9.02</v>
      </c>
      <c r="R1226">
        <v>9.01</v>
      </c>
      <c r="S1226">
        <v>0.69</v>
      </c>
      <c r="T1226">
        <v>0.08</v>
      </c>
      <c r="U1226">
        <v>0</v>
      </c>
      <c r="V1226">
        <v>0.05</v>
      </c>
      <c r="W1226">
        <v>6.71</v>
      </c>
      <c r="X1226">
        <v>1.48</v>
      </c>
      <c r="Y1226">
        <v>0</v>
      </c>
      <c r="Z1226">
        <v>0</v>
      </c>
      <c r="AA1226">
        <v>0</v>
      </c>
      <c r="AB1226">
        <v>0</v>
      </c>
      <c r="AC1226">
        <v>9.01</v>
      </c>
      <c r="AD1226">
        <v>7.68</v>
      </c>
      <c r="AE1226">
        <v>0.89</v>
      </c>
      <c r="AF1226">
        <v>0</v>
      </c>
      <c r="AG1226">
        <v>0.55000000000000004</v>
      </c>
      <c r="AH1226">
        <v>74.400000000000006</v>
      </c>
      <c r="AI1226">
        <v>16.43</v>
      </c>
      <c r="AJ1226">
        <v>0</v>
      </c>
      <c r="AK1226">
        <v>0</v>
      </c>
      <c r="AL1226">
        <v>0</v>
      </c>
      <c r="AM1226">
        <v>0.05</v>
      </c>
      <c r="AN1226">
        <f t="shared" si="58"/>
        <v>4</v>
      </c>
      <c r="AO1226" t="str">
        <f t="shared" si="59"/>
        <v>Wednesday</v>
      </c>
    </row>
    <row r="1227" spans="1:41" x14ac:dyDescent="0.2">
      <c r="A1227" t="s">
        <v>41</v>
      </c>
      <c r="B1227" s="1">
        <v>45756</v>
      </c>
      <c r="C1227" s="1">
        <f t="shared" si="57"/>
        <v>45777</v>
      </c>
      <c r="D1227">
        <v>43</v>
      </c>
      <c r="E1227">
        <v>113</v>
      </c>
      <c r="F1227">
        <v>5</v>
      </c>
      <c r="G1227">
        <v>3</v>
      </c>
      <c r="H1227">
        <v>5</v>
      </c>
      <c r="I1227">
        <v>0</v>
      </c>
      <c r="J1227">
        <v>0</v>
      </c>
      <c r="K1227">
        <v>69</v>
      </c>
      <c r="L1227" t="s">
        <v>41</v>
      </c>
      <c r="M1227" t="s">
        <v>38</v>
      </c>
      <c r="N1227" s="1">
        <v>45756</v>
      </c>
      <c r="O1227" s="2">
        <v>0.54223379629629631</v>
      </c>
      <c r="P1227" s="2">
        <v>0.91589120370370369</v>
      </c>
      <c r="Q1227">
        <v>8.9700000000000006</v>
      </c>
      <c r="R1227">
        <v>8.9700000000000006</v>
      </c>
      <c r="S1227">
        <v>0.88</v>
      </c>
      <c r="T1227">
        <v>0.02</v>
      </c>
      <c r="U1227">
        <v>0</v>
      </c>
      <c r="V1227">
        <v>0.13</v>
      </c>
      <c r="W1227">
        <v>6.45</v>
      </c>
      <c r="X1227">
        <v>1.48</v>
      </c>
      <c r="Y1227">
        <v>0</v>
      </c>
      <c r="Z1227">
        <v>0</v>
      </c>
      <c r="AA1227">
        <v>0</v>
      </c>
      <c r="AB1227">
        <v>0.01</v>
      </c>
      <c r="AC1227">
        <v>8.9700000000000006</v>
      </c>
      <c r="AD1227">
        <v>9.81</v>
      </c>
      <c r="AE1227">
        <v>0.21</v>
      </c>
      <c r="AF1227">
        <v>0</v>
      </c>
      <c r="AG1227">
        <v>1.49</v>
      </c>
      <c r="AH1227">
        <v>71.930000000000007</v>
      </c>
      <c r="AI1227">
        <v>16.489999999999998</v>
      </c>
      <c r="AJ1227">
        <v>0</v>
      </c>
      <c r="AK1227">
        <v>0</v>
      </c>
      <c r="AL1227">
        <v>0</v>
      </c>
      <c r="AM1227">
        <v>0.06</v>
      </c>
      <c r="AN1227">
        <f t="shared" si="58"/>
        <v>4</v>
      </c>
      <c r="AO1227" t="str">
        <f t="shared" si="59"/>
        <v>Wednesday</v>
      </c>
    </row>
    <row r="1228" spans="1:41" x14ac:dyDescent="0.2">
      <c r="A1228" t="s">
        <v>43</v>
      </c>
      <c r="B1228" s="1">
        <v>45756</v>
      </c>
      <c r="C1228" s="1">
        <f t="shared" si="57"/>
        <v>45777</v>
      </c>
      <c r="D1228">
        <v>29</v>
      </c>
      <c r="E1228">
        <v>87</v>
      </c>
      <c r="F1228">
        <v>7</v>
      </c>
      <c r="G1228">
        <v>6</v>
      </c>
      <c r="H1228">
        <v>7</v>
      </c>
      <c r="I1228">
        <v>7</v>
      </c>
      <c r="J1228">
        <v>0</v>
      </c>
      <c r="K1228">
        <v>49</v>
      </c>
      <c r="L1228" t="s">
        <v>43</v>
      </c>
      <c r="M1228" t="s">
        <v>38</v>
      </c>
      <c r="N1228" s="1">
        <v>45756</v>
      </c>
      <c r="O1228" s="2">
        <v>0.54076388888888893</v>
      </c>
      <c r="P1228" s="2">
        <v>0.91855324074074074</v>
      </c>
      <c r="Q1228">
        <v>9.07</v>
      </c>
      <c r="R1228">
        <v>9.07</v>
      </c>
      <c r="S1228">
        <v>1.36</v>
      </c>
      <c r="T1228">
        <v>0.15</v>
      </c>
      <c r="U1228">
        <v>0</v>
      </c>
      <c r="V1228">
        <v>0.41</v>
      </c>
      <c r="W1228">
        <v>5.69</v>
      </c>
      <c r="X1228">
        <v>1.42</v>
      </c>
      <c r="Y1228">
        <v>0</v>
      </c>
      <c r="Z1228">
        <v>0</v>
      </c>
      <c r="AA1228">
        <v>0</v>
      </c>
      <c r="AB1228">
        <v>0.03</v>
      </c>
      <c r="AC1228">
        <v>9.07</v>
      </c>
      <c r="AD1228">
        <v>15.02</v>
      </c>
      <c r="AE1228">
        <v>1.66</v>
      </c>
      <c r="AF1228">
        <v>0</v>
      </c>
      <c r="AG1228">
        <v>4.54</v>
      </c>
      <c r="AH1228">
        <v>62.72</v>
      </c>
      <c r="AI1228">
        <v>15.69</v>
      </c>
      <c r="AJ1228">
        <v>0</v>
      </c>
      <c r="AK1228">
        <v>0</v>
      </c>
      <c r="AL1228">
        <v>0</v>
      </c>
      <c r="AM1228">
        <v>0.37</v>
      </c>
      <c r="AN1228">
        <f t="shared" si="58"/>
        <v>4</v>
      </c>
      <c r="AO1228" t="str">
        <f t="shared" si="59"/>
        <v>Wednesday</v>
      </c>
    </row>
    <row r="1229" spans="1:41" x14ac:dyDescent="0.2">
      <c r="B1229" s="1">
        <v>45756</v>
      </c>
      <c r="C1229" s="1">
        <f t="shared" si="57"/>
        <v>45777</v>
      </c>
      <c r="D1229">
        <v>685</v>
      </c>
      <c r="E1229">
        <v>0</v>
      </c>
      <c r="F1229">
        <v>0</v>
      </c>
      <c r="G1229">
        <v>0</v>
      </c>
      <c r="H1229">
        <v>0</v>
      </c>
      <c r="I1229">
        <v>0</v>
      </c>
      <c r="J1229">
        <v>0</v>
      </c>
      <c r="K1229">
        <v>0</v>
      </c>
      <c r="AN1229">
        <f t="shared" si="58"/>
        <v>4</v>
      </c>
      <c r="AO1229" t="str">
        <f t="shared" si="59"/>
        <v>Wednesday</v>
      </c>
    </row>
    <row r="1230" spans="1:41" x14ac:dyDescent="0.2">
      <c r="A1230" t="s">
        <v>37</v>
      </c>
      <c r="B1230" s="1">
        <v>45755</v>
      </c>
      <c r="C1230" s="1">
        <f t="shared" si="57"/>
        <v>45777</v>
      </c>
      <c r="D1230">
        <v>33</v>
      </c>
      <c r="E1230">
        <v>100</v>
      </c>
      <c r="F1230">
        <v>2</v>
      </c>
      <c r="G1230">
        <v>14</v>
      </c>
      <c r="H1230">
        <v>7</v>
      </c>
      <c r="I1230">
        <v>0</v>
      </c>
      <c r="J1230">
        <v>0</v>
      </c>
      <c r="K1230">
        <v>61</v>
      </c>
      <c r="L1230" t="s">
        <v>37</v>
      </c>
      <c r="M1230" t="s">
        <v>38</v>
      </c>
      <c r="N1230" s="1">
        <v>45755</v>
      </c>
      <c r="O1230" s="2">
        <v>0.54314814814814816</v>
      </c>
      <c r="P1230" s="2">
        <v>0.91730324074074077</v>
      </c>
      <c r="Q1230">
        <v>8.9700000000000006</v>
      </c>
      <c r="R1230">
        <v>8.0500000000000007</v>
      </c>
      <c r="S1230">
        <v>1.79</v>
      </c>
      <c r="T1230">
        <v>0.33</v>
      </c>
      <c r="U1230">
        <v>0</v>
      </c>
      <c r="V1230">
        <v>0.82</v>
      </c>
      <c r="W1230">
        <v>4.5199999999999996</v>
      </c>
      <c r="X1230">
        <v>0.55000000000000004</v>
      </c>
      <c r="Y1230">
        <v>0</v>
      </c>
      <c r="Z1230">
        <v>0</v>
      </c>
      <c r="AA1230">
        <v>0</v>
      </c>
      <c r="AB1230">
        <v>0.03</v>
      </c>
      <c r="AC1230">
        <v>8.0500000000000007</v>
      </c>
      <c r="AD1230">
        <v>22.26</v>
      </c>
      <c r="AE1230">
        <v>4.1500000000000004</v>
      </c>
      <c r="AF1230">
        <v>0</v>
      </c>
      <c r="AG1230">
        <v>10.23</v>
      </c>
      <c r="AH1230">
        <v>56.16</v>
      </c>
      <c r="AI1230">
        <v>6.83</v>
      </c>
      <c r="AJ1230">
        <v>0</v>
      </c>
      <c r="AK1230">
        <v>0</v>
      </c>
      <c r="AL1230">
        <v>0</v>
      </c>
      <c r="AM1230">
        <v>0.37</v>
      </c>
      <c r="AN1230">
        <f t="shared" si="58"/>
        <v>3</v>
      </c>
      <c r="AO1230" t="str">
        <f t="shared" si="59"/>
        <v>Tuesday</v>
      </c>
    </row>
    <row r="1231" spans="1:41" x14ac:dyDescent="0.2">
      <c r="A1231" t="s">
        <v>41</v>
      </c>
      <c r="B1231" s="1">
        <v>45755</v>
      </c>
      <c r="C1231" s="1">
        <f t="shared" si="57"/>
        <v>45777</v>
      </c>
      <c r="D1231">
        <v>50</v>
      </c>
      <c r="E1231">
        <v>149</v>
      </c>
      <c r="F1231">
        <v>4</v>
      </c>
      <c r="G1231">
        <v>12</v>
      </c>
      <c r="H1231">
        <v>13</v>
      </c>
      <c r="I1231">
        <v>0</v>
      </c>
      <c r="J1231">
        <v>3</v>
      </c>
      <c r="K1231">
        <v>98</v>
      </c>
      <c r="L1231" t="s">
        <v>41</v>
      </c>
      <c r="M1231" t="s">
        <v>38</v>
      </c>
      <c r="N1231" s="1">
        <v>45755</v>
      </c>
      <c r="O1231" s="2">
        <v>0.54219907407407408</v>
      </c>
      <c r="P1231" s="2">
        <v>0.91658564814814814</v>
      </c>
      <c r="Q1231">
        <v>8.98</v>
      </c>
      <c r="R1231">
        <v>8.99</v>
      </c>
      <c r="S1231">
        <v>1.06</v>
      </c>
      <c r="T1231">
        <v>0</v>
      </c>
      <c r="U1231">
        <v>0</v>
      </c>
      <c r="V1231">
        <v>0.22</v>
      </c>
      <c r="W1231">
        <v>5.15</v>
      </c>
      <c r="X1231">
        <v>1.48</v>
      </c>
      <c r="Y1231">
        <v>1.04</v>
      </c>
      <c r="Z1231">
        <v>0</v>
      </c>
      <c r="AA1231">
        <v>0</v>
      </c>
      <c r="AB1231">
        <v>0.03</v>
      </c>
      <c r="AC1231">
        <v>8.99</v>
      </c>
      <c r="AD1231">
        <v>11.77</v>
      </c>
      <c r="AE1231">
        <v>0</v>
      </c>
      <c r="AF1231">
        <v>0</v>
      </c>
      <c r="AG1231">
        <v>2.48</v>
      </c>
      <c r="AH1231">
        <v>57.36</v>
      </c>
      <c r="AI1231">
        <v>16.52</v>
      </c>
      <c r="AJ1231">
        <v>11.59</v>
      </c>
      <c r="AK1231">
        <v>0</v>
      </c>
      <c r="AL1231">
        <v>0</v>
      </c>
      <c r="AM1231">
        <v>0.28999999999999998</v>
      </c>
      <c r="AN1231">
        <f t="shared" si="58"/>
        <v>3</v>
      </c>
      <c r="AO1231" t="str">
        <f t="shared" si="59"/>
        <v>Tuesday</v>
      </c>
    </row>
    <row r="1232" spans="1:41" x14ac:dyDescent="0.2">
      <c r="A1232" t="s">
        <v>43</v>
      </c>
      <c r="B1232" s="1">
        <v>45755</v>
      </c>
      <c r="C1232" s="1">
        <f t="shared" si="57"/>
        <v>45777</v>
      </c>
      <c r="D1232">
        <v>37</v>
      </c>
      <c r="E1232">
        <v>118</v>
      </c>
      <c r="F1232">
        <v>10</v>
      </c>
      <c r="G1232">
        <v>2</v>
      </c>
      <c r="H1232">
        <v>14</v>
      </c>
      <c r="I1232">
        <v>0</v>
      </c>
      <c r="J1232">
        <v>0</v>
      </c>
      <c r="K1232">
        <v>71</v>
      </c>
      <c r="L1232" t="s">
        <v>43</v>
      </c>
      <c r="M1232" t="s">
        <v>38</v>
      </c>
      <c r="N1232" s="1">
        <v>45755</v>
      </c>
      <c r="O1232" s="2">
        <v>0.54053240740740738</v>
      </c>
      <c r="P1232" s="2">
        <v>0.91770833333333335</v>
      </c>
      <c r="Q1232">
        <v>9.0500000000000007</v>
      </c>
      <c r="R1232">
        <v>9.0500000000000007</v>
      </c>
      <c r="S1232">
        <v>1.54</v>
      </c>
      <c r="T1232">
        <v>0.33</v>
      </c>
      <c r="U1232">
        <v>0</v>
      </c>
      <c r="V1232">
        <v>0.39</v>
      </c>
      <c r="W1232">
        <v>3.28</v>
      </c>
      <c r="X1232">
        <v>1.46</v>
      </c>
      <c r="Y1232">
        <v>2.0499999999999998</v>
      </c>
      <c r="Z1232">
        <v>0</v>
      </c>
      <c r="AA1232">
        <v>0</v>
      </c>
      <c r="AB1232">
        <v>0</v>
      </c>
      <c r="AC1232">
        <v>9.0500000000000007</v>
      </c>
      <c r="AD1232">
        <v>17.04</v>
      </c>
      <c r="AE1232">
        <v>3.65</v>
      </c>
      <c r="AF1232">
        <v>0</v>
      </c>
      <c r="AG1232">
        <v>4.28</v>
      </c>
      <c r="AH1232">
        <v>36.18</v>
      </c>
      <c r="AI1232">
        <v>16.170000000000002</v>
      </c>
      <c r="AJ1232">
        <v>22.62</v>
      </c>
      <c r="AK1232">
        <v>0</v>
      </c>
      <c r="AL1232">
        <v>0</v>
      </c>
      <c r="AM1232">
        <v>0.05</v>
      </c>
      <c r="AN1232">
        <f t="shared" si="58"/>
        <v>3</v>
      </c>
      <c r="AO1232" t="str">
        <f t="shared" si="59"/>
        <v>Tuesday</v>
      </c>
    </row>
    <row r="1233" spans="1:41" x14ac:dyDescent="0.2">
      <c r="B1233" s="1">
        <v>45755</v>
      </c>
      <c r="C1233" s="1">
        <f t="shared" si="57"/>
        <v>45777</v>
      </c>
      <c r="D1233">
        <v>700</v>
      </c>
      <c r="E1233">
        <v>0</v>
      </c>
      <c r="F1233">
        <v>0</v>
      </c>
      <c r="G1233">
        <v>0</v>
      </c>
      <c r="H1233">
        <v>0</v>
      </c>
      <c r="I1233">
        <v>0</v>
      </c>
      <c r="J1233">
        <v>0</v>
      </c>
      <c r="K1233">
        <v>0</v>
      </c>
      <c r="AN1233">
        <f t="shared" si="58"/>
        <v>3</v>
      </c>
      <c r="AO1233" t="str">
        <f t="shared" si="59"/>
        <v>Tuesday</v>
      </c>
    </row>
    <row r="1234" spans="1:41" x14ac:dyDescent="0.2">
      <c r="A1234" t="s">
        <v>37</v>
      </c>
      <c r="B1234" s="1">
        <v>45754</v>
      </c>
      <c r="C1234" s="1">
        <f t="shared" si="57"/>
        <v>45777</v>
      </c>
      <c r="D1234">
        <v>28</v>
      </c>
      <c r="E1234">
        <v>80</v>
      </c>
      <c r="F1234">
        <v>7</v>
      </c>
      <c r="G1234">
        <v>11</v>
      </c>
      <c r="H1234">
        <v>9</v>
      </c>
      <c r="I1234">
        <v>0</v>
      </c>
      <c r="J1234">
        <v>0</v>
      </c>
      <c r="K1234">
        <v>46</v>
      </c>
      <c r="L1234" t="s">
        <v>37</v>
      </c>
      <c r="M1234" t="s">
        <v>38</v>
      </c>
      <c r="N1234" s="1">
        <v>45754</v>
      </c>
      <c r="O1234" s="2">
        <v>0.54348379629629628</v>
      </c>
      <c r="P1234" s="2">
        <v>0.91674768518518523</v>
      </c>
      <c r="Q1234">
        <v>8.9700000000000006</v>
      </c>
      <c r="R1234">
        <v>8.02</v>
      </c>
      <c r="S1234">
        <v>1.36</v>
      </c>
      <c r="T1234">
        <v>0.27</v>
      </c>
      <c r="U1234">
        <v>0</v>
      </c>
      <c r="V1234">
        <v>0.72</v>
      </c>
      <c r="W1234">
        <v>5.24</v>
      </c>
      <c r="X1234">
        <v>0.41</v>
      </c>
      <c r="Y1234">
        <v>0</v>
      </c>
      <c r="Z1234">
        <v>0</v>
      </c>
      <c r="AA1234">
        <v>0</v>
      </c>
      <c r="AB1234">
        <v>0.01</v>
      </c>
      <c r="AC1234">
        <v>8.02</v>
      </c>
      <c r="AD1234">
        <v>17.02</v>
      </c>
      <c r="AE1234">
        <v>3.39</v>
      </c>
      <c r="AF1234">
        <v>0</v>
      </c>
      <c r="AG1234">
        <v>8.9600000000000009</v>
      </c>
      <c r="AH1234">
        <v>65.319999999999993</v>
      </c>
      <c r="AI1234">
        <v>5.16</v>
      </c>
      <c r="AJ1234">
        <v>0</v>
      </c>
      <c r="AK1234">
        <v>0</v>
      </c>
      <c r="AL1234">
        <v>0</v>
      </c>
      <c r="AM1234">
        <v>0.15</v>
      </c>
      <c r="AN1234">
        <f t="shared" si="58"/>
        <v>2</v>
      </c>
      <c r="AO1234" t="str">
        <f t="shared" si="59"/>
        <v>Monday</v>
      </c>
    </row>
    <row r="1235" spans="1:41" x14ac:dyDescent="0.2">
      <c r="A1235" t="s">
        <v>39</v>
      </c>
      <c r="B1235" s="1">
        <v>45754</v>
      </c>
      <c r="C1235" s="1">
        <f t="shared" si="57"/>
        <v>45777</v>
      </c>
      <c r="D1235">
        <v>32</v>
      </c>
      <c r="E1235">
        <v>148</v>
      </c>
      <c r="F1235">
        <v>38</v>
      </c>
      <c r="G1235">
        <v>37</v>
      </c>
      <c r="H1235">
        <v>45</v>
      </c>
      <c r="I1235">
        <v>0</v>
      </c>
      <c r="J1235">
        <v>0</v>
      </c>
      <c r="K1235">
        <v>53</v>
      </c>
      <c r="L1235" t="s">
        <v>39</v>
      </c>
      <c r="M1235" t="s">
        <v>38</v>
      </c>
      <c r="N1235" s="1">
        <v>45754</v>
      </c>
      <c r="O1235" s="2">
        <v>0.54159722222222217</v>
      </c>
      <c r="P1235" s="2">
        <v>0.92604166666666665</v>
      </c>
      <c r="Q1235">
        <v>9.23</v>
      </c>
      <c r="R1235">
        <v>9.23</v>
      </c>
      <c r="S1235">
        <v>2.62</v>
      </c>
      <c r="T1235">
        <v>0.14000000000000001</v>
      </c>
      <c r="U1235">
        <v>0</v>
      </c>
      <c r="V1235">
        <v>0.05</v>
      </c>
      <c r="W1235">
        <v>4.93</v>
      </c>
      <c r="X1235">
        <v>1.48</v>
      </c>
      <c r="Y1235">
        <v>0</v>
      </c>
      <c r="Z1235">
        <v>0</v>
      </c>
      <c r="AA1235">
        <v>0</v>
      </c>
      <c r="AB1235">
        <v>0.01</v>
      </c>
      <c r="AC1235">
        <v>9.23</v>
      </c>
      <c r="AD1235">
        <v>28.36</v>
      </c>
      <c r="AE1235">
        <v>1.53</v>
      </c>
      <c r="AF1235">
        <v>0</v>
      </c>
      <c r="AG1235">
        <v>0.5</v>
      </c>
      <c r="AH1235">
        <v>53.49</v>
      </c>
      <c r="AI1235">
        <v>16.03</v>
      </c>
      <c r="AJ1235">
        <v>0</v>
      </c>
      <c r="AK1235">
        <v>0</v>
      </c>
      <c r="AL1235">
        <v>0</v>
      </c>
      <c r="AM1235">
        <v>0.09</v>
      </c>
      <c r="AN1235">
        <f t="shared" si="58"/>
        <v>2</v>
      </c>
      <c r="AO1235" t="str">
        <f t="shared" si="59"/>
        <v>Monday</v>
      </c>
    </row>
    <row r="1236" spans="1:41" x14ac:dyDescent="0.2">
      <c r="A1236" t="s">
        <v>41</v>
      </c>
      <c r="B1236" s="1">
        <v>45754</v>
      </c>
      <c r="C1236" s="1">
        <f t="shared" si="57"/>
        <v>45777</v>
      </c>
      <c r="D1236">
        <v>46</v>
      </c>
      <c r="E1236">
        <v>109</v>
      </c>
      <c r="F1236">
        <v>6</v>
      </c>
      <c r="G1236">
        <v>16</v>
      </c>
      <c r="H1236">
        <v>6</v>
      </c>
      <c r="I1236">
        <v>0</v>
      </c>
      <c r="J1236">
        <v>0</v>
      </c>
      <c r="K1236">
        <v>55</v>
      </c>
      <c r="L1236" t="s">
        <v>41</v>
      </c>
      <c r="M1236" t="s">
        <v>38</v>
      </c>
      <c r="N1236" s="1">
        <v>45754</v>
      </c>
      <c r="O1236" s="2">
        <v>0.54321759259259261</v>
      </c>
      <c r="P1236" s="2">
        <v>0.91796296296296298</v>
      </c>
      <c r="Q1236">
        <v>8.98</v>
      </c>
      <c r="R1236">
        <v>8.99</v>
      </c>
      <c r="S1236">
        <v>1.31</v>
      </c>
      <c r="T1236">
        <v>0</v>
      </c>
      <c r="U1236">
        <v>0</v>
      </c>
      <c r="V1236">
        <v>0.32</v>
      </c>
      <c r="W1236">
        <v>5.82</v>
      </c>
      <c r="X1236">
        <v>1.48</v>
      </c>
      <c r="Y1236">
        <v>0</v>
      </c>
      <c r="Z1236">
        <v>0</v>
      </c>
      <c r="AA1236">
        <v>0.06</v>
      </c>
      <c r="AB1236">
        <v>0</v>
      </c>
      <c r="AC1236">
        <v>8.99</v>
      </c>
      <c r="AD1236">
        <v>14.53</v>
      </c>
      <c r="AE1236">
        <v>0</v>
      </c>
      <c r="AF1236">
        <v>0</v>
      </c>
      <c r="AG1236">
        <v>3.55</v>
      </c>
      <c r="AH1236">
        <v>64.73</v>
      </c>
      <c r="AI1236">
        <v>16.43</v>
      </c>
      <c r="AJ1236">
        <v>0</v>
      </c>
      <c r="AK1236">
        <v>0</v>
      </c>
      <c r="AL1236">
        <v>0.71</v>
      </c>
      <c r="AM1236">
        <v>0.05</v>
      </c>
      <c r="AN1236">
        <f t="shared" si="58"/>
        <v>2</v>
      </c>
      <c r="AO1236" t="str">
        <f t="shared" si="59"/>
        <v>Monday</v>
      </c>
    </row>
    <row r="1237" spans="1:41" x14ac:dyDescent="0.2">
      <c r="A1237" t="s">
        <v>45</v>
      </c>
      <c r="B1237" s="1">
        <v>45754</v>
      </c>
      <c r="C1237" s="1">
        <f t="shared" si="57"/>
        <v>45777</v>
      </c>
      <c r="D1237">
        <v>1</v>
      </c>
      <c r="E1237">
        <v>1</v>
      </c>
      <c r="F1237">
        <v>0</v>
      </c>
      <c r="G1237">
        <v>0</v>
      </c>
      <c r="H1237">
        <v>0</v>
      </c>
      <c r="I1237">
        <v>0</v>
      </c>
      <c r="J1237">
        <v>0</v>
      </c>
      <c r="K1237">
        <v>0</v>
      </c>
      <c r="AN1237">
        <f t="shared" si="58"/>
        <v>2</v>
      </c>
      <c r="AO1237" t="str">
        <f t="shared" si="59"/>
        <v>Monday</v>
      </c>
    </row>
    <row r="1238" spans="1:41" x14ac:dyDescent="0.2">
      <c r="A1238" t="s">
        <v>43</v>
      </c>
      <c r="B1238" s="1">
        <v>45754</v>
      </c>
      <c r="C1238" s="1">
        <f t="shared" si="57"/>
        <v>45777</v>
      </c>
      <c r="D1238">
        <v>43</v>
      </c>
      <c r="E1238">
        <v>137</v>
      </c>
      <c r="F1238">
        <v>8</v>
      </c>
      <c r="G1238">
        <v>18</v>
      </c>
      <c r="H1238">
        <v>11</v>
      </c>
      <c r="I1238">
        <v>0</v>
      </c>
      <c r="J1238">
        <v>0</v>
      </c>
      <c r="K1238">
        <v>75</v>
      </c>
      <c r="L1238" t="s">
        <v>43</v>
      </c>
      <c r="M1238" t="s">
        <v>38</v>
      </c>
      <c r="N1238" s="1">
        <v>45754</v>
      </c>
      <c r="O1238" s="2">
        <v>0.54447916666666663</v>
      </c>
      <c r="P1238" s="2">
        <v>0.91962962962962957</v>
      </c>
      <c r="Q1238">
        <v>9</v>
      </c>
      <c r="R1238">
        <v>8.94</v>
      </c>
      <c r="S1238">
        <v>1.29</v>
      </c>
      <c r="T1238">
        <v>0.26</v>
      </c>
      <c r="U1238">
        <v>0</v>
      </c>
      <c r="V1238">
        <v>0.65</v>
      </c>
      <c r="W1238">
        <v>4.92</v>
      </c>
      <c r="X1238">
        <v>1.42</v>
      </c>
      <c r="Y1238">
        <v>0.23</v>
      </c>
      <c r="Z1238">
        <v>0</v>
      </c>
      <c r="AA1238">
        <v>0.16</v>
      </c>
      <c r="AB1238">
        <v>0.01</v>
      </c>
      <c r="AC1238">
        <v>8.94</v>
      </c>
      <c r="AD1238">
        <v>14.39</v>
      </c>
      <c r="AE1238">
        <v>2.88</v>
      </c>
      <c r="AF1238">
        <v>0</v>
      </c>
      <c r="AG1238">
        <v>7.26</v>
      </c>
      <c r="AH1238">
        <v>55.05</v>
      </c>
      <c r="AI1238">
        <v>15.9</v>
      </c>
      <c r="AJ1238">
        <v>2.61</v>
      </c>
      <c r="AK1238">
        <v>0</v>
      </c>
      <c r="AL1238">
        <v>1.77</v>
      </c>
      <c r="AM1238">
        <v>0.15</v>
      </c>
      <c r="AN1238">
        <f t="shared" si="58"/>
        <v>2</v>
      </c>
      <c r="AO1238" t="str">
        <f t="shared" si="59"/>
        <v>Monday</v>
      </c>
    </row>
    <row r="1239" spans="1:41" x14ac:dyDescent="0.2">
      <c r="B1239" s="1">
        <v>45754</v>
      </c>
      <c r="C1239" s="1">
        <f t="shared" si="57"/>
        <v>45777</v>
      </c>
      <c r="D1239">
        <v>682</v>
      </c>
      <c r="E1239">
        <v>0</v>
      </c>
      <c r="F1239">
        <v>0</v>
      </c>
      <c r="G1239">
        <v>0</v>
      </c>
      <c r="H1239">
        <v>0</v>
      </c>
      <c r="I1239">
        <v>0</v>
      </c>
      <c r="J1239">
        <v>0</v>
      </c>
      <c r="K1239">
        <v>0</v>
      </c>
      <c r="AN1239">
        <f t="shared" si="58"/>
        <v>2</v>
      </c>
      <c r="AO1239" t="str">
        <f t="shared" si="59"/>
        <v>Monday</v>
      </c>
    </row>
    <row r="1240" spans="1:41" x14ac:dyDescent="0.2">
      <c r="A1240" t="s">
        <v>37</v>
      </c>
      <c r="B1240" s="1">
        <v>45751</v>
      </c>
      <c r="C1240" s="1">
        <f t="shared" si="57"/>
        <v>45777</v>
      </c>
      <c r="D1240">
        <v>25</v>
      </c>
      <c r="E1240">
        <v>57</v>
      </c>
      <c r="F1240">
        <v>4</v>
      </c>
      <c r="G1240">
        <v>10</v>
      </c>
      <c r="H1240">
        <v>3</v>
      </c>
      <c r="I1240">
        <v>1</v>
      </c>
      <c r="J1240">
        <v>1</v>
      </c>
      <c r="K1240">
        <v>27</v>
      </c>
      <c r="L1240" t="s">
        <v>37</v>
      </c>
      <c r="M1240" t="s">
        <v>38</v>
      </c>
      <c r="N1240" s="1">
        <v>45751</v>
      </c>
      <c r="O1240" s="2">
        <v>0.54267361111111112</v>
      </c>
      <c r="P1240" s="2">
        <v>0.91688657407407403</v>
      </c>
      <c r="Q1240">
        <v>8.98</v>
      </c>
      <c r="R1240">
        <v>8.02</v>
      </c>
      <c r="S1240">
        <v>1.72</v>
      </c>
      <c r="T1240">
        <v>0.41</v>
      </c>
      <c r="U1240">
        <v>0</v>
      </c>
      <c r="V1240">
        <v>0.33</v>
      </c>
      <c r="W1240">
        <v>4.79</v>
      </c>
      <c r="X1240">
        <v>0.35</v>
      </c>
      <c r="Y1240">
        <v>0.37</v>
      </c>
      <c r="Z1240">
        <v>0</v>
      </c>
      <c r="AA1240">
        <v>0</v>
      </c>
      <c r="AB1240">
        <v>0.04</v>
      </c>
      <c r="AC1240">
        <v>8.02</v>
      </c>
      <c r="AD1240">
        <v>21.48</v>
      </c>
      <c r="AE1240">
        <v>5.12</v>
      </c>
      <c r="AF1240">
        <v>0</v>
      </c>
      <c r="AG1240">
        <v>4.07</v>
      </c>
      <c r="AH1240">
        <v>59.79</v>
      </c>
      <c r="AI1240">
        <v>4.41</v>
      </c>
      <c r="AJ1240">
        <v>4.59</v>
      </c>
      <c r="AK1240">
        <v>0</v>
      </c>
      <c r="AL1240">
        <v>0</v>
      </c>
      <c r="AM1240">
        <v>0.54</v>
      </c>
      <c r="AN1240">
        <f t="shared" si="58"/>
        <v>6</v>
      </c>
      <c r="AO1240" t="str">
        <f t="shared" si="59"/>
        <v>Friday</v>
      </c>
    </row>
    <row r="1241" spans="1:41" x14ac:dyDescent="0.2">
      <c r="A1241" t="s">
        <v>39</v>
      </c>
      <c r="B1241" s="1">
        <v>45751</v>
      </c>
      <c r="C1241" s="1">
        <f t="shared" si="57"/>
        <v>45777</v>
      </c>
      <c r="D1241">
        <v>22</v>
      </c>
      <c r="E1241">
        <v>68</v>
      </c>
      <c r="F1241">
        <v>16</v>
      </c>
      <c r="G1241">
        <v>10</v>
      </c>
      <c r="H1241">
        <v>14</v>
      </c>
      <c r="I1241">
        <v>0</v>
      </c>
      <c r="J1241">
        <v>5</v>
      </c>
      <c r="K1241">
        <v>20</v>
      </c>
      <c r="L1241" t="s">
        <v>39</v>
      </c>
      <c r="M1241" t="s">
        <v>38</v>
      </c>
      <c r="N1241" s="1">
        <v>45751</v>
      </c>
      <c r="O1241" s="2">
        <v>0.54202546296296295</v>
      </c>
      <c r="P1241" s="2">
        <v>0.91675925925925927</v>
      </c>
      <c r="Q1241">
        <v>9</v>
      </c>
      <c r="R1241">
        <v>8.92</v>
      </c>
      <c r="S1241">
        <v>2.11</v>
      </c>
      <c r="T1241">
        <v>0.03</v>
      </c>
      <c r="U1241">
        <v>0</v>
      </c>
      <c r="V1241">
        <v>0.04</v>
      </c>
      <c r="W1241">
        <v>4.49</v>
      </c>
      <c r="X1241">
        <v>1.41</v>
      </c>
      <c r="Y1241">
        <v>0.82</v>
      </c>
      <c r="Z1241">
        <v>0</v>
      </c>
      <c r="AA1241">
        <v>0</v>
      </c>
      <c r="AB1241">
        <v>0.02</v>
      </c>
      <c r="AC1241">
        <v>8.92</v>
      </c>
      <c r="AD1241">
        <v>23.67</v>
      </c>
      <c r="AE1241">
        <v>0.34</v>
      </c>
      <c r="AF1241">
        <v>0</v>
      </c>
      <c r="AG1241">
        <v>0.44</v>
      </c>
      <c r="AH1241">
        <v>50.31</v>
      </c>
      <c r="AI1241">
        <v>15.86</v>
      </c>
      <c r="AJ1241">
        <v>9.19</v>
      </c>
      <c r="AK1241">
        <v>0</v>
      </c>
      <c r="AL1241">
        <v>0</v>
      </c>
      <c r="AM1241">
        <v>0.19</v>
      </c>
      <c r="AN1241">
        <f t="shared" si="58"/>
        <v>6</v>
      </c>
      <c r="AO1241" t="str">
        <f t="shared" si="59"/>
        <v>Friday</v>
      </c>
    </row>
    <row r="1242" spans="1:41" x14ac:dyDescent="0.2">
      <c r="A1242" t="s">
        <v>41</v>
      </c>
      <c r="B1242" s="1">
        <v>45751</v>
      </c>
      <c r="C1242" s="1">
        <f t="shared" si="57"/>
        <v>45777</v>
      </c>
      <c r="D1242">
        <v>30</v>
      </c>
      <c r="E1242">
        <v>82</v>
      </c>
      <c r="F1242">
        <v>7</v>
      </c>
      <c r="G1242">
        <v>0</v>
      </c>
      <c r="H1242">
        <v>12</v>
      </c>
      <c r="I1242">
        <v>0</v>
      </c>
      <c r="J1242">
        <v>0</v>
      </c>
      <c r="K1242">
        <v>54</v>
      </c>
      <c r="L1242" t="s">
        <v>41</v>
      </c>
      <c r="M1242" t="s">
        <v>38</v>
      </c>
      <c r="N1242" s="1">
        <v>45751</v>
      </c>
      <c r="O1242" s="2">
        <v>0.56512731481481482</v>
      </c>
      <c r="P1242" s="2">
        <v>0.91693287037037041</v>
      </c>
      <c r="Q1242">
        <v>8.4499999999999993</v>
      </c>
      <c r="R1242">
        <v>8.44</v>
      </c>
      <c r="S1242">
        <v>1.19</v>
      </c>
      <c r="T1242">
        <v>0.02</v>
      </c>
      <c r="U1242">
        <v>0</v>
      </c>
      <c r="V1242">
        <v>0.17</v>
      </c>
      <c r="W1242">
        <v>5.34</v>
      </c>
      <c r="X1242">
        <v>1.45</v>
      </c>
      <c r="Y1242">
        <v>0.27</v>
      </c>
      <c r="Z1242">
        <v>0</v>
      </c>
      <c r="AA1242">
        <v>0</v>
      </c>
      <c r="AB1242">
        <v>0</v>
      </c>
      <c r="AC1242">
        <v>8.44</v>
      </c>
      <c r="AD1242">
        <v>14.11</v>
      </c>
      <c r="AE1242">
        <v>0.28999999999999998</v>
      </c>
      <c r="AF1242">
        <v>0</v>
      </c>
      <c r="AG1242">
        <v>2.0099999999999998</v>
      </c>
      <c r="AH1242">
        <v>63.22</v>
      </c>
      <c r="AI1242">
        <v>17.170000000000002</v>
      </c>
      <c r="AJ1242">
        <v>3.17</v>
      </c>
      <c r="AK1242">
        <v>0</v>
      </c>
      <c r="AL1242">
        <v>0</v>
      </c>
      <c r="AM1242">
        <v>0.04</v>
      </c>
      <c r="AN1242">
        <f t="shared" si="58"/>
        <v>6</v>
      </c>
      <c r="AO1242" t="str">
        <f t="shared" si="59"/>
        <v>Friday</v>
      </c>
    </row>
    <row r="1243" spans="1:41" x14ac:dyDescent="0.2">
      <c r="A1243" t="s">
        <v>43</v>
      </c>
      <c r="B1243" s="1">
        <v>45751</v>
      </c>
      <c r="C1243" s="1">
        <f t="shared" si="57"/>
        <v>45777</v>
      </c>
      <c r="D1243">
        <v>25</v>
      </c>
      <c r="E1243">
        <v>72</v>
      </c>
      <c r="F1243">
        <v>4</v>
      </c>
      <c r="G1243">
        <v>3</v>
      </c>
      <c r="H1243">
        <v>9</v>
      </c>
      <c r="I1243">
        <v>0</v>
      </c>
      <c r="J1243">
        <v>1</v>
      </c>
      <c r="K1243">
        <v>44</v>
      </c>
      <c r="L1243" t="s">
        <v>43</v>
      </c>
      <c r="M1243" t="s">
        <v>38</v>
      </c>
      <c r="N1243" s="1">
        <v>45751</v>
      </c>
      <c r="O1243" s="2">
        <v>0.541875</v>
      </c>
      <c r="P1243" s="2">
        <v>0.92298611111111106</v>
      </c>
      <c r="Q1243">
        <v>9.15</v>
      </c>
      <c r="R1243">
        <v>9.15</v>
      </c>
      <c r="S1243">
        <v>0.99</v>
      </c>
      <c r="T1243">
        <v>0.18</v>
      </c>
      <c r="U1243">
        <v>0</v>
      </c>
      <c r="V1243">
        <v>0.33</v>
      </c>
      <c r="W1243">
        <v>5.38</v>
      </c>
      <c r="X1243">
        <v>1.71</v>
      </c>
      <c r="Y1243">
        <v>0.55000000000000004</v>
      </c>
      <c r="Z1243">
        <v>0</v>
      </c>
      <c r="AA1243">
        <v>0</v>
      </c>
      <c r="AB1243">
        <v>0</v>
      </c>
      <c r="AC1243">
        <v>9.15</v>
      </c>
      <c r="AD1243">
        <v>10.86</v>
      </c>
      <c r="AE1243">
        <v>1.95</v>
      </c>
      <c r="AF1243">
        <v>0</v>
      </c>
      <c r="AG1243">
        <v>3.65</v>
      </c>
      <c r="AH1243">
        <v>58.79</v>
      </c>
      <c r="AI1243">
        <v>18.73</v>
      </c>
      <c r="AJ1243">
        <v>5.98</v>
      </c>
      <c r="AK1243">
        <v>0</v>
      </c>
      <c r="AL1243">
        <v>0</v>
      </c>
      <c r="AM1243">
        <v>0.04</v>
      </c>
      <c r="AN1243">
        <f t="shared" si="58"/>
        <v>6</v>
      </c>
      <c r="AO1243" t="str">
        <f t="shared" si="59"/>
        <v>Friday</v>
      </c>
    </row>
    <row r="1244" spans="1:41" x14ac:dyDescent="0.2">
      <c r="B1244" s="1">
        <v>45751</v>
      </c>
      <c r="C1244" s="1">
        <f t="shared" si="57"/>
        <v>45777</v>
      </c>
      <c r="D1244">
        <v>688</v>
      </c>
      <c r="E1244">
        <v>0</v>
      </c>
      <c r="F1244">
        <v>0</v>
      </c>
      <c r="G1244">
        <v>0</v>
      </c>
      <c r="H1244">
        <v>0</v>
      </c>
      <c r="I1244">
        <v>0</v>
      </c>
      <c r="J1244">
        <v>0</v>
      </c>
      <c r="K1244">
        <v>0</v>
      </c>
      <c r="AN1244">
        <f t="shared" si="58"/>
        <v>6</v>
      </c>
      <c r="AO1244" t="str">
        <f t="shared" si="59"/>
        <v>Friday</v>
      </c>
    </row>
    <row r="1245" spans="1:41" x14ac:dyDescent="0.2">
      <c r="A1245" t="s">
        <v>37</v>
      </c>
      <c r="B1245" s="1">
        <v>45750</v>
      </c>
      <c r="C1245" s="1">
        <f t="shared" si="57"/>
        <v>45777</v>
      </c>
      <c r="D1245">
        <v>31</v>
      </c>
      <c r="E1245">
        <v>81</v>
      </c>
      <c r="F1245">
        <v>4</v>
      </c>
      <c r="G1245">
        <v>5</v>
      </c>
      <c r="H1245">
        <v>8</v>
      </c>
      <c r="I1245">
        <v>0</v>
      </c>
      <c r="J1245">
        <v>0</v>
      </c>
      <c r="K1245">
        <v>52</v>
      </c>
      <c r="L1245" t="s">
        <v>37</v>
      </c>
      <c r="M1245" t="s">
        <v>38</v>
      </c>
      <c r="N1245" s="1">
        <v>45750</v>
      </c>
      <c r="O1245" s="2">
        <v>0.54241898148148149</v>
      </c>
      <c r="P1245" s="2">
        <v>0.91678240740740746</v>
      </c>
      <c r="Q1245">
        <v>8.98</v>
      </c>
      <c r="R1245">
        <v>8.01</v>
      </c>
      <c r="S1245">
        <v>1.27</v>
      </c>
      <c r="T1245">
        <v>0.45</v>
      </c>
      <c r="U1245">
        <v>0</v>
      </c>
      <c r="V1245">
        <v>0.49</v>
      </c>
      <c r="W1245">
        <v>4.34</v>
      </c>
      <c r="X1245">
        <v>0.28999999999999998</v>
      </c>
      <c r="Y1245">
        <v>1.1599999999999999</v>
      </c>
      <c r="Z1245">
        <v>0</v>
      </c>
      <c r="AA1245">
        <v>0</v>
      </c>
      <c r="AB1245">
        <v>0.01</v>
      </c>
      <c r="AC1245">
        <v>8.01</v>
      </c>
      <c r="AD1245">
        <v>15.9</v>
      </c>
      <c r="AE1245">
        <v>5.58</v>
      </c>
      <c r="AF1245">
        <v>0</v>
      </c>
      <c r="AG1245">
        <v>6.17</v>
      </c>
      <c r="AH1245">
        <v>54.18</v>
      </c>
      <c r="AI1245">
        <v>3.59</v>
      </c>
      <c r="AJ1245">
        <v>14.46</v>
      </c>
      <c r="AK1245">
        <v>0</v>
      </c>
      <c r="AL1245">
        <v>0</v>
      </c>
      <c r="AM1245">
        <v>0.12</v>
      </c>
      <c r="AN1245">
        <f t="shared" si="58"/>
        <v>5</v>
      </c>
      <c r="AO1245" t="str">
        <f t="shared" si="59"/>
        <v>Thursday</v>
      </c>
    </row>
    <row r="1246" spans="1:41" x14ac:dyDescent="0.2">
      <c r="A1246" t="s">
        <v>39</v>
      </c>
      <c r="B1246" s="1">
        <v>45750</v>
      </c>
      <c r="C1246" s="1">
        <f t="shared" si="57"/>
        <v>45777</v>
      </c>
      <c r="D1246">
        <v>34</v>
      </c>
      <c r="E1246">
        <v>94</v>
      </c>
      <c r="F1246">
        <v>5</v>
      </c>
      <c r="G1246">
        <v>7</v>
      </c>
      <c r="H1246">
        <v>10</v>
      </c>
      <c r="I1246">
        <v>0</v>
      </c>
      <c r="J1246">
        <v>0</v>
      </c>
      <c r="K1246">
        <v>62</v>
      </c>
      <c r="L1246" t="s">
        <v>39</v>
      </c>
      <c r="M1246" t="s">
        <v>38</v>
      </c>
      <c r="N1246" s="1">
        <v>45750</v>
      </c>
      <c r="O1246" s="2">
        <v>0.54175925925925927</v>
      </c>
      <c r="P1246" s="2">
        <v>0.91671296296296301</v>
      </c>
      <c r="Q1246">
        <v>9</v>
      </c>
      <c r="R1246">
        <v>9</v>
      </c>
      <c r="S1246">
        <v>1.1100000000000001</v>
      </c>
      <c r="T1246">
        <v>0.26</v>
      </c>
      <c r="U1246">
        <v>0</v>
      </c>
      <c r="V1246">
        <v>0.1</v>
      </c>
      <c r="W1246">
        <v>5.04</v>
      </c>
      <c r="X1246">
        <v>1.47</v>
      </c>
      <c r="Y1246">
        <v>1.01</v>
      </c>
      <c r="Z1246">
        <v>0</v>
      </c>
      <c r="AA1246">
        <v>0</v>
      </c>
      <c r="AB1246">
        <v>0.01</v>
      </c>
      <c r="AC1246">
        <v>9</v>
      </c>
      <c r="AD1246">
        <v>12.37</v>
      </c>
      <c r="AE1246">
        <v>2.93</v>
      </c>
      <c r="AF1246">
        <v>0</v>
      </c>
      <c r="AG1246">
        <v>1.06</v>
      </c>
      <c r="AH1246">
        <v>55.97</v>
      </c>
      <c r="AI1246">
        <v>16.28</v>
      </c>
      <c r="AJ1246">
        <v>11.23</v>
      </c>
      <c r="AK1246">
        <v>0</v>
      </c>
      <c r="AL1246">
        <v>0</v>
      </c>
      <c r="AM1246">
        <v>0.16</v>
      </c>
      <c r="AN1246">
        <f t="shared" si="58"/>
        <v>5</v>
      </c>
      <c r="AO1246" t="str">
        <f t="shared" si="59"/>
        <v>Thursday</v>
      </c>
    </row>
    <row r="1247" spans="1:41" x14ac:dyDescent="0.2">
      <c r="A1247" t="s">
        <v>41</v>
      </c>
      <c r="B1247" s="1">
        <v>45750</v>
      </c>
      <c r="C1247" s="1">
        <f t="shared" si="57"/>
        <v>45777</v>
      </c>
      <c r="D1247">
        <v>28</v>
      </c>
      <c r="E1247">
        <v>47</v>
      </c>
      <c r="F1247">
        <v>1</v>
      </c>
      <c r="G1247">
        <v>8</v>
      </c>
      <c r="H1247">
        <v>10</v>
      </c>
      <c r="I1247">
        <v>0</v>
      </c>
      <c r="J1247">
        <v>2</v>
      </c>
      <c r="K1247">
        <v>20</v>
      </c>
      <c r="L1247" t="s">
        <v>41</v>
      </c>
      <c r="M1247" t="s">
        <v>38</v>
      </c>
      <c r="N1247" s="1">
        <v>45750</v>
      </c>
      <c r="O1247" s="2">
        <v>0.62488425925925928</v>
      </c>
      <c r="P1247" s="2">
        <v>0.91628472222222224</v>
      </c>
      <c r="Q1247">
        <v>7</v>
      </c>
      <c r="R1247">
        <v>6.99</v>
      </c>
      <c r="S1247">
        <v>0.95</v>
      </c>
      <c r="T1247">
        <v>0.26</v>
      </c>
      <c r="U1247">
        <v>0</v>
      </c>
      <c r="V1247">
        <v>0.17</v>
      </c>
      <c r="W1247">
        <v>3.16</v>
      </c>
      <c r="X1247">
        <v>1.45</v>
      </c>
      <c r="Y1247">
        <v>1.01</v>
      </c>
      <c r="Z1247">
        <v>0</v>
      </c>
      <c r="AA1247">
        <v>0</v>
      </c>
      <c r="AB1247">
        <v>0</v>
      </c>
      <c r="AC1247">
        <v>6.99</v>
      </c>
      <c r="AD1247">
        <v>13.62</v>
      </c>
      <c r="AE1247">
        <v>3.67</v>
      </c>
      <c r="AF1247">
        <v>0</v>
      </c>
      <c r="AG1247">
        <v>2.42</v>
      </c>
      <c r="AH1247">
        <v>45.17</v>
      </c>
      <c r="AI1247">
        <v>20.66</v>
      </c>
      <c r="AJ1247">
        <v>14.38</v>
      </c>
      <c r="AK1247">
        <v>0</v>
      </c>
      <c r="AL1247">
        <v>0</v>
      </c>
      <c r="AM1247">
        <v>7.0000000000000007E-2</v>
      </c>
      <c r="AN1247">
        <f t="shared" si="58"/>
        <v>5</v>
      </c>
      <c r="AO1247" t="str">
        <f t="shared" si="59"/>
        <v>Thursday</v>
      </c>
    </row>
    <row r="1248" spans="1:41" x14ac:dyDescent="0.2">
      <c r="A1248" t="s">
        <v>43</v>
      </c>
      <c r="B1248" s="1">
        <v>45750</v>
      </c>
      <c r="C1248" s="1">
        <f t="shared" si="57"/>
        <v>45777</v>
      </c>
      <c r="D1248">
        <v>39</v>
      </c>
      <c r="E1248">
        <v>118</v>
      </c>
      <c r="F1248">
        <v>4</v>
      </c>
      <c r="G1248">
        <v>2</v>
      </c>
      <c r="H1248">
        <v>9</v>
      </c>
      <c r="I1248">
        <v>0</v>
      </c>
      <c r="J1248">
        <v>0</v>
      </c>
      <c r="K1248">
        <v>72</v>
      </c>
      <c r="L1248" t="s">
        <v>43</v>
      </c>
      <c r="M1248" t="s">
        <v>38</v>
      </c>
      <c r="N1248" s="1">
        <v>45750</v>
      </c>
      <c r="O1248" s="2">
        <v>0.54282407407407407</v>
      </c>
      <c r="P1248" s="2">
        <v>0.91956018518518523</v>
      </c>
      <c r="Q1248">
        <v>9.0500000000000007</v>
      </c>
      <c r="R1248">
        <v>9.0299999999999994</v>
      </c>
      <c r="S1248">
        <v>0.86</v>
      </c>
      <c r="T1248">
        <v>0.28999999999999998</v>
      </c>
      <c r="U1248">
        <v>0</v>
      </c>
      <c r="V1248">
        <v>0.36</v>
      </c>
      <c r="W1248">
        <v>4.1100000000000003</v>
      </c>
      <c r="X1248">
        <v>1.45</v>
      </c>
      <c r="Y1248">
        <v>1.74</v>
      </c>
      <c r="Z1248">
        <v>0</v>
      </c>
      <c r="AA1248">
        <v>0.2</v>
      </c>
      <c r="AB1248">
        <v>0.03</v>
      </c>
      <c r="AC1248">
        <v>9.0299999999999994</v>
      </c>
      <c r="AD1248">
        <v>9.5</v>
      </c>
      <c r="AE1248">
        <v>3.22</v>
      </c>
      <c r="AF1248">
        <v>0</v>
      </c>
      <c r="AG1248">
        <v>3.96</v>
      </c>
      <c r="AH1248">
        <v>45.47</v>
      </c>
      <c r="AI1248">
        <v>16.07</v>
      </c>
      <c r="AJ1248">
        <v>19.3</v>
      </c>
      <c r="AK1248">
        <v>0</v>
      </c>
      <c r="AL1248">
        <v>2.2000000000000002</v>
      </c>
      <c r="AM1248">
        <v>0.28000000000000003</v>
      </c>
      <c r="AN1248">
        <f t="shared" si="58"/>
        <v>5</v>
      </c>
      <c r="AO1248" t="str">
        <f t="shared" si="59"/>
        <v>Thursday</v>
      </c>
    </row>
    <row r="1249" spans="1:41" x14ac:dyDescent="0.2">
      <c r="B1249" s="1">
        <v>45750</v>
      </c>
      <c r="C1249" s="1">
        <f t="shared" si="57"/>
        <v>45777</v>
      </c>
      <c r="D1249">
        <v>694</v>
      </c>
      <c r="E1249">
        <v>0</v>
      </c>
      <c r="F1249">
        <v>0</v>
      </c>
      <c r="G1249">
        <v>0</v>
      </c>
      <c r="H1249">
        <v>0</v>
      </c>
      <c r="I1249">
        <v>0</v>
      </c>
      <c r="J1249">
        <v>0</v>
      </c>
      <c r="K1249">
        <v>0</v>
      </c>
      <c r="AN1249">
        <f t="shared" si="58"/>
        <v>5</v>
      </c>
      <c r="AO1249" t="str">
        <f t="shared" si="59"/>
        <v>Thursday</v>
      </c>
    </row>
    <row r="1250" spans="1:41" x14ac:dyDescent="0.2">
      <c r="A1250" t="s">
        <v>53</v>
      </c>
      <c r="B1250" s="1">
        <v>45749</v>
      </c>
      <c r="C1250" s="1">
        <f t="shared" si="57"/>
        <v>45777</v>
      </c>
      <c r="D1250">
        <v>1</v>
      </c>
      <c r="E1250">
        <v>2</v>
      </c>
      <c r="F1250">
        <v>1</v>
      </c>
      <c r="G1250">
        <v>0</v>
      </c>
      <c r="H1250">
        <v>1</v>
      </c>
      <c r="I1250">
        <v>0</v>
      </c>
      <c r="J1250">
        <v>0</v>
      </c>
      <c r="K1250">
        <v>0</v>
      </c>
      <c r="L1250" t="s">
        <v>53</v>
      </c>
      <c r="M1250" t="s">
        <v>38</v>
      </c>
      <c r="N1250" s="1">
        <v>45749</v>
      </c>
      <c r="O1250" s="2">
        <v>0.7524305555555556</v>
      </c>
      <c r="P1250" s="2">
        <v>0.96333333333333337</v>
      </c>
      <c r="Q1250">
        <v>5.07</v>
      </c>
      <c r="R1250">
        <v>5.0599999999999996</v>
      </c>
      <c r="S1250">
        <v>0.31</v>
      </c>
      <c r="T1250">
        <v>0</v>
      </c>
      <c r="U1250">
        <v>0</v>
      </c>
      <c r="V1250">
        <v>0.01</v>
      </c>
      <c r="W1250">
        <v>0</v>
      </c>
      <c r="X1250">
        <v>0</v>
      </c>
      <c r="Y1250">
        <v>0</v>
      </c>
      <c r="Z1250">
        <v>0</v>
      </c>
      <c r="AA1250">
        <v>0</v>
      </c>
      <c r="AB1250">
        <v>4.75</v>
      </c>
      <c r="AC1250">
        <v>5.0599999999999996</v>
      </c>
      <c r="AD1250">
        <v>6.14</v>
      </c>
      <c r="AE1250">
        <v>0</v>
      </c>
      <c r="AF1250">
        <v>0</v>
      </c>
      <c r="AG1250">
        <v>0.12</v>
      </c>
      <c r="AH1250">
        <v>0</v>
      </c>
      <c r="AI1250">
        <v>0</v>
      </c>
      <c r="AJ1250">
        <v>0</v>
      </c>
      <c r="AK1250">
        <v>0</v>
      </c>
      <c r="AL1250">
        <v>0</v>
      </c>
      <c r="AM1250">
        <v>93.74</v>
      </c>
      <c r="AN1250">
        <f t="shared" si="58"/>
        <v>4</v>
      </c>
      <c r="AO1250" t="str">
        <f t="shared" si="59"/>
        <v>Wednesday</v>
      </c>
    </row>
    <row r="1251" spans="1:41" x14ac:dyDescent="0.2">
      <c r="A1251" t="s">
        <v>37</v>
      </c>
      <c r="B1251" s="1">
        <v>45749</v>
      </c>
      <c r="C1251" s="1">
        <f t="shared" si="57"/>
        <v>45777</v>
      </c>
      <c r="D1251">
        <v>21</v>
      </c>
      <c r="E1251">
        <v>73</v>
      </c>
      <c r="F1251">
        <v>6</v>
      </c>
      <c r="G1251">
        <v>5</v>
      </c>
      <c r="H1251">
        <v>1</v>
      </c>
      <c r="I1251">
        <v>0</v>
      </c>
      <c r="J1251">
        <v>0</v>
      </c>
      <c r="K1251">
        <v>52</v>
      </c>
      <c r="L1251" t="s">
        <v>37</v>
      </c>
      <c r="M1251" t="s">
        <v>38</v>
      </c>
      <c r="N1251" s="1">
        <v>45749</v>
      </c>
      <c r="O1251" s="2">
        <v>0.54234953703703703</v>
      </c>
      <c r="P1251" s="2">
        <v>0.9173958333333333</v>
      </c>
      <c r="Q1251">
        <v>9.02</v>
      </c>
      <c r="R1251">
        <v>8.08</v>
      </c>
      <c r="S1251">
        <v>1.17</v>
      </c>
      <c r="T1251">
        <v>0.14000000000000001</v>
      </c>
      <c r="U1251">
        <v>0</v>
      </c>
      <c r="V1251">
        <v>0.27</v>
      </c>
      <c r="W1251">
        <v>6.13</v>
      </c>
      <c r="X1251">
        <v>0.32</v>
      </c>
      <c r="Y1251">
        <v>0</v>
      </c>
      <c r="Z1251">
        <v>0</v>
      </c>
      <c r="AA1251">
        <v>0</v>
      </c>
      <c r="AB1251">
        <v>0.04</v>
      </c>
      <c r="AC1251">
        <v>8.08</v>
      </c>
      <c r="AD1251">
        <v>14.46</v>
      </c>
      <c r="AE1251">
        <v>1.77</v>
      </c>
      <c r="AF1251">
        <v>0</v>
      </c>
      <c r="AG1251">
        <v>3.35</v>
      </c>
      <c r="AH1251">
        <v>75.87</v>
      </c>
      <c r="AI1251">
        <v>4</v>
      </c>
      <c r="AJ1251">
        <v>0</v>
      </c>
      <c r="AK1251">
        <v>0</v>
      </c>
      <c r="AL1251">
        <v>0</v>
      </c>
      <c r="AM1251">
        <v>0.55000000000000004</v>
      </c>
      <c r="AN1251">
        <f t="shared" si="58"/>
        <v>4</v>
      </c>
      <c r="AO1251" t="str">
        <f t="shared" si="59"/>
        <v>Wednesday</v>
      </c>
    </row>
    <row r="1252" spans="1:41" x14ac:dyDescent="0.2">
      <c r="A1252" t="s">
        <v>52</v>
      </c>
      <c r="B1252" s="1">
        <v>45749</v>
      </c>
      <c r="C1252" s="1">
        <f t="shared" si="57"/>
        <v>45777</v>
      </c>
      <c r="D1252">
        <v>1</v>
      </c>
      <c r="E1252">
        <v>1</v>
      </c>
      <c r="F1252">
        <v>1</v>
      </c>
      <c r="G1252">
        <v>0</v>
      </c>
      <c r="H1252">
        <v>0</v>
      </c>
      <c r="I1252">
        <v>0</v>
      </c>
      <c r="J1252">
        <v>0</v>
      </c>
      <c r="K1252">
        <v>0</v>
      </c>
      <c r="L1252" t="s">
        <v>52</v>
      </c>
      <c r="M1252" t="s">
        <v>38</v>
      </c>
      <c r="N1252" s="1">
        <v>45749</v>
      </c>
      <c r="O1252" s="2">
        <v>0.7525694444444444</v>
      </c>
      <c r="P1252" s="2">
        <v>0.79458333333333331</v>
      </c>
      <c r="Q1252">
        <v>1.02</v>
      </c>
      <c r="R1252">
        <v>1.01</v>
      </c>
      <c r="S1252">
        <v>0.41</v>
      </c>
      <c r="T1252">
        <v>0</v>
      </c>
      <c r="U1252">
        <v>0</v>
      </c>
      <c r="V1252">
        <v>0</v>
      </c>
      <c r="W1252">
        <v>0</v>
      </c>
      <c r="X1252">
        <v>0</v>
      </c>
      <c r="Y1252">
        <v>0</v>
      </c>
      <c r="Z1252">
        <v>0</v>
      </c>
      <c r="AA1252">
        <v>0</v>
      </c>
      <c r="AB1252">
        <v>0.6</v>
      </c>
      <c r="AC1252">
        <v>1.01</v>
      </c>
      <c r="AD1252">
        <v>40.51</v>
      </c>
      <c r="AE1252">
        <v>0</v>
      </c>
      <c r="AF1252">
        <v>0</v>
      </c>
      <c r="AG1252">
        <v>0</v>
      </c>
      <c r="AH1252">
        <v>0</v>
      </c>
      <c r="AI1252">
        <v>0</v>
      </c>
      <c r="AJ1252">
        <v>0</v>
      </c>
      <c r="AK1252">
        <v>0</v>
      </c>
      <c r="AL1252">
        <v>0</v>
      </c>
      <c r="AM1252">
        <v>59.49</v>
      </c>
      <c r="AN1252">
        <f t="shared" si="58"/>
        <v>4</v>
      </c>
      <c r="AO1252" t="str">
        <f t="shared" si="59"/>
        <v>Wednesday</v>
      </c>
    </row>
    <row r="1253" spans="1:41" x14ac:dyDescent="0.2">
      <c r="A1253" t="s">
        <v>39</v>
      </c>
      <c r="B1253" s="1">
        <v>45749</v>
      </c>
      <c r="C1253" s="1">
        <f t="shared" si="57"/>
        <v>45777</v>
      </c>
      <c r="D1253">
        <v>25</v>
      </c>
      <c r="E1253">
        <v>116</v>
      </c>
      <c r="F1253">
        <v>0</v>
      </c>
      <c r="G1253">
        <v>4</v>
      </c>
      <c r="H1253">
        <v>8</v>
      </c>
      <c r="I1253">
        <v>0</v>
      </c>
      <c r="J1253">
        <v>3</v>
      </c>
      <c r="K1253">
        <v>89</v>
      </c>
      <c r="L1253" t="s">
        <v>39</v>
      </c>
      <c r="M1253" t="s">
        <v>38</v>
      </c>
      <c r="N1253" s="1">
        <v>45749</v>
      </c>
      <c r="O1253" s="2">
        <v>0.54173611111111108</v>
      </c>
      <c r="P1253" s="2">
        <v>0.91672453703703705</v>
      </c>
      <c r="Q1253">
        <v>9</v>
      </c>
      <c r="R1253">
        <v>9</v>
      </c>
      <c r="S1253">
        <v>0.75</v>
      </c>
      <c r="T1253">
        <v>0.15</v>
      </c>
      <c r="U1253">
        <v>0</v>
      </c>
      <c r="V1253">
        <v>0.05</v>
      </c>
      <c r="W1253">
        <v>6.58</v>
      </c>
      <c r="X1253">
        <v>1.47</v>
      </c>
      <c r="Y1253">
        <v>0</v>
      </c>
      <c r="Z1253">
        <v>0</v>
      </c>
      <c r="AA1253">
        <v>0</v>
      </c>
      <c r="AB1253">
        <v>0</v>
      </c>
      <c r="AC1253">
        <v>9</v>
      </c>
      <c r="AD1253">
        <v>8.3000000000000007</v>
      </c>
      <c r="AE1253">
        <v>1.72</v>
      </c>
      <c r="AF1253">
        <v>0</v>
      </c>
      <c r="AG1253">
        <v>0.5</v>
      </c>
      <c r="AH1253">
        <v>73.11</v>
      </c>
      <c r="AI1253">
        <v>16.329999999999998</v>
      </c>
      <c r="AJ1253">
        <v>0</v>
      </c>
      <c r="AK1253">
        <v>0</v>
      </c>
      <c r="AL1253">
        <v>0</v>
      </c>
      <c r="AM1253">
        <v>0.04</v>
      </c>
      <c r="AN1253">
        <f t="shared" si="58"/>
        <v>4</v>
      </c>
      <c r="AO1253" t="str">
        <f t="shared" si="59"/>
        <v>Wednesday</v>
      </c>
    </row>
    <row r="1254" spans="1:41" x14ac:dyDescent="0.2">
      <c r="A1254" t="s">
        <v>41</v>
      </c>
      <c r="B1254" s="1">
        <v>45749</v>
      </c>
      <c r="C1254" s="1">
        <f t="shared" si="57"/>
        <v>45777</v>
      </c>
      <c r="D1254">
        <v>31</v>
      </c>
      <c r="E1254">
        <v>93</v>
      </c>
      <c r="F1254">
        <v>6</v>
      </c>
      <c r="G1254">
        <v>6</v>
      </c>
      <c r="H1254">
        <v>1</v>
      </c>
      <c r="I1254">
        <v>0</v>
      </c>
      <c r="J1254">
        <v>0</v>
      </c>
      <c r="K1254">
        <v>59</v>
      </c>
      <c r="L1254" t="s">
        <v>41</v>
      </c>
      <c r="M1254" t="s">
        <v>38</v>
      </c>
      <c r="N1254" s="1">
        <v>45749</v>
      </c>
      <c r="O1254" s="2">
        <v>0.54223379629629631</v>
      </c>
      <c r="P1254" s="2">
        <v>0.91577546296296297</v>
      </c>
      <c r="Q1254">
        <v>8.9700000000000006</v>
      </c>
      <c r="R1254">
        <v>8.9600000000000009</v>
      </c>
      <c r="S1254">
        <v>0.56999999999999995</v>
      </c>
      <c r="T1254">
        <v>0</v>
      </c>
      <c r="U1254">
        <v>0</v>
      </c>
      <c r="V1254">
        <v>0.16</v>
      </c>
      <c r="W1254">
        <v>6.17</v>
      </c>
      <c r="X1254">
        <v>1.45</v>
      </c>
      <c r="Y1254">
        <v>0.54</v>
      </c>
      <c r="Z1254">
        <v>0</v>
      </c>
      <c r="AA1254">
        <v>7.0000000000000007E-2</v>
      </c>
      <c r="AB1254">
        <v>0.01</v>
      </c>
      <c r="AC1254">
        <v>8.9600000000000009</v>
      </c>
      <c r="AD1254">
        <v>6.34</v>
      </c>
      <c r="AE1254">
        <v>0</v>
      </c>
      <c r="AF1254">
        <v>0</v>
      </c>
      <c r="AG1254">
        <v>1.8</v>
      </c>
      <c r="AH1254">
        <v>68.81</v>
      </c>
      <c r="AI1254">
        <v>16.13</v>
      </c>
      <c r="AJ1254">
        <v>6</v>
      </c>
      <c r="AK1254">
        <v>0</v>
      </c>
      <c r="AL1254">
        <v>0.83</v>
      </c>
      <c r="AM1254">
        <v>0.1</v>
      </c>
      <c r="AN1254">
        <f t="shared" si="58"/>
        <v>4</v>
      </c>
      <c r="AO1254" t="str">
        <f t="shared" si="59"/>
        <v>Wednesday</v>
      </c>
    </row>
    <row r="1255" spans="1:41" x14ac:dyDescent="0.2">
      <c r="A1255" t="s">
        <v>42</v>
      </c>
      <c r="B1255" s="1">
        <v>45749</v>
      </c>
      <c r="C1255" s="1">
        <f t="shared" si="57"/>
        <v>45777</v>
      </c>
      <c r="D1255">
        <v>1</v>
      </c>
      <c r="E1255">
        <v>1</v>
      </c>
      <c r="F1255">
        <v>0</v>
      </c>
      <c r="G1255">
        <v>0</v>
      </c>
      <c r="H1255">
        <v>0</v>
      </c>
      <c r="I1255">
        <v>0</v>
      </c>
      <c r="J1255">
        <v>0</v>
      </c>
      <c r="K1255">
        <v>0</v>
      </c>
      <c r="L1255" t="s">
        <v>42</v>
      </c>
      <c r="M1255" t="s">
        <v>38</v>
      </c>
      <c r="N1255" s="1">
        <v>45749</v>
      </c>
      <c r="O1255" s="2">
        <v>0.61988425925925927</v>
      </c>
      <c r="P1255" s="2">
        <v>0.89864583333333337</v>
      </c>
      <c r="Q1255">
        <v>6.7</v>
      </c>
      <c r="R1255">
        <v>6.5</v>
      </c>
      <c r="S1255">
        <v>0.02</v>
      </c>
      <c r="T1255">
        <v>0</v>
      </c>
      <c r="U1255">
        <v>0</v>
      </c>
      <c r="V1255">
        <v>0.08</v>
      </c>
      <c r="W1255">
        <v>0</v>
      </c>
      <c r="X1255">
        <v>0</v>
      </c>
      <c r="Y1255">
        <v>6.37</v>
      </c>
      <c r="Z1255">
        <v>0</v>
      </c>
      <c r="AA1255">
        <v>0.01</v>
      </c>
      <c r="AB1255">
        <v>0.01</v>
      </c>
      <c r="AC1255">
        <v>6.5</v>
      </c>
      <c r="AD1255">
        <v>0.3</v>
      </c>
      <c r="AE1255">
        <v>0</v>
      </c>
      <c r="AF1255">
        <v>0</v>
      </c>
      <c r="AG1255">
        <v>1.28</v>
      </c>
      <c r="AH1255">
        <v>0</v>
      </c>
      <c r="AI1255">
        <v>0</v>
      </c>
      <c r="AJ1255">
        <v>98.12</v>
      </c>
      <c r="AK1255">
        <v>0</v>
      </c>
      <c r="AL1255">
        <v>0.16</v>
      </c>
      <c r="AM1255">
        <v>0.13</v>
      </c>
      <c r="AN1255">
        <f t="shared" si="58"/>
        <v>4</v>
      </c>
      <c r="AO1255" t="str">
        <f t="shared" si="59"/>
        <v>Wednesday</v>
      </c>
    </row>
    <row r="1256" spans="1:41" x14ac:dyDescent="0.2">
      <c r="A1256" t="s">
        <v>43</v>
      </c>
      <c r="B1256" s="1">
        <v>45749</v>
      </c>
      <c r="C1256" s="1">
        <f t="shared" si="57"/>
        <v>45777</v>
      </c>
      <c r="D1256">
        <v>28</v>
      </c>
      <c r="E1256">
        <v>102</v>
      </c>
      <c r="F1256">
        <v>0</v>
      </c>
      <c r="G1256">
        <v>8</v>
      </c>
      <c r="H1256">
        <v>6</v>
      </c>
      <c r="I1256">
        <v>1</v>
      </c>
      <c r="J1256">
        <v>1</v>
      </c>
      <c r="K1256">
        <v>66</v>
      </c>
      <c r="L1256" t="s">
        <v>43</v>
      </c>
      <c r="M1256" t="s">
        <v>38</v>
      </c>
      <c r="N1256" s="1">
        <v>45749</v>
      </c>
      <c r="O1256" s="2">
        <v>0.54108796296296291</v>
      </c>
      <c r="P1256" s="2">
        <v>0.9178587962962963</v>
      </c>
      <c r="Q1256">
        <v>9.0299999999999994</v>
      </c>
      <c r="R1256">
        <v>8.92</v>
      </c>
      <c r="S1256">
        <v>1.6</v>
      </c>
      <c r="T1256">
        <v>0.26</v>
      </c>
      <c r="U1256">
        <v>0</v>
      </c>
      <c r="V1256">
        <v>0.17</v>
      </c>
      <c r="W1256">
        <v>5.09</v>
      </c>
      <c r="X1256">
        <v>1.49</v>
      </c>
      <c r="Y1256">
        <v>0.22</v>
      </c>
      <c r="Z1256">
        <v>0</v>
      </c>
      <c r="AA1256">
        <v>7.0000000000000007E-2</v>
      </c>
      <c r="AB1256">
        <v>0.01</v>
      </c>
      <c r="AC1256">
        <v>8.92</v>
      </c>
      <c r="AD1256">
        <v>17.989999999999998</v>
      </c>
      <c r="AE1256">
        <v>2.87</v>
      </c>
      <c r="AF1256">
        <v>0</v>
      </c>
      <c r="AG1256">
        <v>1.93</v>
      </c>
      <c r="AH1256">
        <v>57.06</v>
      </c>
      <c r="AI1256">
        <v>16.760000000000002</v>
      </c>
      <c r="AJ1256">
        <v>2.4700000000000002</v>
      </c>
      <c r="AK1256">
        <v>0</v>
      </c>
      <c r="AL1256">
        <v>0.8</v>
      </c>
      <c r="AM1256">
        <v>0.13</v>
      </c>
      <c r="AN1256">
        <f t="shared" si="58"/>
        <v>4</v>
      </c>
      <c r="AO1256" t="str">
        <f t="shared" si="59"/>
        <v>Wednesday</v>
      </c>
    </row>
    <row r="1257" spans="1:41" x14ac:dyDescent="0.2">
      <c r="B1257" s="1">
        <v>45749</v>
      </c>
      <c r="C1257" s="1">
        <f t="shared" si="57"/>
        <v>45777</v>
      </c>
      <c r="D1257">
        <v>310</v>
      </c>
      <c r="E1257">
        <v>0</v>
      </c>
      <c r="F1257">
        <v>0</v>
      </c>
      <c r="G1257">
        <v>0</v>
      </c>
      <c r="H1257">
        <v>0</v>
      </c>
      <c r="I1257">
        <v>0</v>
      </c>
      <c r="J1257">
        <v>0</v>
      </c>
      <c r="K1257">
        <v>0</v>
      </c>
      <c r="AN1257">
        <f t="shared" si="58"/>
        <v>4</v>
      </c>
      <c r="AO1257" t="str">
        <f t="shared" si="59"/>
        <v>Wednesday</v>
      </c>
    </row>
    <row r="1258" spans="1:41" x14ac:dyDescent="0.2">
      <c r="A1258" t="s">
        <v>37</v>
      </c>
      <c r="B1258" s="1">
        <v>45748</v>
      </c>
      <c r="C1258" s="1">
        <f t="shared" si="57"/>
        <v>45777</v>
      </c>
      <c r="D1258">
        <v>46</v>
      </c>
      <c r="E1258">
        <v>125</v>
      </c>
      <c r="F1258">
        <v>4</v>
      </c>
      <c r="G1258">
        <v>7</v>
      </c>
      <c r="H1258">
        <v>6</v>
      </c>
      <c r="I1258">
        <v>1</v>
      </c>
      <c r="J1258">
        <v>2</v>
      </c>
      <c r="K1258">
        <v>80</v>
      </c>
      <c r="L1258" t="s">
        <v>37</v>
      </c>
      <c r="M1258" t="s">
        <v>38</v>
      </c>
      <c r="N1258" s="1">
        <v>45748</v>
      </c>
      <c r="O1258" s="2">
        <v>0.5428587962962963</v>
      </c>
      <c r="P1258" s="2">
        <v>0.91695601851851849</v>
      </c>
      <c r="Q1258">
        <v>8.98</v>
      </c>
      <c r="R1258">
        <v>8.02</v>
      </c>
      <c r="S1258">
        <v>1.7</v>
      </c>
      <c r="T1258">
        <v>0.3</v>
      </c>
      <c r="U1258">
        <v>0</v>
      </c>
      <c r="V1258">
        <v>0.53</v>
      </c>
      <c r="W1258">
        <v>5.15</v>
      </c>
      <c r="X1258">
        <v>0.33</v>
      </c>
      <c r="Y1258">
        <v>0</v>
      </c>
      <c r="Z1258">
        <v>0</v>
      </c>
      <c r="AA1258">
        <v>0</v>
      </c>
      <c r="AB1258">
        <v>0.01</v>
      </c>
      <c r="AC1258">
        <v>8.02</v>
      </c>
      <c r="AD1258">
        <v>21.18</v>
      </c>
      <c r="AE1258">
        <v>3.78</v>
      </c>
      <c r="AF1258">
        <v>0</v>
      </c>
      <c r="AG1258">
        <v>6.64</v>
      </c>
      <c r="AH1258">
        <v>64.19</v>
      </c>
      <c r="AI1258">
        <v>4.05</v>
      </c>
      <c r="AJ1258">
        <v>0</v>
      </c>
      <c r="AK1258">
        <v>0</v>
      </c>
      <c r="AL1258">
        <v>0</v>
      </c>
      <c r="AM1258">
        <v>0.16</v>
      </c>
      <c r="AN1258">
        <f t="shared" si="58"/>
        <v>3</v>
      </c>
      <c r="AO1258" t="str">
        <f t="shared" si="59"/>
        <v>Tuesday</v>
      </c>
    </row>
    <row r="1259" spans="1:41" x14ac:dyDescent="0.2">
      <c r="A1259" t="s">
        <v>39</v>
      </c>
      <c r="B1259" s="1">
        <v>45748</v>
      </c>
      <c r="C1259" s="1">
        <f t="shared" si="57"/>
        <v>45777</v>
      </c>
      <c r="D1259">
        <v>1</v>
      </c>
      <c r="E1259">
        <v>1</v>
      </c>
      <c r="F1259">
        <v>0</v>
      </c>
      <c r="G1259">
        <v>0</v>
      </c>
      <c r="H1259">
        <v>0</v>
      </c>
      <c r="I1259">
        <v>0</v>
      </c>
      <c r="J1259">
        <v>0</v>
      </c>
      <c r="K1259">
        <v>0</v>
      </c>
      <c r="AN1259">
        <f t="shared" si="58"/>
        <v>3</v>
      </c>
      <c r="AO1259" t="str">
        <f t="shared" si="59"/>
        <v>Tuesday</v>
      </c>
    </row>
    <row r="1260" spans="1:41" x14ac:dyDescent="0.2">
      <c r="A1260" t="s">
        <v>41</v>
      </c>
      <c r="B1260" s="1">
        <v>45748</v>
      </c>
      <c r="C1260" s="1">
        <f t="shared" si="57"/>
        <v>45777</v>
      </c>
      <c r="D1260">
        <v>51</v>
      </c>
      <c r="E1260">
        <v>132</v>
      </c>
      <c r="F1260">
        <v>14</v>
      </c>
      <c r="G1260">
        <v>11</v>
      </c>
      <c r="H1260">
        <v>9</v>
      </c>
      <c r="I1260">
        <v>0</v>
      </c>
      <c r="J1260">
        <v>2</v>
      </c>
      <c r="K1260">
        <v>71</v>
      </c>
      <c r="L1260" t="s">
        <v>41</v>
      </c>
      <c r="M1260" t="s">
        <v>38</v>
      </c>
      <c r="N1260" s="1">
        <v>45748</v>
      </c>
      <c r="O1260" s="2">
        <v>0.54339120370370375</v>
      </c>
      <c r="P1260" s="2">
        <v>0.91678240740740746</v>
      </c>
      <c r="Q1260">
        <v>8.9700000000000006</v>
      </c>
      <c r="R1260">
        <v>8.9600000000000009</v>
      </c>
      <c r="S1260">
        <v>1.97</v>
      </c>
      <c r="T1260">
        <v>0.06</v>
      </c>
      <c r="U1260">
        <v>0</v>
      </c>
      <c r="V1260">
        <v>0.32</v>
      </c>
      <c r="W1260">
        <v>5.16</v>
      </c>
      <c r="X1260">
        <v>1.45</v>
      </c>
      <c r="Y1260">
        <v>0</v>
      </c>
      <c r="Z1260">
        <v>0</v>
      </c>
      <c r="AA1260">
        <v>0</v>
      </c>
      <c r="AB1260">
        <v>0</v>
      </c>
      <c r="AC1260">
        <v>8.9600000000000009</v>
      </c>
      <c r="AD1260">
        <v>21.95</v>
      </c>
      <c r="AE1260">
        <v>0.71</v>
      </c>
      <c r="AF1260">
        <v>0</v>
      </c>
      <c r="AG1260">
        <v>3.59</v>
      </c>
      <c r="AH1260">
        <v>57.55</v>
      </c>
      <c r="AI1260">
        <v>16.16</v>
      </c>
      <c r="AJ1260">
        <v>0</v>
      </c>
      <c r="AK1260">
        <v>0</v>
      </c>
      <c r="AL1260">
        <v>0</v>
      </c>
      <c r="AM1260">
        <v>0.05</v>
      </c>
      <c r="AN1260">
        <f t="shared" si="58"/>
        <v>3</v>
      </c>
      <c r="AO1260" t="str">
        <f t="shared" si="59"/>
        <v>Tuesday</v>
      </c>
    </row>
    <row r="1261" spans="1:41" x14ac:dyDescent="0.2">
      <c r="A1261" t="s">
        <v>54</v>
      </c>
      <c r="B1261" s="1">
        <v>45748</v>
      </c>
      <c r="C1261" s="1">
        <f t="shared" si="57"/>
        <v>45777</v>
      </c>
      <c r="D1261">
        <v>1</v>
      </c>
      <c r="E1261">
        <v>1</v>
      </c>
      <c r="F1261">
        <v>0</v>
      </c>
      <c r="G1261">
        <v>0</v>
      </c>
      <c r="H1261">
        <v>0</v>
      </c>
      <c r="I1261">
        <v>0</v>
      </c>
      <c r="J1261">
        <v>0</v>
      </c>
      <c r="K1261">
        <v>0</v>
      </c>
      <c r="AN1261">
        <f t="shared" si="58"/>
        <v>3</v>
      </c>
      <c r="AO1261" t="str">
        <f t="shared" si="59"/>
        <v>Tuesday</v>
      </c>
    </row>
    <row r="1262" spans="1:41" x14ac:dyDescent="0.2">
      <c r="A1262" t="s">
        <v>43</v>
      </c>
      <c r="B1262" s="1">
        <v>45748</v>
      </c>
      <c r="C1262" s="1">
        <f t="shared" si="57"/>
        <v>45777</v>
      </c>
      <c r="D1262">
        <v>43</v>
      </c>
      <c r="E1262">
        <v>141</v>
      </c>
      <c r="F1262">
        <v>10</v>
      </c>
      <c r="G1262">
        <v>4</v>
      </c>
      <c r="H1262">
        <v>7</v>
      </c>
      <c r="I1262">
        <v>1</v>
      </c>
      <c r="J1262">
        <v>0</v>
      </c>
      <c r="K1262">
        <v>99</v>
      </c>
      <c r="L1262" t="s">
        <v>43</v>
      </c>
      <c r="M1262" t="s">
        <v>38</v>
      </c>
      <c r="N1262" s="1">
        <v>45748</v>
      </c>
      <c r="O1262" s="2">
        <v>0.54098379629629634</v>
      </c>
      <c r="P1262" s="2">
        <v>0.91729166666666662</v>
      </c>
      <c r="Q1262">
        <v>9.02</v>
      </c>
      <c r="R1262">
        <v>9.0299999999999994</v>
      </c>
      <c r="S1262">
        <v>1.03</v>
      </c>
      <c r="T1262">
        <v>0.22</v>
      </c>
      <c r="U1262">
        <v>0</v>
      </c>
      <c r="V1262">
        <v>0.51</v>
      </c>
      <c r="W1262">
        <v>4.57</v>
      </c>
      <c r="X1262">
        <v>1.45</v>
      </c>
      <c r="Y1262">
        <v>1.24</v>
      </c>
      <c r="Z1262">
        <v>0</v>
      </c>
      <c r="AA1262">
        <v>0</v>
      </c>
      <c r="AB1262">
        <v>0.01</v>
      </c>
      <c r="AC1262">
        <v>9.0299999999999994</v>
      </c>
      <c r="AD1262">
        <v>11.39</v>
      </c>
      <c r="AE1262">
        <v>2.46</v>
      </c>
      <c r="AF1262">
        <v>0</v>
      </c>
      <c r="AG1262">
        <v>5.61</v>
      </c>
      <c r="AH1262">
        <v>50.62</v>
      </c>
      <c r="AI1262">
        <v>16.100000000000001</v>
      </c>
      <c r="AJ1262">
        <v>13.75</v>
      </c>
      <c r="AK1262">
        <v>0</v>
      </c>
      <c r="AL1262">
        <v>0</v>
      </c>
      <c r="AM1262">
        <v>0.06</v>
      </c>
      <c r="AN1262">
        <f t="shared" si="58"/>
        <v>3</v>
      </c>
      <c r="AO1262" t="str">
        <f t="shared" si="59"/>
        <v>Tuesday</v>
      </c>
    </row>
    <row r="1263" spans="1:41" x14ac:dyDescent="0.2">
      <c r="B1263" s="1">
        <v>45748</v>
      </c>
      <c r="C1263" s="1">
        <f t="shared" si="57"/>
        <v>45777</v>
      </c>
      <c r="D1263">
        <v>726</v>
      </c>
      <c r="E1263">
        <v>0</v>
      </c>
      <c r="F1263">
        <v>0</v>
      </c>
      <c r="G1263">
        <v>0</v>
      </c>
      <c r="H1263">
        <v>0</v>
      </c>
      <c r="I1263">
        <v>0</v>
      </c>
      <c r="J1263">
        <v>0</v>
      </c>
      <c r="K1263">
        <v>0</v>
      </c>
      <c r="AN1263">
        <f t="shared" si="58"/>
        <v>3</v>
      </c>
      <c r="AO1263" t="str">
        <f t="shared" si="59"/>
        <v>Tuesday</v>
      </c>
    </row>
    <row r="1264" spans="1:41" x14ac:dyDescent="0.2">
      <c r="A1264" t="s">
        <v>37</v>
      </c>
      <c r="B1264" s="1">
        <v>45747</v>
      </c>
      <c r="C1264" s="1">
        <f t="shared" si="57"/>
        <v>45747</v>
      </c>
      <c r="D1264">
        <v>49</v>
      </c>
      <c r="E1264">
        <v>157</v>
      </c>
      <c r="F1264">
        <v>11</v>
      </c>
      <c r="G1264">
        <v>9</v>
      </c>
      <c r="H1264">
        <v>6</v>
      </c>
      <c r="I1264">
        <v>0</v>
      </c>
      <c r="J1264">
        <v>5</v>
      </c>
      <c r="K1264">
        <v>101</v>
      </c>
      <c r="L1264" t="s">
        <v>37</v>
      </c>
      <c r="M1264" t="s">
        <v>38</v>
      </c>
      <c r="N1264" s="1">
        <v>45747</v>
      </c>
      <c r="O1264" s="2">
        <v>0.54319444444444442</v>
      </c>
      <c r="P1264" s="2">
        <v>0.91682870370370373</v>
      </c>
      <c r="Q1264">
        <v>8.9700000000000006</v>
      </c>
      <c r="R1264">
        <v>8.07</v>
      </c>
      <c r="S1264">
        <v>1.91</v>
      </c>
      <c r="T1264">
        <v>0.74</v>
      </c>
      <c r="U1264">
        <v>0</v>
      </c>
      <c r="V1264">
        <v>0.62</v>
      </c>
      <c r="W1264">
        <v>4.4400000000000004</v>
      </c>
      <c r="X1264">
        <v>0.31</v>
      </c>
      <c r="Y1264">
        <v>0</v>
      </c>
      <c r="Z1264">
        <v>0</v>
      </c>
      <c r="AA1264">
        <v>0</v>
      </c>
      <c r="AB1264">
        <v>0.06</v>
      </c>
      <c r="AC1264">
        <v>8.07</v>
      </c>
      <c r="AD1264">
        <v>23.62</v>
      </c>
      <c r="AE1264">
        <v>9.19</v>
      </c>
      <c r="AF1264">
        <v>0</v>
      </c>
      <c r="AG1264">
        <v>7.63</v>
      </c>
      <c r="AH1264">
        <v>55.04</v>
      </c>
      <c r="AI1264">
        <v>3.78</v>
      </c>
      <c r="AJ1264">
        <v>0.01</v>
      </c>
      <c r="AK1264">
        <v>0</v>
      </c>
      <c r="AL1264">
        <v>0</v>
      </c>
      <c r="AM1264">
        <v>0.73</v>
      </c>
      <c r="AN1264">
        <f t="shared" si="58"/>
        <v>2</v>
      </c>
      <c r="AO1264" t="str">
        <f t="shared" si="59"/>
        <v>Monday</v>
      </c>
    </row>
    <row r="1265" spans="1:41" x14ac:dyDescent="0.2">
      <c r="A1265" t="s">
        <v>41</v>
      </c>
      <c r="B1265" s="1">
        <v>45747</v>
      </c>
      <c r="C1265" s="1">
        <f t="shared" si="57"/>
        <v>45747</v>
      </c>
      <c r="D1265">
        <v>60</v>
      </c>
      <c r="E1265">
        <v>147</v>
      </c>
      <c r="F1265">
        <v>13</v>
      </c>
      <c r="G1265">
        <v>21</v>
      </c>
      <c r="H1265">
        <v>14</v>
      </c>
      <c r="I1265">
        <v>0</v>
      </c>
      <c r="J1265">
        <v>2</v>
      </c>
      <c r="K1265">
        <v>72</v>
      </c>
      <c r="L1265" t="s">
        <v>41</v>
      </c>
      <c r="M1265" t="s">
        <v>38</v>
      </c>
      <c r="N1265" s="1">
        <v>45747</v>
      </c>
      <c r="O1265" s="2">
        <v>0.5435416666666667</v>
      </c>
      <c r="P1265" s="2">
        <v>0.91653935185185187</v>
      </c>
      <c r="Q1265">
        <v>8.9499999999999993</v>
      </c>
      <c r="R1265">
        <v>8.8699999999999992</v>
      </c>
      <c r="S1265">
        <v>2.17</v>
      </c>
      <c r="T1265">
        <v>0.19</v>
      </c>
      <c r="U1265">
        <v>0</v>
      </c>
      <c r="V1265">
        <v>0.56999999999999995</v>
      </c>
      <c r="W1265">
        <v>4.45</v>
      </c>
      <c r="X1265">
        <v>1.47</v>
      </c>
      <c r="Y1265">
        <v>0</v>
      </c>
      <c r="Z1265">
        <v>0</v>
      </c>
      <c r="AA1265">
        <v>0</v>
      </c>
      <c r="AB1265">
        <v>0.01</v>
      </c>
      <c r="AC1265">
        <v>8.8699999999999992</v>
      </c>
      <c r="AD1265">
        <v>24.53</v>
      </c>
      <c r="AE1265">
        <v>2.16</v>
      </c>
      <c r="AF1265">
        <v>0</v>
      </c>
      <c r="AG1265">
        <v>6.47</v>
      </c>
      <c r="AH1265">
        <v>50.2</v>
      </c>
      <c r="AI1265">
        <v>16.55</v>
      </c>
      <c r="AJ1265">
        <v>0</v>
      </c>
      <c r="AK1265">
        <v>0</v>
      </c>
      <c r="AL1265">
        <v>0</v>
      </c>
      <c r="AM1265">
        <v>0.08</v>
      </c>
      <c r="AN1265">
        <f t="shared" si="58"/>
        <v>2</v>
      </c>
      <c r="AO1265" t="str">
        <f t="shared" si="59"/>
        <v>Monday</v>
      </c>
    </row>
    <row r="1266" spans="1:41" x14ac:dyDescent="0.2">
      <c r="A1266" t="s">
        <v>43</v>
      </c>
      <c r="B1266" s="1">
        <v>45747</v>
      </c>
      <c r="C1266" s="1">
        <f t="shared" si="57"/>
        <v>45747</v>
      </c>
      <c r="D1266">
        <v>39</v>
      </c>
      <c r="E1266">
        <v>113</v>
      </c>
      <c r="F1266">
        <v>12</v>
      </c>
      <c r="G1266">
        <v>9</v>
      </c>
      <c r="H1266">
        <v>9</v>
      </c>
      <c r="I1266">
        <v>0</v>
      </c>
      <c r="J1266">
        <v>1</v>
      </c>
      <c r="K1266">
        <v>71</v>
      </c>
      <c r="L1266" t="s">
        <v>43</v>
      </c>
      <c r="M1266" t="s">
        <v>38</v>
      </c>
      <c r="N1266" s="1">
        <v>45747</v>
      </c>
      <c r="O1266" s="2">
        <v>0.54182870370370373</v>
      </c>
      <c r="P1266" s="2">
        <v>0.91975694444444445</v>
      </c>
      <c r="Q1266">
        <v>9.07</v>
      </c>
      <c r="R1266">
        <v>9.07</v>
      </c>
      <c r="S1266">
        <v>2</v>
      </c>
      <c r="T1266">
        <v>0.36</v>
      </c>
      <c r="U1266">
        <v>0</v>
      </c>
      <c r="V1266">
        <v>0.61</v>
      </c>
      <c r="W1266">
        <v>4.17</v>
      </c>
      <c r="X1266">
        <v>1.49</v>
      </c>
      <c r="Y1266">
        <v>0.44</v>
      </c>
      <c r="Z1266">
        <v>0</v>
      </c>
      <c r="AA1266">
        <v>0</v>
      </c>
      <c r="AB1266">
        <v>0.01</v>
      </c>
      <c r="AC1266">
        <v>9.07</v>
      </c>
      <c r="AD1266">
        <v>22.03</v>
      </c>
      <c r="AE1266">
        <v>3.96</v>
      </c>
      <c r="AF1266">
        <v>0</v>
      </c>
      <c r="AG1266">
        <v>6.72</v>
      </c>
      <c r="AH1266">
        <v>45.95</v>
      </c>
      <c r="AI1266">
        <v>16.41</v>
      </c>
      <c r="AJ1266">
        <v>4.82</v>
      </c>
      <c r="AK1266">
        <v>0</v>
      </c>
      <c r="AL1266">
        <v>0</v>
      </c>
      <c r="AM1266">
        <v>0.1</v>
      </c>
      <c r="AN1266">
        <f t="shared" si="58"/>
        <v>2</v>
      </c>
      <c r="AO1266" t="str">
        <f t="shared" si="59"/>
        <v>Monday</v>
      </c>
    </row>
    <row r="1267" spans="1:41" x14ac:dyDescent="0.2">
      <c r="B1267" s="1">
        <v>45747</v>
      </c>
      <c r="C1267" s="1">
        <f t="shared" si="57"/>
        <v>45747</v>
      </c>
      <c r="D1267">
        <v>700</v>
      </c>
      <c r="E1267">
        <v>0</v>
      </c>
      <c r="F1267">
        <v>0</v>
      </c>
      <c r="G1267">
        <v>0</v>
      </c>
      <c r="H1267">
        <v>0</v>
      </c>
      <c r="I1267">
        <v>0</v>
      </c>
      <c r="J1267">
        <v>0</v>
      </c>
      <c r="K1267">
        <v>0</v>
      </c>
      <c r="AN1267">
        <f t="shared" si="58"/>
        <v>2</v>
      </c>
      <c r="AO1267" t="str">
        <f t="shared" si="59"/>
        <v>Monday</v>
      </c>
    </row>
    <row r="1268" spans="1:41" x14ac:dyDescent="0.2">
      <c r="A1268" t="s">
        <v>37</v>
      </c>
      <c r="B1268" s="1">
        <v>45744</v>
      </c>
      <c r="C1268" s="1">
        <f t="shared" si="57"/>
        <v>45747</v>
      </c>
      <c r="D1268">
        <v>32</v>
      </c>
      <c r="E1268">
        <v>92</v>
      </c>
      <c r="F1268">
        <v>3</v>
      </c>
      <c r="G1268">
        <v>2</v>
      </c>
      <c r="H1268">
        <v>0</v>
      </c>
      <c r="I1268">
        <v>2</v>
      </c>
      <c r="J1268">
        <v>1</v>
      </c>
      <c r="K1268">
        <v>60</v>
      </c>
      <c r="L1268" t="s">
        <v>37</v>
      </c>
      <c r="M1268" t="s">
        <v>38</v>
      </c>
      <c r="N1268" s="1">
        <v>45744</v>
      </c>
      <c r="O1268" s="2">
        <v>0.54224537037037035</v>
      </c>
      <c r="P1268" s="2">
        <v>0.916875</v>
      </c>
      <c r="Q1268">
        <v>9</v>
      </c>
      <c r="R1268">
        <v>8.06</v>
      </c>
      <c r="S1268">
        <v>0.69</v>
      </c>
      <c r="T1268">
        <v>0.13</v>
      </c>
      <c r="U1268">
        <v>0</v>
      </c>
      <c r="V1268">
        <v>0.28999999999999998</v>
      </c>
      <c r="W1268">
        <v>6.35</v>
      </c>
      <c r="X1268">
        <v>0.57999999999999996</v>
      </c>
      <c r="Y1268">
        <v>0</v>
      </c>
      <c r="Z1268">
        <v>0</v>
      </c>
      <c r="AA1268">
        <v>0</v>
      </c>
      <c r="AB1268">
        <v>0.01</v>
      </c>
      <c r="AC1268">
        <v>8.06</v>
      </c>
      <c r="AD1268">
        <v>8.56</v>
      </c>
      <c r="AE1268">
        <v>1.67</v>
      </c>
      <c r="AF1268">
        <v>0</v>
      </c>
      <c r="AG1268">
        <v>3.58</v>
      </c>
      <c r="AH1268">
        <v>78.77</v>
      </c>
      <c r="AI1268">
        <v>7.24</v>
      </c>
      <c r="AJ1268">
        <v>0</v>
      </c>
      <c r="AK1268">
        <v>0</v>
      </c>
      <c r="AL1268">
        <v>0</v>
      </c>
      <c r="AM1268">
        <v>0.18</v>
      </c>
      <c r="AN1268">
        <f t="shared" si="58"/>
        <v>6</v>
      </c>
      <c r="AO1268" t="str">
        <f t="shared" si="59"/>
        <v>Friday</v>
      </c>
    </row>
    <row r="1269" spans="1:41" x14ac:dyDescent="0.2">
      <c r="A1269" t="s">
        <v>39</v>
      </c>
      <c r="B1269" s="1">
        <v>45744</v>
      </c>
      <c r="C1269" s="1">
        <f t="shared" si="57"/>
        <v>45747</v>
      </c>
      <c r="D1269">
        <v>14</v>
      </c>
      <c r="E1269">
        <v>32</v>
      </c>
      <c r="F1269">
        <v>4</v>
      </c>
      <c r="G1269">
        <v>3</v>
      </c>
      <c r="H1269">
        <v>6</v>
      </c>
      <c r="I1269">
        <v>0</v>
      </c>
      <c r="J1269">
        <v>0</v>
      </c>
      <c r="K1269">
        <v>14</v>
      </c>
      <c r="L1269" t="s">
        <v>39</v>
      </c>
      <c r="M1269" t="s">
        <v>38</v>
      </c>
      <c r="N1269" s="1">
        <v>45744</v>
      </c>
      <c r="O1269" s="2">
        <v>0.54177083333333331</v>
      </c>
      <c r="P1269" s="2">
        <v>0.70917824074074076</v>
      </c>
      <c r="Q1269">
        <v>4.0199999999999996</v>
      </c>
      <c r="R1269">
        <v>4.0199999999999996</v>
      </c>
      <c r="S1269">
        <v>0.55000000000000004</v>
      </c>
      <c r="T1269">
        <v>0.08</v>
      </c>
      <c r="U1269">
        <v>0</v>
      </c>
      <c r="V1269">
        <v>0.01</v>
      </c>
      <c r="W1269">
        <v>3.14</v>
      </c>
      <c r="X1269">
        <v>0.24</v>
      </c>
      <c r="Y1269">
        <v>0</v>
      </c>
      <c r="Z1269">
        <v>0</v>
      </c>
      <c r="AA1269">
        <v>0</v>
      </c>
      <c r="AB1269">
        <v>0</v>
      </c>
      <c r="AC1269">
        <v>4.0199999999999996</v>
      </c>
      <c r="AD1269">
        <v>13.59</v>
      </c>
      <c r="AE1269">
        <v>1.87</v>
      </c>
      <c r="AF1269">
        <v>0</v>
      </c>
      <c r="AG1269">
        <v>0.28000000000000003</v>
      </c>
      <c r="AH1269">
        <v>78.180000000000007</v>
      </c>
      <c r="AI1269">
        <v>5.97</v>
      </c>
      <c r="AJ1269">
        <v>0</v>
      </c>
      <c r="AK1269">
        <v>0</v>
      </c>
      <c r="AL1269">
        <v>0</v>
      </c>
      <c r="AM1269">
        <v>0.1</v>
      </c>
      <c r="AN1269">
        <f t="shared" si="58"/>
        <v>6</v>
      </c>
      <c r="AO1269" t="str">
        <f t="shared" si="59"/>
        <v>Friday</v>
      </c>
    </row>
    <row r="1270" spans="1:41" x14ac:dyDescent="0.2">
      <c r="A1270" t="s">
        <v>41</v>
      </c>
      <c r="B1270" s="1">
        <v>45744</v>
      </c>
      <c r="C1270" s="1">
        <f t="shared" si="57"/>
        <v>45747</v>
      </c>
      <c r="D1270">
        <v>23</v>
      </c>
      <c r="E1270">
        <v>44</v>
      </c>
      <c r="F1270">
        <v>4</v>
      </c>
      <c r="G1270">
        <v>1</v>
      </c>
      <c r="H1270">
        <v>4</v>
      </c>
      <c r="I1270">
        <v>0</v>
      </c>
      <c r="J1270">
        <v>2</v>
      </c>
      <c r="K1270">
        <v>17</v>
      </c>
      <c r="L1270" t="s">
        <v>41</v>
      </c>
      <c r="M1270" t="s">
        <v>38</v>
      </c>
      <c r="N1270" s="1">
        <v>45744</v>
      </c>
      <c r="O1270" s="2">
        <v>0.54248842592592594</v>
      </c>
      <c r="P1270" s="2">
        <v>0.7910300925925926</v>
      </c>
      <c r="Q1270">
        <v>5.97</v>
      </c>
      <c r="R1270">
        <v>5.97</v>
      </c>
      <c r="S1270">
        <v>0.85</v>
      </c>
      <c r="T1270">
        <v>0</v>
      </c>
      <c r="U1270">
        <v>0</v>
      </c>
      <c r="V1270">
        <v>0.14000000000000001</v>
      </c>
      <c r="W1270">
        <v>3.46</v>
      </c>
      <c r="X1270">
        <v>1.51</v>
      </c>
      <c r="Y1270">
        <v>0</v>
      </c>
      <c r="Z1270">
        <v>0</v>
      </c>
      <c r="AA1270">
        <v>0</v>
      </c>
      <c r="AB1270">
        <v>0</v>
      </c>
      <c r="AC1270">
        <v>5.97</v>
      </c>
      <c r="AD1270">
        <v>14.31</v>
      </c>
      <c r="AE1270">
        <v>0</v>
      </c>
      <c r="AF1270">
        <v>0</v>
      </c>
      <c r="AG1270">
        <v>2.37</v>
      </c>
      <c r="AH1270">
        <v>57.95</v>
      </c>
      <c r="AI1270">
        <v>25.29</v>
      </c>
      <c r="AJ1270">
        <v>0</v>
      </c>
      <c r="AK1270">
        <v>0</v>
      </c>
      <c r="AL1270">
        <v>0</v>
      </c>
      <c r="AM1270">
        <v>7.0000000000000007E-2</v>
      </c>
      <c r="AN1270">
        <f t="shared" si="58"/>
        <v>6</v>
      </c>
      <c r="AO1270" t="str">
        <f t="shared" si="59"/>
        <v>Friday</v>
      </c>
    </row>
    <row r="1271" spans="1:41" x14ac:dyDescent="0.2">
      <c r="A1271" t="s">
        <v>43</v>
      </c>
      <c r="B1271" s="1">
        <v>45744</v>
      </c>
      <c r="C1271" s="1">
        <f t="shared" si="57"/>
        <v>45747</v>
      </c>
      <c r="D1271">
        <v>25</v>
      </c>
      <c r="E1271">
        <v>71</v>
      </c>
      <c r="F1271">
        <v>8</v>
      </c>
      <c r="G1271">
        <v>1</v>
      </c>
      <c r="H1271">
        <v>3</v>
      </c>
      <c r="I1271">
        <v>0</v>
      </c>
      <c r="J1271">
        <v>1</v>
      </c>
      <c r="K1271">
        <v>46</v>
      </c>
      <c r="L1271" t="s">
        <v>43</v>
      </c>
      <c r="M1271" t="s">
        <v>38</v>
      </c>
      <c r="N1271" s="1">
        <v>45744</v>
      </c>
      <c r="O1271" s="2">
        <v>0.54292824074074075</v>
      </c>
      <c r="P1271" s="2">
        <v>0.91714120370370367</v>
      </c>
      <c r="Q1271">
        <v>8.98</v>
      </c>
      <c r="R1271">
        <v>8.98</v>
      </c>
      <c r="S1271">
        <v>0.56999999999999995</v>
      </c>
      <c r="T1271">
        <v>0.17</v>
      </c>
      <c r="U1271">
        <v>0</v>
      </c>
      <c r="V1271">
        <v>0.33</v>
      </c>
      <c r="W1271">
        <v>5.71</v>
      </c>
      <c r="X1271">
        <v>1.94</v>
      </c>
      <c r="Y1271">
        <v>0.26</v>
      </c>
      <c r="Z1271">
        <v>0</v>
      </c>
      <c r="AA1271">
        <v>0</v>
      </c>
      <c r="AB1271">
        <v>0.01</v>
      </c>
      <c r="AC1271">
        <v>8.98</v>
      </c>
      <c r="AD1271">
        <v>6.37</v>
      </c>
      <c r="AE1271">
        <v>1.89</v>
      </c>
      <c r="AF1271">
        <v>0</v>
      </c>
      <c r="AG1271">
        <v>3.63</v>
      </c>
      <c r="AH1271">
        <v>63.59</v>
      </c>
      <c r="AI1271">
        <v>21.59</v>
      </c>
      <c r="AJ1271">
        <v>2.87</v>
      </c>
      <c r="AK1271">
        <v>0</v>
      </c>
      <c r="AL1271">
        <v>0</v>
      </c>
      <c r="AM1271">
        <v>7.0000000000000007E-2</v>
      </c>
      <c r="AN1271">
        <f t="shared" si="58"/>
        <v>6</v>
      </c>
      <c r="AO1271" t="str">
        <f t="shared" si="59"/>
        <v>Friday</v>
      </c>
    </row>
    <row r="1272" spans="1:41" x14ac:dyDescent="0.2">
      <c r="B1272" s="1">
        <v>45744</v>
      </c>
      <c r="C1272" s="1">
        <f t="shared" si="57"/>
        <v>45747</v>
      </c>
      <c r="D1272">
        <v>674</v>
      </c>
      <c r="E1272">
        <v>0</v>
      </c>
      <c r="F1272">
        <v>0</v>
      </c>
      <c r="G1272">
        <v>0</v>
      </c>
      <c r="H1272">
        <v>0</v>
      </c>
      <c r="I1272">
        <v>0</v>
      </c>
      <c r="J1272">
        <v>0</v>
      </c>
      <c r="K1272">
        <v>0</v>
      </c>
      <c r="AN1272">
        <f t="shared" si="58"/>
        <v>6</v>
      </c>
      <c r="AO1272" t="str">
        <f t="shared" si="59"/>
        <v>Friday</v>
      </c>
    </row>
    <row r="1273" spans="1:41" x14ac:dyDescent="0.2">
      <c r="A1273" t="s">
        <v>37</v>
      </c>
      <c r="B1273" s="1">
        <v>45743</v>
      </c>
      <c r="C1273" s="1">
        <f t="shared" si="57"/>
        <v>45747</v>
      </c>
      <c r="D1273">
        <v>31</v>
      </c>
      <c r="E1273">
        <v>89</v>
      </c>
      <c r="F1273">
        <v>8</v>
      </c>
      <c r="G1273">
        <v>0</v>
      </c>
      <c r="H1273">
        <v>0</v>
      </c>
      <c r="I1273">
        <v>0</v>
      </c>
      <c r="J1273">
        <v>2</v>
      </c>
      <c r="K1273">
        <v>56</v>
      </c>
      <c r="L1273" t="s">
        <v>37</v>
      </c>
      <c r="M1273" t="s">
        <v>38</v>
      </c>
      <c r="N1273" s="1">
        <v>45743</v>
      </c>
      <c r="O1273" s="2">
        <v>0.5422569444444445</v>
      </c>
      <c r="P1273" s="2">
        <v>0.91693287037037041</v>
      </c>
      <c r="Q1273">
        <v>9</v>
      </c>
      <c r="R1273">
        <v>8.06</v>
      </c>
      <c r="S1273">
        <v>1.06</v>
      </c>
      <c r="T1273">
        <v>1.31</v>
      </c>
      <c r="U1273">
        <v>0</v>
      </c>
      <c r="V1273">
        <v>0.3</v>
      </c>
      <c r="W1273">
        <v>4.92</v>
      </c>
      <c r="X1273">
        <v>0.42</v>
      </c>
      <c r="Y1273">
        <v>0</v>
      </c>
      <c r="Z1273">
        <v>0</v>
      </c>
      <c r="AA1273">
        <v>0</v>
      </c>
      <c r="AB1273">
        <v>0.06</v>
      </c>
      <c r="AC1273">
        <v>8.06</v>
      </c>
      <c r="AD1273">
        <v>13.11</v>
      </c>
      <c r="AE1273">
        <v>16.239999999999998</v>
      </c>
      <c r="AF1273">
        <v>0</v>
      </c>
      <c r="AG1273">
        <v>3.68</v>
      </c>
      <c r="AH1273">
        <v>61.02</v>
      </c>
      <c r="AI1273">
        <v>5.18</v>
      </c>
      <c r="AJ1273">
        <v>0</v>
      </c>
      <c r="AK1273">
        <v>0</v>
      </c>
      <c r="AL1273">
        <v>0</v>
      </c>
      <c r="AM1273">
        <v>0.78</v>
      </c>
      <c r="AN1273">
        <f t="shared" si="58"/>
        <v>5</v>
      </c>
      <c r="AO1273" t="str">
        <f t="shared" si="59"/>
        <v>Thursday</v>
      </c>
    </row>
    <row r="1274" spans="1:41" x14ac:dyDescent="0.2">
      <c r="A1274" t="s">
        <v>39</v>
      </c>
      <c r="B1274" s="1">
        <v>45743</v>
      </c>
      <c r="C1274" s="1">
        <f t="shared" si="57"/>
        <v>45747</v>
      </c>
      <c r="D1274">
        <v>28</v>
      </c>
      <c r="E1274">
        <v>87</v>
      </c>
      <c r="F1274">
        <v>3</v>
      </c>
      <c r="G1274">
        <v>3</v>
      </c>
      <c r="H1274">
        <v>6</v>
      </c>
      <c r="I1274">
        <v>0</v>
      </c>
      <c r="J1274">
        <v>0</v>
      </c>
      <c r="K1274">
        <v>56</v>
      </c>
      <c r="L1274" t="s">
        <v>39</v>
      </c>
      <c r="M1274" t="s">
        <v>38</v>
      </c>
      <c r="N1274" s="1">
        <v>45743</v>
      </c>
      <c r="O1274" s="2">
        <v>0.54199074074074072</v>
      </c>
      <c r="P1274" s="2">
        <v>0.91796296296296298</v>
      </c>
      <c r="Q1274">
        <v>9.02</v>
      </c>
      <c r="R1274">
        <v>9.02</v>
      </c>
      <c r="S1274">
        <v>0.64</v>
      </c>
      <c r="T1274">
        <v>0.21</v>
      </c>
      <c r="U1274">
        <v>0</v>
      </c>
      <c r="V1274">
        <v>0.03</v>
      </c>
      <c r="W1274">
        <v>6.59</v>
      </c>
      <c r="X1274">
        <v>1.46</v>
      </c>
      <c r="Y1274">
        <v>0.1</v>
      </c>
      <c r="Z1274">
        <v>0</v>
      </c>
      <c r="AA1274">
        <v>0</v>
      </c>
      <c r="AB1274">
        <v>0</v>
      </c>
      <c r="AC1274">
        <v>9.02</v>
      </c>
      <c r="AD1274">
        <v>7.04</v>
      </c>
      <c r="AE1274">
        <v>2.36</v>
      </c>
      <c r="AF1274">
        <v>0</v>
      </c>
      <c r="AG1274">
        <v>0.28000000000000003</v>
      </c>
      <c r="AH1274">
        <v>72.98</v>
      </c>
      <c r="AI1274">
        <v>16.22</v>
      </c>
      <c r="AJ1274">
        <v>1.0900000000000001</v>
      </c>
      <c r="AK1274">
        <v>0</v>
      </c>
      <c r="AL1274">
        <v>0</v>
      </c>
      <c r="AM1274">
        <v>0.05</v>
      </c>
      <c r="AN1274">
        <f t="shared" si="58"/>
        <v>5</v>
      </c>
      <c r="AO1274" t="str">
        <f t="shared" si="59"/>
        <v>Thursday</v>
      </c>
    </row>
    <row r="1275" spans="1:41" x14ac:dyDescent="0.2">
      <c r="A1275" t="s">
        <v>41</v>
      </c>
      <c r="B1275" s="1">
        <v>45743</v>
      </c>
      <c r="C1275" s="1">
        <f t="shared" si="57"/>
        <v>45747</v>
      </c>
      <c r="D1275">
        <v>32</v>
      </c>
      <c r="E1275">
        <v>61</v>
      </c>
      <c r="F1275">
        <v>6</v>
      </c>
      <c r="G1275">
        <v>3</v>
      </c>
      <c r="H1275">
        <v>2</v>
      </c>
      <c r="I1275">
        <v>0</v>
      </c>
      <c r="J1275">
        <v>1</v>
      </c>
      <c r="K1275">
        <v>29</v>
      </c>
      <c r="L1275" t="s">
        <v>41</v>
      </c>
      <c r="M1275" t="s">
        <v>38</v>
      </c>
      <c r="N1275" s="1">
        <v>45743</v>
      </c>
      <c r="O1275" s="2">
        <v>0.54190972222222222</v>
      </c>
      <c r="P1275" s="2">
        <v>0.91620370370370374</v>
      </c>
      <c r="Q1275">
        <v>8.98</v>
      </c>
      <c r="R1275">
        <v>8.98</v>
      </c>
      <c r="S1275">
        <v>1.0900000000000001</v>
      </c>
      <c r="T1275">
        <v>0</v>
      </c>
      <c r="U1275">
        <v>0</v>
      </c>
      <c r="V1275">
        <v>0.22</v>
      </c>
      <c r="W1275">
        <v>6.18</v>
      </c>
      <c r="X1275">
        <v>1.48</v>
      </c>
      <c r="Y1275">
        <v>0</v>
      </c>
      <c r="Z1275">
        <v>0</v>
      </c>
      <c r="AA1275">
        <v>0</v>
      </c>
      <c r="AB1275">
        <v>0.01</v>
      </c>
      <c r="AC1275">
        <v>8.98</v>
      </c>
      <c r="AD1275">
        <v>12.11</v>
      </c>
      <c r="AE1275">
        <v>0</v>
      </c>
      <c r="AF1275">
        <v>0</v>
      </c>
      <c r="AG1275">
        <v>2.48</v>
      </c>
      <c r="AH1275">
        <v>68.86</v>
      </c>
      <c r="AI1275">
        <v>16.489999999999998</v>
      </c>
      <c r="AJ1275">
        <v>0</v>
      </c>
      <c r="AK1275">
        <v>0</v>
      </c>
      <c r="AL1275">
        <v>0</v>
      </c>
      <c r="AM1275">
        <v>0.06</v>
      </c>
      <c r="AN1275">
        <f t="shared" si="58"/>
        <v>5</v>
      </c>
      <c r="AO1275" t="str">
        <f t="shared" si="59"/>
        <v>Thursday</v>
      </c>
    </row>
    <row r="1276" spans="1:41" x14ac:dyDescent="0.2">
      <c r="B1276" s="1">
        <v>45743</v>
      </c>
      <c r="C1276" s="1">
        <f t="shared" si="57"/>
        <v>45747</v>
      </c>
      <c r="D1276">
        <v>685</v>
      </c>
      <c r="E1276">
        <v>0</v>
      </c>
      <c r="F1276">
        <v>0</v>
      </c>
      <c r="G1276">
        <v>0</v>
      </c>
      <c r="H1276">
        <v>0</v>
      </c>
      <c r="I1276">
        <v>0</v>
      </c>
      <c r="J1276">
        <v>0</v>
      </c>
      <c r="K1276">
        <v>0</v>
      </c>
      <c r="AN1276">
        <f t="shared" si="58"/>
        <v>5</v>
      </c>
      <c r="AO1276" t="str">
        <f t="shared" si="59"/>
        <v>Thursday</v>
      </c>
    </row>
    <row r="1277" spans="1:41" x14ac:dyDescent="0.2">
      <c r="A1277" t="s">
        <v>37</v>
      </c>
      <c r="B1277" s="1">
        <v>45742</v>
      </c>
      <c r="C1277" s="1">
        <f t="shared" si="57"/>
        <v>45747</v>
      </c>
      <c r="D1277">
        <v>29</v>
      </c>
      <c r="E1277">
        <v>68</v>
      </c>
      <c r="F1277">
        <v>1</v>
      </c>
      <c r="G1277">
        <v>7</v>
      </c>
      <c r="H1277">
        <v>3</v>
      </c>
      <c r="I1277">
        <v>0</v>
      </c>
      <c r="J1277">
        <v>0</v>
      </c>
      <c r="K1277">
        <v>41</v>
      </c>
      <c r="L1277" t="s">
        <v>37</v>
      </c>
      <c r="M1277" t="s">
        <v>38</v>
      </c>
      <c r="N1277" s="1">
        <v>45742</v>
      </c>
      <c r="O1277" s="2">
        <v>0.54181712962962958</v>
      </c>
      <c r="P1277" s="2">
        <v>0.91692129629629626</v>
      </c>
      <c r="Q1277">
        <v>9</v>
      </c>
      <c r="R1277">
        <v>8.0500000000000007</v>
      </c>
      <c r="S1277">
        <v>1.1399999999999999</v>
      </c>
      <c r="T1277">
        <v>0.12</v>
      </c>
      <c r="U1277">
        <v>0</v>
      </c>
      <c r="V1277">
        <v>0.16</v>
      </c>
      <c r="W1277">
        <v>6.31</v>
      </c>
      <c r="X1277">
        <v>0.3</v>
      </c>
      <c r="Y1277">
        <v>0</v>
      </c>
      <c r="Z1277">
        <v>0</v>
      </c>
      <c r="AA1277">
        <v>0</v>
      </c>
      <c r="AB1277">
        <v>0.01</v>
      </c>
      <c r="AC1277">
        <v>8.0500000000000007</v>
      </c>
      <c r="AD1277">
        <v>14.19</v>
      </c>
      <c r="AE1277">
        <v>1.48</v>
      </c>
      <c r="AF1277">
        <v>0</v>
      </c>
      <c r="AG1277">
        <v>1.99</v>
      </c>
      <c r="AH1277">
        <v>78.39</v>
      </c>
      <c r="AI1277">
        <v>3.78</v>
      </c>
      <c r="AJ1277">
        <v>0</v>
      </c>
      <c r="AK1277">
        <v>0</v>
      </c>
      <c r="AL1277">
        <v>0</v>
      </c>
      <c r="AM1277">
        <v>0.17</v>
      </c>
      <c r="AN1277">
        <f t="shared" si="58"/>
        <v>4</v>
      </c>
      <c r="AO1277" t="str">
        <f t="shared" si="59"/>
        <v>Wednesday</v>
      </c>
    </row>
    <row r="1278" spans="1:41" x14ac:dyDescent="0.2">
      <c r="A1278" t="s">
        <v>39</v>
      </c>
      <c r="B1278" s="1">
        <v>45742</v>
      </c>
      <c r="C1278" s="1">
        <f t="shared" si="57"/>
        <v>45747</v>
      </c>
      <c r="D1278">
        <v>19</v>
      </c>
      <c r="E1278">
        <v>57</v>
      </c>
      <c r="F1278">
        <v>6</v>
      </c>
      <c r="G1278">
        <v>0</v>
      </c>
      <c r="H1278">
        <v>4</v>
      </c>
      <c r="I1278">
        <v>0</v>
      </c>
      <c r="J1278">
        <v>0</v>
      </c>
      <c r="K1278">
        <v>36</v>
      </c>
      <c r="L1278" t="s">
        <v>39</v>
      </c>
      <c r="M1278" t="s">
        <v>38</v>
      </c>
      <c r="N1278" s="1">
        <v>45742</v>
      </c>
      <c r="O1278" s="2">
        <v>0.54152777777777783</v>
      </c>
      <c r="P1278" s="2">
        <v>0.91689814814814818</v>
      </c>
      <c r="Q1278">
        <v>9.02</v>
      </c>
      <c r="R1278">
        <v>9.01</v>
      </c>
      <c r="S1278">
        <v>1.1499999999999999</v>
      </c>
      <c r="T1278">
        <v>0.1</v>
      </c>
      <c r="U1278">
        <v>0</v>
      </c>
      <c r="V1278">
        <v>0.05</v>
      </c>
      <c r="W1278">
        <v>6.21</v>
      </c>
      <c r="X1278">
        <v>1.49</v>
      </c>
      <c r="Y1278">
        <v>0</v>
      </c>
      <c r="Z1278">
        <v>0</v>
      </c>
      <c r="AA1278">
        <v>0</v>
      </c>
      <c r="AB1278">
        <v>0.01</v>
      </c>
      <c r="AC1278">
        <v>9.01</v>
      </c>
      <c r="AD1278">
        <v>12.76</v>
      </c>
      <c r="AE1278">
        <v>1.08</v>
      </c>
      <c r="AF1278">
        <v>0</v>
      </c>
      <c r="AG1278">
        <v>0.59</v>
      </c>
      <c r="AH1278">
        <v>68.94</v>
      </c>
      <c r="AI1278">
        <v>16.579999999999998</v>
      </c>
      <c r="AJ1278">
        <v>0</v>
      </c>
      <c r="AK1278">
        <v>0</v>
      </c>
      <c r="AL1278">
        <v>0</v>
      </c>
      <c r="AM1278">
        <v>0.06</v>
      </c>
      <c r="AN1278">
        <f t="shared" si="58"/>
        <v>4</v>
      </c>
      <c r="AO1278" t="str">
        <f t="shared" si="59"/>
        <v>Wednesday</v>
      </c>
    </row>
    <row r="1279" spans="1:41" x14ac:dyDescent="0.2">
      <c r="A1279" t="s">
        <v>41</v>
      </c>
      <c r="B1279" s="1">
        <v>45742</v>
      </c>
      <c r="C1279" s="1">
        <f t="shared" si="57"/>
        <v>45747</v>
      </c>
      <c r="D1279">
        <v>31</v>
      </c>
      <c r="E1279">
        <v>69</v>
      </c>
      <c r="F1279">
        <v>2</v>
      </c>
      <c r="G1279">
        <v>1</v>
      </c>
      <c r="H1279">
        <v>3</v>
      </c>
      <c r="I1279">
        <v>0</v>
      </c>
      <c r="J1279">
        <v>0</v>
      </c>
      <c r="K1279">
        <v>36</v>
      </c>
      <c r="L1279" t="s">
        <v>41</v>
      </c>
      <c r="M1279" t="s">
        <v>38</v>
      </c>
      <c r="N1279" s="1">
        <v>45742</v>
      </c>
      <c r="O1279" s="2">
        <v>0.54203703703703698</v>
      </c>
      <c r="P1279" s="2">
        <v>0.91628472222222224</v>
      </c>
      <c r="Q1279">
        <v>8.98</v>
      </c>
      <c r="R1279">
        <v>8.98</v>
      </c>
      <c r="S1279">
        <v>0.9</v>
      </c>
      <c r="T1279">
        <v>0.17</v>
      </c>
      <c r="U1279">
        <v>0</v>
      </c>
      <c r="V1279">
        <v>0.15</v>
      </c>
      <c r="W1279">
        <v>5.28</v>
      </c>
      <c r="X1279">
        <v>1.48</v>
      </c>
      <c r="Y1279">
        <v>1</v>
      </c>
      <c r="Z1279">
        <v>0</v>
      </c>
      <c r="AA1279">
        <v>0</v>
      </c>
      <c r="AB1279">
        <v>0.01</v>
      </c>
      <c r="AC1279">
        <v>8.98</v>
      </c>
      <c r="AD1279">
        <v>10.01</v>
      </c>
      <c r="AE1279">
        <v>1.87</v>
      </c>
      <c r="AF1279">
        <v>0</v>
      </c>
      <c r="AG1279">
        <v>1.72</v>
      </c>
      <c r="AH1279">
        <v>58.76</v>
      </c>
      <c r="AI1279">
        <v>16.489999999999998</v>
      </c>
      <c r="AJ1279">
        <v>11.09</v>
      </c>
      <c r="AK1279">
        <v>0</v>
      </c>
      <c r="AL1279">
        <v>0</v>
      </c>
      <c r="AM1279">
        <v>0.06</v>
      </c>
      <c r="AN1279">
        <f t="shared" si="58"/>
        <v>4</v>
      </c>
      <c r="AO1279" t="str">
        <f t="shared" si="59"/>
        <v>Wednesday</v>
      </c>
    </row>
    <row r="1280" spans="1:41" x14ac:dyDescent="0.2">
      <c r="A1280" t="s">
        <v>43</v>
      </c>
      <c r="B1280" s="1">
        <v>45742</v>
      </c>
      <c r="C1280" s="1">
        <f t="shared" si="57"/>
        <v>45747</v>
      </c>
      <c r="D1280">
        <v>29</v>
      </c>
      <c r="E1280">
        <v>93</v>
      </c>
      <c r="F1280">
        <v>3</v>
      </c>
      <c r="G1280">
        <v>2</v>
      </c>
      <c r="H1280">
        <v>10</v>
      </c>
      <c r="I1280">
        <v>0</v>
      </c>
      <c r="J1280">
        <v>0</v>
      </c>
      <c r="K1280">
        <v>65</v>
      </c>
      <c r="L1280" t="s">
        <v>43</v>
      </c>
      <c r="M1280" t="s">
        <v>38</v>
      </c>
      <c r="N1280" s="1">
        <v>45742</v>
      </c>
      <c r="O1280" s="2">
        <v>0.54170138888888886</v>
      </c>
      <c r="P1280" s="2">
        <v>0.91804398148148147</v>
      </c>
      <c r="Q1280">
        <v>9.02</v>
      </c>
      <c r="R1280">
        <v>9</v>
      </c>
      <c r="S1280">
        <v>0.48</v>
      </c>
      <c r="T1280">
        <v>0.2</v>
      </c>
      <c r="U1280">
        <v>0</v>
      </c>
      <c r="V1280">
        <v>0.28999999999999998</v>
      </c>
      <c r="W1280">
        <v>5.92</v>
      </c>
      <c r="X1280">
        <v>1.45</v>
      </c>
      <c r="Y1280">
        <v>0.34</v>
      </c>
      <c r="Z1280">
        <v>0</v>
      </c>
      <c r="AA1280">
        <v>0.3</v>
      </c>
      <c r="AB1280">
        <v>0.03</v>
      </c>
      <c r="AC1280">
        <v>9</v>
      </c>
      <c r="AD1280">
        <v>5.32</v>
      </c>
      <c r="AE1280">
        <v>2.17</v>
      </c>
      <c r="AF1280">
        <v>0</v>
      </c>
      <c r="AG1280">
        <v>3.21</v>
      </c>
      <c r="AH1280">
        <v>65.78</v>
      </c>
      <c r="AI1280">
        <v>16.079999999999998</v>
      </c>
      <c r="AJ1280">
        <v>3.76</v>
      </c>
      <c r="AK1280">
        <v>0</v>
      </c>
      <c r="AL1280">
        <v>3.36</v>
      </c>
      <c r="AM1280">
        <v>0.32</v>
      </c>
      <c r="AN1280">
        <f t="shared" si="58"/>
        <v>4</v>
      </c>
      <c r="AO1280" t="str">
        <f t="shared" si="59"/>
        <v>Wednesday</v>
      </c>
    </row>
    <row r="1281" spans="1:41" x14ac:dyDescent="0.2">
      <c r="B1281" s="1">
        <v>45742</v>
      </c>
      <c r="C1281" s="1">
        <f t="shared" si="57"/>
        <v>45747</v>
      </c>
      <c r="D1281">
        <v>687</v>
      </c>
      <c r="E1281">
        <v>0</v>
      </c>
      <c r="F1281">
        <v>0</v>
      </c>
      <c r="G1281">
        <v>0</v>
      </c>
      <c r="H1281">
        <v>0</v>
      </c>
      <c r="I1281">
        <v>0</v>
      </c>
      <c r="J1281">
        <v>0</v>
      </c>
      <c r="K1281">
        <v>0</v>
      </c>
      <c r="AN1281">
        <f t="shared" si="58"/>
        <v>4</v>
      </c>
      <c r="AO1281" t="str">
        <f t="shared" si="59"/>
        <v>Wednesday</v>
      </c>
    </row>
    <row r="1282" spans="1:41" x14ac:dyDescent="0.2">
      <c r="A1282" t="s">
        <v>37</v>
      </c>
      <c r="B1282" s="1">
        <v>45741</v>
      </c>
      <c r="C1282" s="1">
        <f t="shared" si="57"/>
        <v>45747</v>
      </c>
      <c r="D1282">
        <v>34</v>
      </c>
      <c r="E1282">
        <v>88</v>
      </c>
      <c r="F1282">
        <v>3</v>
      </c>
      <c r="G1282">
        <v>5</v>
      </c>
      <c r="H1282">
        <v>3</v>
      </c>
      <c r="I1282">
        <v>0</v>
      </c>
      <c r="J1282">
        <v>3</v>
      </c>
      <c r="K1282">
        <v>54</v>
      </c>
      <c r="L1282" t="s">
        <v>37</v>
      </c>
      <c r="M1282" t="s">
        <v>38</v>
      </c>
      <c r="N1282" s="1">
        <v>45741</v>
      </c>
      <c r="O1282" s="2">
        <v>0.54252314814814817</v>
      </c>
      <c r="P1282" s="2">
        <v>0.91684027777777777</v>
      </c>
      <c r="Q1282">
        <v>8.98</v>
      </c>
      <c r="R1282">
        <v>8.0399999999999991</v>
      </c>
      <c r="S1282">
        <v>1.44</v>
      </c>
      <c r="T1282">
        <v>0.27</v>
      </c>
      <c r="U1282">
        <v>0</v>
      </c>
      <c r="V1282">
        <v>0.44</v>
      </c>
      <c r="W1282">
        <v>5.55</v>
      </c>
      <c r="X1282">
        <v>0.32</v>
      </c>
      <c r="Y1282">
        <v>0</v>
      </c>
      <c r="Z1282">
        <v>0</v>
      </c>
      <c r="AA1282">
        <v>0</v>
      </c>
      <c r="AB1282">
        <v>0.01</v>
      </c>
      <c r="AC1282">
        <v>8.0399999999999991</v>
      </c>
      <c r="AD1282">
        <v>17.91</v>
      </c>
      <c r="AE1282">
        <v>3.38</v>
      </c>
      <c r="AF1282">
        <v>0</v>
      </c>
      <c r="AG1282">
        <v>5.5</v>
      </c>
      <c r="AH1282">
        <v>69.03</v>
      </c>
      <c r="AI1282">
        <v>4.01</v>
      </c>
      <c r="AJ1282">
        <v>0</v>
      </c>
      <c r="AK1282">
        <v>0</v>
      </c>
      <c r="AL1282">
        <v>0</v>
      </c>
      <c r="AM1282">
        <v>0.18</v>
      </c>
      <c r="AN1282">
        <f t="shared" si="58"/>
        <v>3</v>
      </c>
      <c r="AO1282" t="str">
        <f t="shared" si="59"/>
        <v>Tuesday</v>
      </c>
    </row>
    <row r="1283" spans="1:41" x14ac:dyDescent="0.2">
      <c r="A1283" t="s">
        <v>39</v>
      </c>
      <c r="B1283" s="1">
        <v>45741</v>
      </c>
      <c r="C1283" s="1">
        <f t="shared" ref="C1283:C1346" si="60">EOMONTH(B1283,0)</f>
        <v>45747</v>
      </c>
      <c r="D1283">
        <v>29</v>
      </c>
      <c r="E1283">
        <v>79</v>
      </c>
      <c r="F1283">
        <v>3</v>
      </c>
      <c r="G1283">
        <v>2</v>
      </c>
      <c r="H1283">
        <v>3</v>
      </c>
      <c r="I1283">
        <v>0</v>
      </c>
      <c r="J1283">
        <v>0</v>
      </c>
      <c r="K1283">
        <v>53</v>
      </c>
      <c r="L1283" t="s">
        <v>39</v>
      </c>
      <c r="M1283" t="s">
        <v>38</v>
      </c>
      <c r="N1283" s="1">
        <v>45741</v>
      </c>
      <c r="O1283" s="2">
        <v>0.54174768518518523</v>
      </c>
      <c r="P1283" s="2">
        <v>0.91672453703703705</v>
      </c>
      <c r="Q1283">
        <v>9</v>
      </c>
      <c r="R1283">
        <v>9</v>
      </c>
      <c r="S1283">
        <v>0.88</v>
      </c>
      <c r="T1283">
        <v>0.26</v>
      </c>
      <c r="U1283">
        <v>0</v>
      </c>
      <c r="V1283">
        <v>0.01</v>
      </c>
      <c r="W1283">
        <v>6.37</v>
      </c>
      <c r="X1283">
        <v>1.48</v>
      </c>
      <c r="Y1283">
        <v>0</v>
      </c>
      <c r="Z1283">
        <v>0</v>
      </c>
      <c r="AA1283">
        <v>0</v>
      </c>
      <c r="AB1283">
        <v>0.01</v>
      </c>
      <c r="AC1283">
        <v>9</v>
      </c>
      <c r="AD1283">
        <v>9.8000000000000007</v>
      </c>
      <c r="AE1283">
        <v>2.83</v>
      </c>
      <c r="AF1283">
        <v>0</v>
      </c>
      <c r="AG1283">
        <v>0.1</v>
      </c>
      <c r="AH1283">
        <v>70.790000000000006</v>
      </c>
      <c r="AI1283">
        <v>16.420000000000002</v>
      </c>
      <c r="AJ1283">
        <v>0</v>
      </c>
      <c r="AK1283">
        <v>0</v>
      </c>
      <c r="AL1283">
        <v>0</v>
      </c>
      <c r="AM1283">
        <v>0.06</v>
      </c>
      <c r="AN1283">
        <f t="shared" ref="AN1283:AN1346" si="61">WEEKDAY(B1283,1)</f>
        <v>3</v>
      </c>
      <c r="AO1283" t="str">
        <f t="shared" ref="AO1283:AO1346" si="62">VLOOKUP(AN1283,$AY$2:$AZ$8,2,FALSE)</f>
        <v>Tuesday</v>
      </c>
    </row>
    <row r="1284" spans="1:41" x14ac:dyDescent="0.2">
      <c r="A1284" t="s">
        <v>41</v>
      </c>
      <c r="B1284" s="1">
        <v>45741</v>
      </c>
      <c r="C1284" s="1">
        <f t="shared" si="60"/>
        <v>45747</v>
      </c>
      <c r="D1284">
        <v>39</v>
      </c>
      <c r="E1284">
        <v>98</v>
      </c>
      <c r="F1284">
        <v>3</v>
      </c>
      <c r="G1284">
        <v>8</v>
      </c>
      <c r="H1284">
        <v>6</v>
      </c>
      <c r="I1284">
        <v>0</v>
      </c>
      <c r="J1284">
        <v>2</v>
      </c>
      <c r="K1284">
        <v>60</v>
      </c>
      <c r="L1284" t="s">
        <v>41</v>
      </c>
      <c r="M1284" t="s">
        <v>38</v>
      </c>
      <c r="N1284" s="1">
        <v>45741</v>
      </c>
      <c r="O1284" s="2">
        <v>0.54188657407407403</v>
      </c>
      <c r="P1284" s="2">
        <v>0.91635416666666669</v>
      </c>
      <c r="Q1284">
        <v>8.98</v>
      </c>
      <c r="R1284">
        <v>8.99</v>
      </c>
      <c r="S1284">
        <v>1.08</v>
      </c>
      <c r="T1284">
        <v>0</v>
      </c>
      <c r="U1284">
        <v>0</v>
      </c>
      <c r="V1284">
        <v>0.19</v>
      </c>
      <c r="W1284">
        <v>6.23</v>
      </c>
      <c r="X1284">
        <v>1.47</v>
      </c>
      <c r="Y1284">
        <v>0</v>
      </c>
      <c r="Z1284">
        <v>0</v>
      </c>
      <c r="AA1284">
        <v>0</v>
      </c>
      <c r="AB1284">
        <v>0.01</v>
      </c>
      <c r="AC1284">
        <v>8.99</v>
      </c>
      <c r="AD1284">
        <v>12.07</v>
      </c>
      <c r="AE1284">
        <v>0</v>
      </c>
      <c r="AF1284">
        <v>0</v>
      </c>
      <c r="AG1284">
        <v>2.14</v>
      </c>
      <c r="AH1284">
        <v>69.3</v>
      </c>
      <c r="AI1284">
        <v>16.399999999999999</v>
      </c>
      <c r="AJ1284">
        <v>0</v>
      </c>
      <c r="AK1284">
        <v>0</v>
      </c>
      <c r="AL1284">
        <v>0</v>
      </c>
      <c r="AM1284">
        <v>0.11</v>
      </c>
      <c r="AN1284">
        <f t="shared" si="61"/>
        <v>3</v>
      </c>
      <c r="AO1284" t="str">
        <f t="shared" si="62"/>
        <v>Tuesday</v>
      </c>
    </row>
    <row r="1285" spans="1:41" x14ac:dyDescent="0.2">
      <c r="B1285" s="1">
        <v>45741</v>
      </c>
      <c r="C1285" s="1">
        <f t="shared" si="60"/>
        <v>45747</v>
      </c>
      <c r="D1285">
        <v>693</v>
      </c>
      <c r="E1285">
        <v>0</v>
      </c>
      <c r="F1285">
        <v>0</v>
      </c>
      <c r="G1285">
        <v>0</v>
      </c>
      <c r="H1285">
        <v>0</v>
      </c>
      <c r="I1285">
        <v>0</v>
      </c>
      <c r="J1285">
        <v>0</v>
      </c>
      <c r="K1285">
        <v>0</v>
      </c>
      <c r="AN1285">
        <f t="shared" si="61"/>
        <v>3</v>
      </c>
      <c r="AO1285" t="str">
        <f t="shared" si="62"/>
        <v>Tuesday</v>
      </c>
    </row>
    <row r="1286" spans="1:41" x14ac:dyDescent="0.2">
      <c r="A1286" t="s">
        <v>37</v>
      </c>
      <c r="B1286" s="1">
        <v>45740</v>
      </c>
      <c r="C1286" s="1">
        <f t="shared" si="60"/>
        <v>45747</v>
      </c>
      <c r="D1286">
        <v>29</v>
      </c>
      <c r="E1286">
        <v>79</v>
      </c>
      <c r="F1286">
        <v>4</v>
      </c>
      <c r="G1286">
        <v>5</v>
      </c>
      <c r="H1286">
        <v>0</v>
      </c>
      <c r="I1286">
        <v>2</v>
      </c>
      <c r="J1286">
        <v>1</v>
      </c>
      <c r="K1286">
        <v>58</v>
      </c>
      <c r="L1286" t="s">
        <v>37</v>
      </c>
      <c r="M1286" t="s">
        <v>38</v>
      </c>
      <c r="N1286" s="1">
        <v>45740</v>
      </c>
      <c r="O1286" s="2">
        <v>0.54241898148148149</v>
      </c>
      <c r="P1286" s="2">
        <v>0.91822916666666665</v>
      </c>
      <c r="Q1286">
        <v>9.02</v>
      </c>
      <c r="R1286">
        <v>8.08</v>
      </c>
      <c r="S1286">
        <v>1.7</v>
      </c>
      <c r="T1286">
        <v>0.45</v>
      </c>
      <c r="U1286">
        <v>0</v>
      </c>
      <c r="V1286">
        <v>0.25</v>
      </c>
      <c r="W1286">
        <v>5.07</v>
      </c>
      <c r="X1286">
        <v>0.59</v>
      </c>
      <c r="Y1286">
        <v>0</v>
      </c>
      <c r="Z1286">
        <v>0</v>
      </c>
      <c r="AA1286">
        <v>0</v>
      </c>
      <c r="AB1286">
        <v>0.03</v>
      </c>
      <c r="AC1286">
        <v>8.08</v>
      </c>
      <c r="AD1286">
        <v>20.98</v>
      </c>
      <c r="AE1286">
        <v>5.6</v>
      </c>
      <c r="AF1286">
        <v>0</v>
      </c>
      <c r="AG1286">
        <v>3.09</v>
      </c>
      <c r="AH1286">
        <v>62.73</v>
      </c>
      <c r="AI1286">
        <v>7.29</v>
      </c>
      <c r="AJ1286">
        <v>0</v>
      </c>
      <c r="AK1286">
        <v>0</v>
      </c>
      <c r="AL1286">
        <v>0</v>
      </c>
      <c r="AM1286">
        <v>0.32</v>
      </c>
      <c r="AN1286">
        <f t="shared" si="61"/>
        <v>2</v>
      </c>
      <c r="AO1286" t="str">
        <f t="shared" si="62"/>
        <v>Monday</v>
      </c>
    </row>
    <row r="1287" spans="1:41" x14ac:dyDescent="0.2">
      <c r="A1287" t="s">
        <v>39</v>
      </c>
      <c r="B1287" s="1">
        <v>45740</v>
      </c>
      <c r="C1287" s="1">
        <f t="shared" si="60"/>
        <v>45747</v>
      </c>
      <c r="D1287">
        <v>23</v>
      </c>
      <c r="E1287">
        <v>56</v>
      </c>
      <c r="F1287">
        <v>5</v>
      </c>
      <c r="G1287">
        <v>2</v>
      </c>
      <c r="H1287">
        <v>4</v>
      </c>
      <c r="I1287">
        <v>0</v>
      </c>
      <c r="J1287">
        <v>0</v>
      </c>
      <c r="K1287">
        <v>38</v>
      </c>
      <c r="L1287" t="s">
        <v>39</v>
      </c>
      <c r="M1287" t="s">
        <v>38</v>
      </c>
      <c r="N1287" s="1">
        <v>45740</v>
      </c>
      <c r="O1287" s="2">
        <v>0.54174768518518523</v>
      </c>
      <c r="P1287" s="2">
        <v>0.91672453703703705</v>
      </c>
      <c r="Q1287">
        <v>9</v>
      </c>
      <c r="R1287">
        <v>9</v>
      </c>
      <c r="S1287">
        <v>1.29</v>
      </c>
      <c r="T1287">
        <v>0.14000000000000001</v>
      </c>
      <c r="U1287">
        <v>0</v>
      </c>
      <c r="V1287">
        <v>0.03</v>
      </c>
      <c r="W1287">
        <v>5.63</v>
      </c>
      <c r="X1287">
        <v>1.47</v>
      </c>
      <c r="Y1287">
        <v>0.44</v>
      </c>
      <c r="Z1287">
        <v>0</v>
      </c>
      <c r="AA1287">
        <v>0</v>
      </c>
      <c r="AB1287">
        <v>0</v>
      </c>
      <c r="AC1287">
        <v>9</v>
      </c>
      <c r="AD1287">
        <v>14.31</v>
      </c>
      <c r="AE1287">
        <v>1.6</v>
      </c>
      <c r="AF1287">
        <v>0</v>
      </c>
      <c r="AG1287">
        <v>0.31</v>
      </c>
      <c r="AH1287">
        <v>62.55</v>
      </c>
      <c r="AI1287">
        <v>16.32</v>
      </c>
      <c r="AJ1287">
        <v>4.8600000000000003</v>
      </c>
      <c r="AK1287">
        <v>0</v>
      </c>
      <c r="AL1287">
        <v>0</v>
      </c>
      <c r="AM1287">
        <v>0.05</v>
      </c>
      <c r="AN1287">
        <f t="shared" si="61"/>
        <v>2</v>
      </c>
      <c r="AO1287" t="str">
        <f t="shared" si="62"/>
        <v>Monday</v>
      </c>
    </row>
    <row r="1288" spans="1:41" x14ac:dyDescent="0.2">
      <c r="A1288" t="s">
        <v>41</v>
      </c>
      <c r="B1288" s="1">
        <v>45740</v>
      </c>
      <c r="C1288" s="1">
        <f t="shared" si="60"/>
        <v>45747</v>
      </c>
      <c r="D1288">
        <v>42</v>
      </c>
      <c r="E1288">
        <v>101</v>
      </c>
      <c r="F1288">
        <v>5</v>
      </c>
      <c r="G1288">
        <v>4</v>
      </c>
      <c r="H1288">
        <v>4</v>
      </c>
      <c r="I1288">
        <v>0</v>
      </c>
      <c r="J1288">
        <v>0</v>
      </c>
      <c r="K1288">
        <v>67</v>
      </c>
      <c r="L1288" t="s">
        <v>41</v>
      </c>
      <c r="M1288" t="s">
        <v>38</v>
      </c>
      <c r="N1288" s="1">
        <v>45740</v>
      </c>
      <c r="O1288" s="2">
        <v>0.54224537037037035</v>
      </c>
      <c r="P1288" s="2">
        <v>0.91635416666666669</v>
      </c>
      <c r="Q1288">
        <v>8.98</v>
      </c>
      <c r="R1288">
        <v>8.98</v>
      </c>
      <c r="S1288">
        <v>0.74</v>
      </c>
      <c r="T1288">
        <v>0</v>
      </c>
      <c r="U1288">
        <v>0</v>
      </c>
      <c r="V1288">
        <v>0.16</v>
      </c>
      <c r="W1288">
        <v>6.53</v>
      </c>
      <c r="X1288">
        <v>1.48</v>
      </c>
      <c r="Y1288">
        <v>0.06</v>
      </c>
      <c r="Z1288">
        <v>0</v>
      </c>
      <c r="AA1288">
        <v>0</v>
      </c>
      <c r="AB1288">
        <v>0</v>
      </c>
      <c r="AC1288">
        <v>8.98</v>
      </c>
      <c r="AD1288">
        <v>8.2899999999999991</v>
      </c>
      <c r="AE1288">
        <v>0</v>
      </c>
      <c r="AF1288">
        <v>0</v>
      </c>
      <c r="AG1288">
        <v>1.82</v>
      </c>
      <c r="AH1288">
        <v>72.709999999999994</v>
      </c>
      <c r="AI1288">
        <v>16.489999999999998</v>
      </c>
      <c r="AJ1288">
        <v>0.64</v>
      </c>
      <c r="AK1288">
        <v>0</v>
      </c>
      <c r="AL1288">
        <v>0</v>
      </c>
      <c r="AM1288">
        <v>0.05</v>
      </c>
      <c r="AN1288">
        <f t="shared" si="61"/>
        <v>2</v>
      </c>
      <c r="AO1288" t="str">
        <f t="shared" si="62"/>
        <v>Monday</v>
      </c>
    </row>
    <row r="1289" spans="1:41" x14ac:dyDescent="0.2">
      <c r="A1289" t="s">
        <v>43</v>
      </c>
      <c r="B1289" s="1">
        <v>45740</v>
      </c>
      <c r="C1289" s="1">
        <f t="shared" si="60"/>
        <v>45747</v>
      </c>
      <c r="D1289">
        <v>29</v>
      </c>
      <c r="E1289">
        <v>78</v>
      </c>
      <c r="F1289">
        <v>7</v>
      </c>
      <c r="G1289">
        <v>2</v>
      </c>
      <c r="H1289">
        <v>12</v>
      </c>
      <c r="I1289">
        <v>0</v>
      </c>
      <c r="J1289">
        <v>0</v>
      </c>
      <c r="K1289">
        <v>45</v>
      </c>
      <c r="L1289" t="s">
        <v>43</v>
      </c>
      <c r="M1289" t="s">
        <v>38</v>
      </c>
      <c r="N1289" s="1">
        <v>45740</v>
      </c>
      <c r="O1289" s="2">
        <v>0.54359953703703701</v>
      </c>
      <c r="P1289" s="2">
        <v>0.92020833333333329</v>
      </c>
      <c r="Q1289">
        <v>9.0500000000000007</v>
      </c>
      <c r="R1289">
        <v>9.01</v>
      </c>
      <c r="S1289">
        <v>0.88</v>
      </c>
      <c r="T1289">
        <v>0.12</v>
      </c>
      <c r="U1289">
        <v>0</v>
      </c>
      <c r="V1289">
        <v>0.2</v>
      </c>
      <c r="W1289">
        <v>5.95</v>
      </c>
      <c r="X1289">
        <v>1.46</v>
      </c>
      <c r="Y1289">
        <v>0.21</v>
      </c>
      <c r="Z1289">
        <v>0</v>
      </c>
      <c r="AA1289">
        <v>0.17</v>
      </c>
      <c r="AB1289">
        <v>0.01</v>
      </c>
      <c r="AC1289">
        <v>9.01</v>
      </c>
      <c r="AD1289">
        <v>9.82</v>
      </c>
      <c r="AE1289">
        <v>1.35</v>
      </c>
      <c r="AF1289">
        <v>0</v>
      </c>
      <c r="AG1289">
        <v>2.27</v>
      </c>
      <c r="AH1289">
        <v>66.03</v>
      </c>
      <c r="AI1289">
        <v>16.22</v>
      </c>
      <c r="AJ1289">
        <v>2.3199999999999998</v>
      </c>
      <c r="AK1289">
        <v>0</v>
      </c>
      <c r="AL1289">
        <v>1.85</v>
      </c>
      <c r="AM1289">
        <v>0.14000000000000001</v>
      </c>
      <c r="AN1289">
        <f t="shared" si="61"/>
        <v>2</v>
      </c>
      <c r="AO1289" t="str">
        <f t="shared" si="62"/>
        <v>Monday</v>
      </c>
    </row>
    <row r="1290" spans="1:41" x14ac:dyDescent="0.2">
      <c r="B1290" s="1">
        <v>45740</v>
      </c>
      <c r="C1290" s="1">
        <f t="shared" si="60"/>
        <v>45747</v>
      </c>
      <c r="D1290">
        <v>683</v>
      </c>
      <c r="E1290">
        <v>0</v>
      </c>
      <c r="F1290">
        <v>0</v>
      </c>
      <c r="G1290">
        <v>0</v>
      </c>
      <c r="H1290">
        <v>0</v>
      </c>
      <c r="I1290">
        <v>0</v>
      </c>
      <c r="J1290">
        <v>0</v>
      </c>
      <c r="K1290">
        <v>0</v>
      </c>
      <c r="AN1290">
        <f t="shared" si="61"/>
        <v>2</v>
      </c>
      <c r="AO1290" t="str">
        <f t="shared" si="62"/>
        <v>Monday</v>
      </c>
    </row>
    <row r="1291" spans="1:41" x14ac:dyDescent="0.2">
      <c r="A1291" t="s">
        <v>37</v>
      </c>
      <c r="B1291" s="1">
        <v>45737</v>
      </c>
      <c r="C1291" s="1">
        <f t="shared" si="60"/>
        <v>45747</v>
      </c>
      <c r="D1291">
        <v>28</v>
      </c>
      <c r="E1291">
        <v>89</v>
      </c>
      <c r="F1291">
        <v>12</v>
      </c>
      <c r="G1291">
        <v>4</v>
      </c>
      <c r="H1291">
        <v>4</v>
      </c>
      <c r="I1291">
        <v>0</v>
      </c>
      <c r="J1291">
        <v>3</v>
      </c>
      <c r="K1291">
        <v>56</v>
      </c>
      <c r="L1291" t="s">
        <v>37</v>
      </c>
      <c r="M1291" t="s">
        <v>38</v>
      </c>
      <c r="N1291" s="1">
        <v>45737</v>
      </c>
      <c r="O1291" s="2">
        <v>0.54204861111111113</v>
      </c>
      <c r="P1291" s="2">
        <v>0.91704861111111113</v>
      </c>
      <c r="Q1291">
        <v>9</v>
      </c>
      <c r="R1291">
        <v>8.08</v>
      </c>
      <c r="S1291">
        <v>0.87</v>
      </c>
      <c r="T1291">
        <v>0.19</v>
      </c>
      <c r="U1291">
        <v>0</v>
      </c>
      <c r="V1291">
        <v>0.4</v>
      </c>
      <c r="W1291">
        <v>6.2</v>
      </c>
      <c r="X1291">
        <v>0.37</v>
      </c>
      <c r="Y1291">
        <v>0.05</v>
      </c>
      <c r="Z1291">
        <v>0</v>
      </c>
      <c r="AA1291">
        <v>0</v>
      </c>
      <c r="AB1291">
        <v>0.01</v>
      </c>
      <c r="AC1291">
        <v>8.08</v>
      </c>
      <c r="AD1291">
        <v>10.72</v>
      </c>
      <c r="AE1291">
        <v>2.3199999999999998</v>
      </c>
      <c r="AF1291">
        <v>0</v>
      </c>
      <c r="AG1291">
        <v>4.9800000000000004</v>
      </c>
      <c r="AH1291">
        <v>76.67</v>
      </c>
      <c r="AI1291">
        <v>4.59</v>
      </c>
      <c r="AJ1291">
        <v>0.59</v>
      </c>
      <c r="AK1291">
        <v>0</v>
      </c>
      <c r="AL1291">
        <v>0</v>
      </c>
      <c r="AM1291">
        <v>0.12</v>
      </c>
      <c r="AN1291">
        <f t="shared" si="61"/>
        <v>6</v>
      </c>
      <c r="AO1291" t="str">
        <f t="shared" si="62"/>
        <v>Friday</v>
      </c>
    </row>
    <row r="1292" spans="1:41" x14ac:dyDescent="0.2">
      <c r="A1292" t="s">
        <v>39</v>
      </c>
      <c r="B1292" s="1">
        <v>45737</v>
      </c>
      <c r="C1292" s="1">
        <f t="shared" si="60"/>
        <v>45747</v>
      </c>
      <c r="D1292">
        <v>23</v>
      </c>
      <c r="E1292">
        <v>49</v>
      </c>
      <c r="F1292">
        <v>2</v>
      </c>
      <c r="G1292">
        <v>5</v>
      </c>
      <c r="H1292">
        <v>3</v>
      </c>
      <c r="I1292">
        <v>0</v>
      </c>
      <c r="J1292">
        <v>2</v>
      </c>
      <c r="K1292">
        <v>25</v>
      </c>
      <c r="L1292" t="s">
        <v>39</v>
      </c>
      <c r="M1292" t="s">
        <v>38</v>
      </c>
      <c r="N1292" s="1">
        <v>45737</v>
      </c>
      <c r="O1292" s="2">
        <v>0.54175925925925927</v>
      </c>
      <c r="P1292" s="2">
        <v>0.91670138888888886</v>
      </c>
      <c r="Q1292">
        <v>9</v>
      </c>
      <c r="R1292">
        <v>9</v>
      </c>
      <c r="S1292">
        <v>1.4</v>
      </c>
      <c r="T1292">
        <v>0.16</v>
      </c>
      <c r="U1292">
        <v>0</v>
      </c>
      <c r="V1292">
        <v>0.03</v>
      </c>
      <c r="W1292">
        <v>5.7</v>
      </c>
      <c r="X1292">
        <v>1.5</v>
      </c>
      <c r="Y1292">
        <v>0.22</v>
      </c>
      <c r="Z1292">
        <v>0</v>
      </c>
      <c r="AA1292">
        <v>0</v>
      </c>
      <c r="AB1292">
        <v>0</v>
      </c>
      <c r="AC1292">
        <v>9</v>
      </c>
      <c r="AD1292">
        <v>15.53</v>
      </c>
      <c r="AE1292">
        <v>1.81</v>
      </c>
      <c r="AF1292">
        <v>0</v>
      </c>
      <c r="AG1292">
        <v>0.3</v>
      </c>
      <c r="AH1292">
        <v>63.29</v>
      </c>
      <c r="AI1292">
        <v>16.62</v>
      </c>
      <c r="AJ1292">
        <v>2.4</v>
      </c>
      <c r="AK1292">
        <v>0</v>
      </c>
      <c r="AL1292">
        <v>0</v>
      </c>
      <c r="AM1292">
        <v>0.04</v>
      </c>
      <c r="AN1292">
        <f t="shared" si="61"/>
        <v>6</v>
      </c>
      <c r="AO1292" t="str">
        <f t="shared" si="62"/>
        <v>Friday</v>
      </c>
    </row>
    <row r="1293" spans="1:41" x14ac:dyDescent="0.2">
      <c r="A1293" t="s">
        <v>41</v>
      </c>
      <c r="B1293" s="1">
        <v>45737</v>
      </c>
      <c r="C1293" s="1">
        <f t="shared" si="60"/>
        <v>45747</v>
      </c>
      <c r="D1293">
        <v>34</v>
      </c>
      <c r="E1293">
        <v>88</v>
      </c>
      <c r="F1293">
        <v>2</v>
      </c>
      <c r="G1293">
        <v>3</v>
      </c>
      <c r="H1293">
        <v>9</v>
      </c>
      <c r="I1293">
        <v>0</v>
      </c>
      <c r="J1293">
        <v>0</v>
      </c>
      <c r="K1293">
        <v>59</v>
      </c>
      <c r="L1293" t="s">
        <v>41</v>
      </c>
      <c r="M1293" t="s">
        <v>38</v>
      </c>
      <c r="N1293" s="1">
        <v>45737</v>
      </c>
      <c r="O1293" s="2">
        <v>0.54273148148148154</v>
      </c>
      <c r="P1293" s="2">
        <v>0.91583333333333339</v>
      </c>
      <c r="Q1293">
        <v>8.9499999999999993</v>
      </c>
      <c r="R1293">
        <v>8.9499999999999993</v>
      </c>
      <c r="S1293">
        <v>0.66</v>
      </c>
      <c r="T1293">
        <v>0</v>
      </c>
      <c r="U1293">
        <v>0</v>
      </c>
      <c r="V1293">
        <v>0.15</v>
      </c>
      <c r="W1293">
        <v>6.69</v>
      </c>
      <c r="X1293">
        <v>1.45</v>
      </c>
      <c r="Y1293">
        <v>0</v>
      </c>
      <c r="Z1293">
        <v>0</v>
      </c>
      <c r="AA1293">
        <v>0</v>
      </c>
      <c r="AB1293">
        <v>0.01</v>
      </c>
      <c r="AC1293">
        <v>8.9499999999999993</v>
      </c>
      <c r="AD1293">
        <v>7.36</v>
      </c>
      <c r="AE1293">
        <v>0</v>
      </c>
      <c r="AF1293">
        <v>0</v>
      </c>
      <c r="AG1293">
        <v>1.65</v>
      </c>
      <c r="AH1293">
        <v>74.69</v>
      </c>
      <c r="AI1293">
        <v>16.23</v>
      </c>
      <c r="AJ1293">
        <v>0</v>
      </c>
      <c r="AK1293">
        <v>0</v>
      </c>
      <c r="AL1293">
        <v>0</v>
      </c>
      <c r="AM1293">
        <v>0.06</v>
      </c>
      <c r="AN1293">
        <f t="shared" si="61"/>
        <v>6</v>
      </c>
      <c r="AO1293" t="str">
        <f t="shared" si="62"/>
        <v>Friday</v>
      </c>
    </row>
    <row r="1294" spans="1:41" x14ac:dyDescent="0.2">
      <c r="B1294" s="1">
        <v>45737</v>
      </c>
      <c r="C1294" s="1">
        <f t="shared" si="60"/>
        <v>45747</v>
      </c>
      <c r="D1294">
        <v>702</v>
      </c>
      <c r="E1294">
        <v>0</v>
      </c>
      <c r="F1294">
        <v>0</v>
      </c>
      <c r="G1294">
        <v>0</v>
      </c>
      <c r="H1294">
        <v>0</v>
      </c>
      <c r="I1294">
        <v>0</v>
      </c>
      <c r="J1294">
        <v>0</v>
      </c>
      <c r="K1294">
        <v>0</v>
      </c>
      <c r="AN1294">
        <f t="shared" si="61"/>
        <v>6</v>
      </c>
      <c r="AO1294" t="str">
        <f t="shared" si="62"/>
        <v>Friday</v>
      </c>
    </row>
    <row r="1295" spans="1:41" x14ac:dyDescent="0.2">
      <c r="A1295" t="s">
        <v>37</v>
      </c>
      <c r="B1295" s="1">
        <v>45736</v>
      </c>
      <c r="C1295" s="1">
        <f t="shared" si="60"/>
        <v>45747</v>
      </c>
      <c r="D1295">
        <v>28</v>
      </c>
      <c r="E1295">
        <v>68</v>
      </c>
      <c r="F1295">
        <v>5</v>
      </c>
      <c r="G1295">
        <v>6</v>
      </c>
      <c r="H1295">
        <v>2</v>
      </c>
      <c r="I1295">
        <v>0</v>
      </c>
      <c r="J1295">
        <v>2</v>
      </c>
      <c r="K1295">
        <v>35</v>
      </c>
      <c r="L1295" t="s">
        <v>37</v>
      </c>
      <c r="M1295" t="s">
        <v>38</v>
      </c>
      <c r="N1295" s="1">
        <v>45736</v>
      </c>
      <c r="O1295" s="2">
        <v>0.54266203703703708</v>
      </c>
      <c r="P1295" s="2">
        <v>0.91675925925925927</v>
      </c>
      <c r="Q1295">
        <v>8.98</v>
      </c>
      <c r="R1295">
        <v>8.06</v>
      </c>
      <c r="S1295">
        <v>1.17</v>
      </c>
      <c r="T1295">
        <v>0.45</v>
      </c>
      <c r="U1295">
        <v>0</v>
      </c>
      <c r="V1295">
        <v>0.31</v>
      </c>
      <c r="W1295">
        <v>5.46</v>
      </c>
      <c r="X1295">
        <v>0.19</v>
      </c>
      <c r="Y1295">
        <v>0.36</v>
      </c>
      <c r="Z1295">
        <v>0</v>
      </c>
      <c r="AA1295">
        <v>0</v>
      </c>
      <c r="AB1295">
        <v>0.12</v>
      </c>
      <c r="AC1295">
        <v>8.06</v>
      </c>
      <c r="AD1295">
        <v>14.52</v>
      </c>
      <c r="AE1295">
        <v>5.53</v>
      </c>
      <c r="AF1295">
        <v>0</v>
      </c>
      <c r="AG1295">
        <v>3.9</v>
      </c>
      <c r="AH1295">
        <v>67.680000000000007</v>
      </c>
      <c r="AI1295">
        <v>2.38</v>
      </c>
      <c r="AJ1295">
        <v>4.46</v>
      </c>
      <c r="AK1295">
        <v>0</v>
      </c>
      <c r="AL1295">
        <v>0</v>
      </c>
      <c r="AM1295">
        <v>1.52</v>
      </c>
      <c r="AN1295">
        <f t="shared" si="61"/>
        <v>5</v>
      </c>
      <c r="AO1295" t="str">
        <f t="shared" si="62"/>
        <v>Thursday</v>
      </c>
    </row>
    <row r="1296" spans="1:41" x14ac:dyDescent="0.2">
      <c r="A1296" t="s">
        <v>39</v>
      </c>
      <c r="B1296" s="1">
        <v>45736</v>
      </c>
      <c r="C1296" s="1">
        <f t="shared" si="60"/>
        <v>45747</v>
      </c>
      <c r="D1296">
        <v>28</v>
      </c>
      <c r="E1296">
        <v>71</v>
      </c>
      <c r="F1296">
        <v>3</v>
      </c>
      <c r="G1296">
        <v>7</v>
      </c>
      <c r="H1296">
        <v>5</v>
      </c>
      <c r="I1296">
        <v>0</v>
      </c>
      <c r="J1296">
        <v>0</v>
      </c>
      <c r="K1296">
        <v>46</v>
      </c>
      <c r="L1296" t="s">
        <v>39</v>
      </c>
      <c r="M1296" t="s">
        <v>38</v>
      </c>
      <c r="N1296" s="1">
        <v>45736</v>
      </c>
      <c r="O1296" s="2">
        <v>0.54188657407407403</v>
      </c>
      <c r="P1296" s="2">
        <v>0.91685185185185181</v>
      </c>
      <c r="Q1296">
        <v>9</v>
      </c>
      <c r="R1296">
        <v>9</v>
      </c>
      <c r="S1296">
        <v>1.08</v>
      </c>
      <c r="T1296">
        <v>0.11</v>
      </c>
      <c r="U1296">
        <v>0</v>
      </c>
      <c r="V1296">
        <v>0.02</v>
      </c>
      <c r="W1296">
        <v>5.82</v>
      </c>
      <c r="X1296">
        <v>1.49</v>
      </c>
      <c r="Y1296">
        <v>0.47</v>
      </c>
      <c r="Z1296">
        <v>0</v>
      </c>
      <c r="AA1296">
        <v>0</v>
      </c>
      <c r="AB1296">
        <v>0</v>
      </c>
      <c r="AC1296">
        <v>9</v>
      </c>
      <c r="AD1296">
        <v>11.96</v>
      </c>
      <c r="AE1296">
        <v>1.25</v>
      </c>
      <c r="AF1296">
        <v>0</v>
      </c>
      <c r="AG1296">
        <v>0.26</v>
      </c>
      <c r="AH1296">
        <v>64.67</v>
      </c>
      <c r="AI1296">
        <v>16.55</v>
      </c>
      <c r="AJ1296">
        <v>5.27</v>
      </c>
      <c r="AK1296">
        <v>0</v>
      </c>
      <c r="AL1296">
        <v>0</v>
      </c>
      <c r="AM1296">
        <v>0.04</v>
      </c>
      <c r="AN1296">
        <f t="shared" si="61"/>
        <v>5</v>
      </c>
      <c r="AO1296" t="str">
        <f t="shared" si="62"/>
        <v>Thursday</v>
      </c>
    </row>
    <row r="1297" spans="1:41" x14ac:dyDescent="0.2">
      <c r="A1297" t="s">
        <v>41</v>
      </c>
      <c r="B1297" s="1">
        <v>45736</v>
      </c>
      <c r="C1297" s="1">
        <f t="shared" si="60"/>
        <v>45747</v>
      </c>
      <c r="D1297">
        <v>23</v>
      </c>
      <c r="E1297">
        <v>58</v>
      </c>
      <c r="F1297">
        <v>0</v>
      </c>
      <c r="G1297">
        <v>0</v>
      </c>
      <c r="H1297">
        <v>5</v>
      </c>
      <c r="I1297">
        <v>0</v>
      </c>
      <c r="J1297">
        <v>1</v>
      </c>
      <c r="K1297">
        <v>35</v>
      </c>
      <c r="L1297" t="s">
        <v>41</v>
      </c>
      <c r="M1297" t="s">
        <v>38</v>
      </c>
      <c r="N1297" s="1">
        <v>45736</v>
      </c>
      <c r="O1297" s="2">
        <v>0.54200231481481487</v>
      </c>
      <c r="P1297" s="2">
        <v>0.91686342592592596</v>
      </c>
      <c r="Q1297">
        <v>9</v>
      </c>
      <c r="R1297">
        <v>7.7</v>
      </c>
      <c r="S1297">
        <v>0.45</v>
      </c>
      <c r="T1297">
        <v>0.13</v>
      </c>
      <c r="U1297">
        <v>0</v>
      </c>
      <c r="V1297">
        <v>0.04</v>
      </c>
      <c r="W1297">
        <v>6.08</v>
      </c>
      <c r="X1297">
        <v>0.69</v>
      </c>
      <c r="Y1297">
        <v>0.3</v>
      </c>
      <c r="Z1297">
        <v>0</v>
      </c>
      <c r="AA1297">
        <v>0</v>
      </c>
      <c r="AB1297">
        <v>0.01</v>
      </c>
      <c r="AC1297">
        <v>7.7</v>
      </c>
      <c r="AD1297">
        <v>5.81</v>
      </c>
      <c r="AE1297">
        <v>1.74</v>
      </c>
      <c r="AF1297">
        <v>0</v>
      </c>
      <c r="AG1297">
        <v>0.47</v>
      </c>
      <c r="AH1297">
        <v>79</v>
      </c>
      <c r="AI1297">
        <v>8.94</v>
      </c>
      <c r="AJ1297">
        <v>3.9</v>
      </c>
      <c r="AK1297">
        <v>0</v>
      </c>
      <c r="AL1297">
        <v>0</v>
      </c>
      <c r="AM1297">
        <v>0.12</v>
      </c>
      <c r="AN1297">
        <f t="shared" si="61"/>
        <v>5</v>
      </c>
      <c r="AO1297" t="str">
        <f t="shared" si="62"/>
        <v>Thursday</v>
      </c>
    </row>
    <row r="1298" spans="1:41" x14ac:dyDescent="0.2">
      <c r="A1298" t="s">
        <v>43</v>
      </c>
      <c r="B1298" s="1">
        <v>45736</v>
      </c>
      <c r="C1298" s="1">
        <f t="shared" si="60"/>
        <v>45747</v>
      </c>
      <c r="D1298">
        <v>24</v>
      </c>
      <c r="E1298">
        <v>60</v>
      </c>
      <c r="F1298">
        <v>2</v>
      </c>
      <c r="G1298">
        <v>3</v>
      </c>
      <c r="H1298">
        <v>3</v>
      </c>
      <c r="I1298">
        <v>0</v>
      </c>
      <c r="J1298">
        <v>0</v>
      </c>
      <c r="K1298">
        <v>39</v>
      </c>
      <c r="L1298" t="s">
        <v>43</v>
      </c>
      <c r="M1298" t="s">
        <v>38</v>
      </c>
      <c r="N1298" s="1">
        <v>45736</v>
      </c>
      <c r="O1298" s="2">
        <v>0.54146990740740741</v>
      </c>
      <c r="P1298" s="2">
        <v>0.91753472222222221</v>
      </c>
      <c r="Q1298">
        <v>9.0299999999999994</v>
      </c>
      <c r="R1298">
        <v>8.98</v>
      </c>
      <c r="S1298">
        <v>0.34</v>
      </c>
      <c r="T1298">
        <v>0.1</v>
      </c>
      <c r="U1298">
        <v>0</v>
      </c>
      <c r="V1298">
        <v>0.11</v>
      </c>
      <c r="W1298">
        <v>5.83</v>
      </c>
      <c r="X1298">
        <v>1.46</v>
      </c>
      <c r="Y1298">
        <v>0.84</v>
      </c>
      <c r="Z1298">
        <v>0</v>
      </c>
      <c r="AA1298">
        <v>0.28000000000000003</v>
      </c>
      <c r="AB1298">
        <v>0.02</v>
      </c>
      <c r="AC1298">
        <v>8.98</v>
      </c>
      <c r="AD1298">
        <v>3.82</v>
      </c>
      <c r="AE1298">
        <v>1.07</v>
      </c>
      <c r="AF1298">
        <v>0</v>
      </c>
      <c r="AG1298">
        <v>1.21</v>
      </c>
      <c r="AH1298">
        <v>64.930000000000007</v>
      </c>
      <c r="AI1298">
        <v>16.23</v>
      </c>
      <c r="AJ1298">
        <v>9.4</v>
      </c>
      <c r="AK1298">
        <v>0</v>
      </c>
      <c r="AL1298">
        <v>3.15</v>
      </c>
      <c r="AM1298">
        <v>0.19</v>
      </c>
      <c r="AN1298">
        <f t="shared" si="61"/>
        <v>5</v>
      </c>
      <c r="AO1298" t="str">
        <f t="shared" si="62"/>
        <v>Thursday</v>
      </c>
    </row>
    <row r="1299" spans="1:41" x14ac:dyDescent="0.2">
      <c r="A1299" t="s">
        <v>49</v>
      </c>
      <c r="B1299" s="1">
        <v>45736</v>
      </c>
      <c r="C1299" s="1">
        <f t="shared" si="60"/>
        <v>45747</v>
      </c>
      <c r="D1299">
        <v>1</v>
      </c>
      <c r="E1299">
        <v>1</v>
      </c>
      <c r="F1299">
        <v>0</v>
      </c>
      <c r="G1299">
        <v>0</v>
      </c>
      <c r="H1299">
        <v>0</v>
      </c>
      <c r="I1299">
        <v>0</v>
      </c>
      <c r="J1299">
        <v>0</v>
      </c>
      <c r="K1299">
        <v>0</v>
      </c>
      <c r="L1299" t="s">
        <v>49</v>
      </c>
      <c r="M1299" t="s">
        <v>38</v>
      </c>
      <c r="N1299" s="1">
        <v>45736</v>
      </c>
      <c r="O1299" s="2">
        <v>0.63027777777777783</v>
      </c>
      <c r="P1299" s="2">
        <v>0.84788194444444442</v>
      </c>
      <c r="Q1299">
        <v>5.22</v>
      </c>
      <c r="R1299">
        <v>0.13</v>
      </c>
      <c r="S1299">
        <v>0</v>
      </c>
      <c r="T1299">
        <v>0</v>
      </c>
      <c r="U1299">
        <v>0</v>
      </c>
      <c r="V1299">
        <v>0.06</v>
      </c>
      <c r="W1299">
        <v>0</v>
      </c>
      <c r="X1299">
        <v>0</v>
      </c>
      <c r="Y1299">
        <v>0</v>
      </c>
      <c r="Z1299">
        <v>0</v>
      </c>
      <c r="AA1299">
        <v>0</v>
      </c>
      <c r="AB1299">
        <v>0.06</v>
      </c>
      <c r="AC1299">
        <v>0.13</v>
      </c>
      <c r="AD1299">
        <v>3.78</v>
      </c>
      <c r="AE1299">
        <v>0</v>
      </c>
      <c r="AF1299">
        <v>0</v>
      </c>
      <c r="AG1299">
        <v>46.67</v>
      </c>
      <c r="AH1299">
        <v>0</v>
      </c>
      <c r="AI1299">
        <v>0</v>
      </c>
      <c r="AJ1299">
        <v>0</v>
      </c>
      <c r="AK1299">
        <v>0</v>
      </c>
      <c r="AL1299">
        <v>0</v>
      </c>
      <c r="AM1299">
        <v>49.56</v>
      </c>
      <c r="AN1299">
        <f t="shared" si="61"/>
        <v>5</v>
      </c>
      <c r="AO1299" t="str">
        <f t="shared" si="62"/>
        <v>Thursday</v>
      </c>
    </row>
    <row r="1300" spans="1:41" x14ac:dyDescent="0.2">
      <c r="B1300" s="1">
        <v>45736</v>
      </c>
      <c r="C1300" s="1">
        <f t="shared" si="60"/>
        <v>45747</v>
      </c>
      <c r="D1300">
        <v>711</v>
      </c>
      <c r="E1300">
        <v>0</v>
      </c>
      <c r="F1300">
        <v>0</v>
      </c>
      <c r="G1300">
        <v>0</v>
      </c>
      <c r="H1300">
        <v>0</v>
      </c>
      <c r="I1300">
        <v>0</v>
      </c>
      <c r="J1300">
        <v>0</v>
      </c>
      <c r="K1300">
        <v>0</v>
      </c>
      <c r="AN1300">
        <f t="shared" si="61"/>
        <v>5</v>
      </c>
      <c r="AO1300" t="str">
        <f t="shared" si="62"/>
        <v>Thursday</v>
      </c>
    </row>
    <row r="1301" spans="1:41" x14ac:dyDescent="0.2">
      <c r="A1301" t="s">
        <v>37</v>
      </c>
      <c r="B1301" s="1">
        <v>45735</v>
      </c>
      <c r="C1301" s="1">
        <f t="shared" si="60"/>
        <v>45747</v>
      </c>
      <c r="D1301">
        <v>34</v>
      </c>
      <c r="E1301">
        <v>94</v>
      </c>
      <c r="F1301">
        <v>4</v>
      </c>
      <c r="G1301">
        <v>2</v>
      </c>
      <c r="H1301">
        <v>3</v>
      </c>
      <c r="I1301">
        <v>1</v>
      </c>
      <c r="J1301">
        <v>0</v>
      </c>
      <c r="K1301">
        <v>65</v>
      </c>
      <c r="L1301" t="s">
        <v>37</v>
      </c>
      <c r="M1301" t="s">
        <v>38</v>
      </c>
      <c r="N1301" s="1">
        <v>45735</v>
      </c>
      <c r="O1301" s="2">
        <v>0.54271990740740739</v>
      </c>
      <c r="P1301" s="2">
        <v>0.91717592592592589</v>
      </c>
      <c r="Q1301">
        <v>8.98</v>
      </c>
      <c r="R1301">
        <v>8.07</v>
      </c>
      <c r="S1301">
        <v>1.22</v>
      </c>
      <c r="T1301">
        <v>0.16</v>
      </c>
      <c r="U1301">
        <v>0</v>
      </c>
      <c r="V1301">
        <v>0.53</v>
      </c>
      <c r="W1301">
        <v>5.68</v>
      </c>
      <c r="X1301">
        <v>0.46</v>
      </c>
      <c r="Y1301">
        <v>0</v>
      </c>
      <c r="Z1301">
        <v>0</v>
      </c>
      <c r="AA1301">
        <v>0</v>
      </c>
      <c r="AB1301">
        <v>0.01</v>
      </c>
      <c r="AC1301">
        <v>8.07</v>
      </c>
      <c r="AD1301">
        <v>15.17</v>
      </c>
      <c r="AE1301">
        <v>2.0299999999999998</v>
      </c>
      <c r="AF1301">
        <v>0</v>
      </c>
      <c r="AG1301">
        <v>6.55</v>
      </c>
      <c r="AH1301">
        <v>70.400000000000006</v>
      </c>
      <c r="AI1301">
        <v>5.68</v>
      </c>
      <c r="AJ1301">
        <v>0</v>
      </c>
      <c r="AK1301">
        <v>0</v>
      </c>
      <c r="AL1301">
        <v>0</v>
      </c>
      <c r="AM1301">
        <v>0.17</v>
      </c>
      <c r="AN1301">
        <f t="shared" si="61"/>
        <v>4</v>
      </c>
      <c r="AO1301" t="str">
        <f t="shared" si="62"/>
        <v>Wednesday</v>
      </c>
    </row>
    <row r="1302" spans="1:41" x14ac:dyDescent="0.2">
      <c r="A1302" t="s">
        <v>39</v>
      </c>
      <c r="B1302" s="1">
        <v>45735</v>
      </c>
      <c r="C1302" s="1">
        <f t="shared" si="60"/>
        <v>45747</v>
      </c>
      <c r="D1302">
        <v>37</v>
      </c>
      <c r="E1302">
        <v>113</v>
      </c>
      <c r="F1302">
        <v>5</v>
      </c>
      <c r="G1302">
        <v>4</v>
      </c>
      <c r="H1302">
        <v>3</v>
      </c>
      <c r="I1302">
        <v>0</v>
      </c>
      <c r="J1302">
        <v>0</v>
      </c>
      <c r="K1302">
        <v>79</v>
      </c>
      <c r="L1302" t="s">
        <v>39</v>
      </c>
      <c r="M1302" t="s">
        <v>38</v>
      </c>
      <c r="N1302" s="1">
        <v>45735</v>
      </c>
      <c r="O1302" s="2">
        <v>0.54015046296296299</v>
      </c>
      <c r="P1302" s="2">
        <v>0.91729166666666662</v>
      </c>
      <c r="Q1302">
        <v>9.0500000000000007</v>
      </c>
      <c r="R1302">
        <v>9.0399999999999991</v>
      </c>
      <c r="S1302">
        <v>1.68</v>
      </c>
      <c r="T1302">
        <v>0.08</v>
      </c>
      <c r="U1302">
        <v>0</v>
      </c>
      <c r="V1302">
        <v>0.08</v>
      </c>
      <c r="W1302">
        <v>5.66</v>
      </c>
      <c r="X1302">
        <v>1.49</v>
      </c>
      <c r="Y1302">
        <v>0.02</v>
      </c>
      <c r="Z1302">
        <v>0</v>
      </c>
      <c r="AA1302">
        <v>0</v>
      </c>
      <c r="AB1302">
        <v>0.04</v>
      </c>
      <c r="AC1302">
        <v>9.0399999999999991</v>
      </c>
      <c r="AD1302">
        <v>18.600000000000001</v>
      </c>
      <c r="AE1302">
        <v>0.87</v>
      </c>
      <c r="AF1302">
        <v>0</v>
      </c>
      <c r="AG1302">
        <v>0.87</v>
      </c>
      <c r="AH1302">
        <v>62.54</v>
      </c>
      <c r="AI1302">
        <v>16.440000000000001</v>
      </c>
      <c r="AJ1302">
        <v>0.21</v>
      </c>
      <c r="AK1302">
        <v>0</v>
      </c>
      <c r="AL1302">
        <v>0</v>
      </c>
      <c r="AM1302">
        <v>0.47</v>
      </c>
      <c r="AN1302">
        <f t="shared" si="61"/>
        <v>4</v>
      </c>
      <c r="AO1302" t="str">
        <f t="shared" si="62"/>
        <v>Wednesday</v>
      </c>
    </row>
    <row r="1303" spans="1:41" x14ac:dyDescent="0.2">
      <c r="A1303" t="s">
        <v>41</v>
      </c>
      <c r="B1303" s="1">
        <v>45735</v>
      </c>
      <c r="C1303" s="1">
        <f t="shared" si="60"/>
        <v>45747</v>
      </c>
      <c r="D1303">
        <v>1</v>
      </c>
      <c r="E1303">
        <v>1</v>
      </c>
      <c r="F1303">
        <v>0</v>
      </c>
      <c r="G1303">
        <v>0</v>
      </c>
      <c r="H1303">
        <v>0</v>
      </c>
      <c r="I1303">
        <v>0</v>
      </c>
      <c r="J1303">
        <v>0</v>
      </c>
      <c r="K1303">
        <v>0</v>
      </c>
      <c r="AN1303">
        <f t="shared" si="61"/>
        <v>4</v>
      </c>
      <c r="AO1303" t="str">
        <f t="shared" si="62"/>
        <v>Wednesday</v>
      </c>
    </row>
    <row r="1304" spans="1:41" x14ac:dyDescent="0.2">
      <c r="A1304" t="s">
        <v>43</v>
      </c>
      <c r="B1304" s="1">
        <v>45735</v>
      </c>
      <c r="C1304" s="1">
        <f t="shared" si="60"/>
        <v>45747</v>
      </c>
      <c r="D1304">
        <v>34</v>
      </c>
      <c r="E1304">
        <v>89</v>
      </c>
      <c r="F1304">
        <v>5</v>
      </c>
      <c r="G1304">
        <v>4</v>
      </c>
      <c r="H1304">
        <v>10</v>
      </c>
      <c r="I1304">
        <v>1</v>
      </c>
      <c r="J1304">
        <v>2</v>
      </c>
      <c r="K1304">
        <v>49</v>
      </c>
      <c r="L1304" t="s">
        <v>43</v>
      </c>
      <c r="M1304" t="s">
        <v>38</v>
      </c>
      <c r="N1304" s="1">
        <v>45735</v>
      </c>
      <c r="O1304" s="2">
        <v>0.54171296296296301</v>
      </c>
      <c r="P1304" s="2">
        <v>0.91799768518518521</v>
      </c>
      <c r="Q1304">
        <v>9.02</v>
      </c>
      <c r="R1304">
        <v>9.0299999999999994</v>
      </c>
      <c r="S1304">
        <v>1.67</v>
      </c>
      <c r="T1304">
        <v>0.05</v>
      </c>
      <c r="U1304">
        <v>0</v>
      </c>
      <c r="V1304">
        <v>0.38</v>
      </c>
      <c r="W1304">
        <v>5.24</v>
      </c>
      <c r="X1304">
        <v>1.45</v>
      </c>
      <c r="Y1304">
        <v>0.24</v>
      </c>
      <c r="Z1304">
        <v>0</v>
      </c>
      <c r="AA1304">
        <v>0</v>
      </c>
      <c r="AB1304">
        <v>0</v>
      </c>
      <c r="AC1304">
        <v>9.0299999999999994</v>
      </c>
      <c r="AD1304">
        <v>18.489999999999998</v>
      </c>
      <c r="AE1304">
        <v>0.5</v>
      </c>
      <c r="AF1304">
        <v>0</v>
      </c>
      <c r="AG1304">
        <v>4.22</v>
      </c>
      <c r="AH1304">
        <v>58</v>
      </c>
      <c r="AI1304">
        <v>16.11</v>
      </c>
      <c r="AJ1304">
        <v>2.64</v>
      </c>
      <c r="AK1304">
        <v>0</v>
      </c>
      <c r="AL1304">
        <v>0</v>
      </c>
      <c r="AM1304">
        <v>0.04</v>
      </c>
      <c r="AN1304">
        <f t="shared" si="61"/>
        <v>4</v>
      </c>
      <c r="AO1304" t="str">
        <f t="shared" si="62"/>
        <v>Wednesday</v>
      </c>
    </row>
    <row r="1305" spans="1:41" x14ac:dyDescent="0.2">
      <c r="B1305" s="1">
        <v>45735</v>
      </c>
      <c r="C1305" s="1">
        <f t="shared" si="60"/>
        <v>45747</v>
      </c>
      <c r="D1305">
        <v>713</v>
      </c>
      <c r="E1305">
        <v>0</v>
      </c>
      <c r="F1305">
        <v>0</v>
      </c>
      <c r="G1305">
        <v>0</v>
      </c>
      <c r="H1305">
        <v>0</v>
      </c>
      <c r="I1305">
        <v>0</v>
      </c>
      <c r="J1305">
        <v>0</v>
      </c>
      <c r="K1305">
        <v>0</v>
      </c>
      <c r="AN1305">
        <f t="shared" si="61"/>
        <v>4</v>
      </c>
      <c r="AO1305" t="str">
        <f t="shared" si="62"/>
        <v>Wednesday</v>
      </c>
    </row>
    <row r="1306" spans="1:41" x14ac:dyDescent="0.2">
      <c r="A1306" t="s">
        <v>37</v>
      </c>
      <c r="B1306" s="1">
        <v>45734</v>
      </c>
      <c r="C1306" s="1">
        <f t="shared" si="60"/>
        <v>45747</v>
      </c>
      <c r="D1306">
        <v>30</v>
      </c>
      <c r="E1306">
        <v>79</v>
      </c>
      <c r="F1306">
        <v>1</v>
      </c>
      <c r="G1306">
        <v>3</v>
      </c>
      <c r="H1306">
        <v>4</v>
      </c>
      <c r="I1306">
        <v>2</v>
      </c>
      <c r="J1306">
        <v>0</v>
      </c>
      <c r="K1306">
        <v>50</v>
      </c>
      <c r="L1306" t="s">
        <v>37</v>
      </c>
      <c r="M1306" t="s">
        <v>38</v>
      </c>
      <c r="N1306" s="1">
        <v>45734</v>
      </c>
      <c r="O1306" s="2">
        <v>0.54287037037037034</v>
      </c>
      <c r="P1306" s="2">
        <v>0.91685185185185181</v>
      </c>
      <c r="Q1306">
        <v>8.98</v>
      </c>
      <c r="R1306">
        <v>8.07</v>
      </c>
      <c r="S1306">
        <v>1.47</v>
      </c>
      <c r="T1306">
        <v>0.31</v>
      </c>
      <c r="U1306">
        <v>0</v>
      </c>
      <c r="V1306">
        <v>0.3</v>
      </c>
      <c r="W1306">
        <v>5.54</v>
      </c>
      <c r="X1306">
        <v>0.43</v>
      </c>
      <c r="Y1306">
        <v>0</v>
      </c>
      <c r="Z1306">
        <v>0</v>
      </c>
      <c r="AA1306">
        <v>0</v>
      </c>
      <c r="AB1306">
        <v>0.04</v>
      </c>
      <c r="AC1306">
        <v>8.07</v>
      </c>
      <c r="AD1306">
        <v>18.149999999999999</v>
      </c>
      <c r="AE1306">
        <v>3.78</v>
      </c>
      <c r="AF1306">
        <v>0</v>
      </c>
      <c r="AG1306">
        <v>3.7</v>
      </c>
      <c r="AH1306">
        <v>68.55</v>
      </c>
      <c r="AI1306">
        <v>5.27</v>
      </c>
      <c r="AJ1306">
        <v>0</v>
      </c>
      <c r="AK1306">
        <v>0</v>
      </c>
      <c r="AL1306">
        <v>0</v>
      </c>
      <c r="AM1306">
        <v>0.55000000000000004</v>
      </c>
      <c r="AN1306">
        <f t="shared" si="61"/>
        <v>3</v>
      </c>
      <c r="AO1306" t="str">
        <f t="shared" si="62"/>
        <v>Tuesday</v>
      </c>
    </row>
    <row r="1307" spans="1:41" x14ac:dyDescent="0.2">
      <c r="A1307" t="s">
        <v>39</v>
      </c>
      <c r="B1307" s="1">
        <v>45734</v>
      </c>
      <c r="C1307" s="1">
        <f t="shared" si="60"/>
        <v>45747</v>
      </c>
      <c r="D1307">
        <v>35</v>
      </c>
      <c r="E1307">
        <v>124</v>
      </c>
      <c r="F1307">
        <v>12</v>
      </c>
      <c r="G1307">
        <v>22</v>
      </c>
      <c r="H1307">
        <v>2</v>
      </c>
      <c r="I1307">
        <v>0</v>
      </c>
      <c r="J1307">
        <v>0</v>
      </c>
      <c r="K1307">
        <v>60</v>
      </c>
      <c r="L1307" t="s">
        <v>39</v>
      </c>
      <c r="M1307" t="s">
        <v>38</v>
      </c>
      <c r="N1307" s="1">
        <v>45734</v>
      </c>
      <c r="O1307" s="2">
        <v>0.53840277777777779</v>
      </c>
      <c r="P1307" s="2">
        <v>0.91670138888888886</v>
      </c>
      <c r="Q1307">
        <v>9.08</v>
      </c>
      <c r="R1307">
        <v>8.98</v>
      </c>
      <c r="S1307">
        <v>1.41</v>
      </c>
      <c r="T1307">
        <v>0.11</v>
      </c>
      <c r="U1307">
        <v>0</v>
      </c>
      <c r="V1307">
        <v>0.09</v>
      </c>
      <c r="W1307">
        <v>5.88</v>
      </c>
      <c r="X1307">
        <v>1.41</v>
      </c>
      <c r="Y1307">
        <v>0.05</v>
      </c>
      <c r="Z1307">
        <v>0</v>
      </c>
      <c r="AA1307">
        <v>0</v>
      </c>
      <c r="AB1307">
        <v>0.04</v>
      </c>
      <c r="AC1307">
        <v>8.98</v>
      </c>
      <c r="AD1307">
        <v>15.66</v>
      </c>
      <c r="AE1307">
        <v>1.23</v>
      </c>
      <c r="AF1307">
        <v>0</v>
      </c>
      <c r="AG1307">
        <v>0.95</v>
      </c>
      <c r="AH1307">
        <v>65.47</v>
      </c>
      <c r="AI1307">
        <v>15.71</v>
      </c>
      <c r="AJ1307">
        <v>0.53</v>
      </c>
      <c r="AK1307">
        <v>0</v>
      </c>
      <c r="AL1307">
        <v>0</v>
      </c>
      <c r="AM1307">
        <v>0.46</v>
      </c>
      <c r="AN1307">
        <f t="shared" si="61"/>
        <v>3</v>
      </c>
      <c r="AO1307" t="str">
        <f t="shared" si="62"/>
        <v>Tuesday</v>
      </c>
    </row>
    <row r="1308" spans="1:41" x14ac:dyDescent="0.2">
      <c r="A1308" t="s">
        <v>41</v>
      </c>
      <c r="B1308" s="1">
        <v>45734</v>
      </c>
      <c r="C1308" s="1">
        <f t="shared" si="60"/>
        <v>45747</v>
      </c>
      <c r="D1308">
        <v>35</v>
      </c>
      <c r="E1308">
        <v>91</v>
      </c>
      <c r="F1308">
        <v>7</v>
      </c>
      <c r="G1308">
        <v>4</v>
      </c>
      <c r="H1308">
        <v>4</v>
      </c>
      <c r="I1308">
        <v>0</v>
      </c>
      <c r="J1308">
        <v>2</v>
      </c>
      <c r="K1308">
        <v>57</v>
      </c>
      <c r="L1308" t="s">
        <v>41</v>
      </c>
      <c r="M1308" t="s">
        <v>38</v>
      </c>
      <c r="N1308" s="1">
        <v>45734</v>
      </c>
      <c r="O1308" s="2">
        <v>0.54237268518518522</v>
      </c>
      <c r="P1308" s="2">
        <v>0.9165740740740741</v>
      </c>
      <c r="Q1308">
        <v>8.9700000000000006</v>
      </c>
      <c r="R1308">
        <v>8.98</v>
      </c>
      <c r="S1308">
        <v>0.79</v>
      </c>
      <c r="T1308">
        <v>0.11</v>
      </c>
      <c r="U1308">
        <v>0</v>
      </c>
      <c r="V1308">
        <v>0.15</v>
      </c>
      <c r="W1308">
        <v>5.49</v>
      </c>
      <c r="X1308">
        <v>1.49</v>
      </c>
      <c r="Y1308">
        <v>0.95</v>
      </c>
      <c r="Z1308">
        <v>0</v>
      </c>
      <c r="AA1308">
        <v>0</v>
      </c>
      <c r="AB1308">
        <v>0</v>
      </c>
      <c r="AC1308">
        <v>8.98</v>
      </c>
      <c r="AD1308">
        <v>8.83</v>
      </c>
      <c r="AE1308">
        <v>1.26</v>
      </c>
      <c r="AF1308">
        <v>0</v>
      </c>
      <c r="AG1308">
        <v>1.65</v>
      </c>
      <c r="AH1308">
        <v>61.09</v>
      </c>
      <c r="AI1308">
        <v>16.579999999999998</v>
      </c>
      <c r="AJ1308">
        <v>10.55</v>
      </c>
      <c r="AK1308">
        <v>0</v>
      </c>
      <c r="AL1308">
        <v>0</v>
      </c>
      <c r="AM1308">
        <v>0.04</v>
      </c>
      <c r="AN1308">
        <f t="shared" si="61"/>
        <v>3</v>
      </c>
      <c r="AO1308" t="str">
        <f t="shared" si="62"/>
        <v>Tuesday</v>
      </c>
    </row>
    <row r="1309" spans="1:41" x14ac:dyDescent="0.2">
      <c r="A1309" t="s">
        <v>50</v>
      </c>
      <c r="B1309" s="1">
        <v>45734</v>
      </c>
      <c r="C1309" s="1">
        <f t="shared" si="60"/>
        <v>45747</v>
      </c>
      <c r="D1309">
        <v>1</v>
      </c>
      <c r="E1309">
        <v>3</v>
      </c>
      <c r="F1309">
        <v>1</v>
      </c>
      <c r="G1309">
        <v>0</v>
      </c>
      <c r="H1309">
        <v>1</v>
      </c>
      <c r="I1309">
        <v>0</v>
      </c>
      <c r="J1309">
        <v>0</v>
      </c>
      <c r="K1309">
        <v>0</v>
      </c>
      <c r="AN1309">
        <f t="shared" si="61"/>
        <v>3</v>
      </c>
      <c r="AO1309" t="str">
        <f t="shared" si="62"/>
        <v>Tuesday</v>
      </c>
    </row>
    <row r="1310" spans="1:41" x14ac:dyDescent="0.2">
      <c r="A1310" t="s">
        <v>43</v>
      </c>
      <c r="B1310" s="1">
        <v>45734</v>
      </c>
      <c r="C1310" s="1">
        <f t="shared" si="60"/>
        <v>45747</v>
      </c>
      <c r="D1310">
        <v>23</v>
      </c>
      <c r="E1310">
        <v>57</v>
      </c>
      <c r="F1310">
        <v>12</v>
      </c>
      <c r="G1310">
        <v>1</v>
      </c>
      <c r="H1310">
        <v>9</v>
      </c>
      <c r="I1310">
        <v>0</v>
      </c>
      <c r="J1310">
        <v>0</v>
      </c>
      <c r="K1310">
        <v>22</v>
      </c>
      <c r="L1310" t="s">
        <v>43</v>
      </c>
      <c r="M1310" t="s">
        <v>38</v>
      </c>
      <c r="N1310" s="1">
        <v>45734</v>
      </c>
      <c r="O1310" s="2">
        <v>0.54299768518518521</v>
      </c>
      <c r="P1310" s="2">
        <v>0.92269675925925931</v>
      </c>
      <c r="Q1310">
        <v>9.1199999999999992</v>
      </c>
      <c r="R1310">
        <v>8.94</v>
      </c>
      <c r="S1310">
        <v>1.71</v>
      </c>
      <c r="T1310">
        <v>0.16</v>
      </c>
      <c r="U1310">
        <v>0</v>
      </c>
      <c r="V1310">
        <v>0.3</v>
      </c>
      <c r="W1310">
        <v>3.96</v>
      </c>
      <c r="X1310">
        <v>2.16</v>
      </c>
      <c r="Y1310">
        <v>0</v>
      </c>
      <c r="Z1310">
        <v>0</v>
      </c>
      <c r="AA1310">
        <v>0.63</v>
      </c>
      <c r="AB1310">
        <v>0.02</v>
      </c>
      <c r="AC1310">
        <v>8.94</v>
      </c>
      <c r="AD1310">
        <v>19.18</v>
      </c>
      <c r="AE1310">
        <v>1.77</v>
      </c>
      <c r="AF1310">
        <v>0</v>
      </c>
      <c r="AG1310">
        <v>3.34</v>
      </c>
      <c r="AH1310">
        <v>44.28</v>
      </c>
      <c r="AI1310">
        <v>24.17</v>
      </c>
      <c r="AJ1310">
        <v>0</v>
      </c>
      <c r="AK1310">
        <v>0</v>
      </c>
      <c r="AL1310">
        <v>7.08</v>
      </c>
      <c r="AM1310">
        <v>0.19</v>
      </c>
      <c r="AN1310">
        <f t="shared" si="61"/>
        <v>3</v>
      </c>
      <c r="AO1310" t="str">
        <f t="shared" si="62"/>
        <v>Tuesday</v>
      </c>
    </row>
    <row r="1311" spans="1:41" x14ac:dyDescent="0.2">
      <c r="B1311" s="1">
        <v>45734</v>
      </c>
      <c r="C1311" s="1">
        <f t="shared" si="60"/>
        <v>45747</v>
      </c>
      <c r="D1311">
        <v>719</v>
      </c>
      <c r="E1311">
        <v>0</v>
      </c>
      <c r="F1311">
        <v>0</v>
      </c>
      <c r="G1311">
        <v>0</v>
      </c>
      <c r="H1311">
        <v>0</v>
      </c>
      <c r="I1311">
        <v>0</v>
      </c>
      <c r="J1311">
        <v>0</v>
      </c>
      <c r="K1311">
        <v>0</v>
      </c>
      <c r="AN1311">
        <f t="shared" si="61"/>
        <v>3</v>
      </c>
      <c r="AO1311" t="str">
        <f t="shared" si="62"/>
        <v>Tuesday</v>
      </c>
    </row>
    <row r="1312" spans="1:41" x14ac:dyDescent="0.2">
      <c r="A1312" t="s">
        <v>37</v>
      </c>
      <c r="B1312" s="1">
        <v>45733</v>
      </c>
      <c r="C1312" s="1">
        <f t="shared" si="60"/>
        <v>45747</v>
      </c>
      <c r="D1312">
        <v>27</v>
      </c>
      <c r="E1312">
        <v>55</v>
      </c>
      <c r="F1312">
        <v>4</v>
      </c>
      <c r="G1312">
        <v>3</v>
      </c>
      <c r="H1312">
        <v>2</v>
      </c>
      <c r="I1312">
        <v>2</v>
      </c>
      <c r="J1312">
        <v>0</v>
      </c>
      <c r="K1312">
        <v>29</v>
      </c>
      <c r="L1312" t="s">
        <v>37</v>
      </c>
      <c r="M1312" t="s">
        <v>38</v>
      </c>
      <c r="N1312" s="1">
        <v>45733</v>
      </c>
      <c r="O1312" s="2">
        <v>0.54318287037037039</v>
      </c>
      <c r="P1312" s="2">
        <v>0.92133101851851851</v>
      </c>
      <c r="Q1312">
        <v>9.07</v>
      </c>
      <c r="R1312">
        <v>7.98</v>
      </c>
      <c r="S1312">
        <v>1.95</v>
      </c>
      <c r="T1312">
        <v>0.38</v>
      </c>
      <c r="U1312">
        <v>0</v>
      </c>
      <c r="V1312">
        <v>0.38</v>
      </c>
      <c r="W1312">
        <v>4.67</v>
      </c>
      <c r="X1312">
        <v>0.41</v>
      </c>
      <c r="Y1312">
        <v>0.17</v>
      </c>
      <c r="Z1312">
        <v>0</v>
      </c>
      <c r="AA1312">
        <v>0</v>
      </c>
      <c r="AB1312">
        <v>0.02</v>
      </c>
      <c r="AC1312">
        <v>7.98</v>
      </c>
      <c r="AD1312">
        <v>24.41</v>
      </c>
      <c r="AE1312">
        <v>4.8099999999999996</v>
      </c>
      <c r="AF1312">
        <v>0</v>
      </c>
      <c r="AG1312">
        <v>4.75</v>
      </c>
      <c r="AH1312">
        <v>58.51</v>
      </c>
      <c r="AI1312">
        <v>5.18</v>
      </c>
      <c r="AJ1312">
        <v>2.11</v>
      </c>
      <c r="AK1312">
        <v>0</v>
      </c>
      <c r="AL1312">
        <v>0</v>
      </c>
      <c r="AM1312">
        <v>0.23</v>
      </c>
      <c r="AN1312">
        <f t="shared" si="61"/>
        <v>2</v>
      </c>
      <c r="AO1312" t="str">
        <f t="shared" si="62"/>
        <v>Monday</v>
      </c>
    </row>
    <row r="1313" spans="1:41" x14ac:dyDescent="0.2">
      <c r="A1313" t="s">
        <v>39</v>
      </c>
      <c r="B1313" s="1">
        <v>45733</v>
      </c>
      <c r="C1313" s="1">
        <f t="shared" si="60"/>
        <v>45747</v>
      </c>
      <c r="D1313">
        <v>31</v>
      </c>
      <c r="E1313">
        <v>70</v>
      </c>
      <c r="F1313">
        <v>4</v>
      </c>
      <c r="G1313">
        <v>5</v>
      </c>
      <c r="H1313">
        <v>10</v>
      </c>
      <c r="I1313">
        <v>0</v>
      </c>
      <c r="J1313">
        <v>1</v>
      </c>
      <c r="K1313">
        <v>32</v>
      </c>
      <c r="L1313" t="s">
        <v>39</v>
      </c>
      <c r="M1313" t="s">
        <v>38</v>
      </c>
      <c r="N1313" s="1">
        <v>45733</v>
      </c>
      <c r="O1313" s="2">
        <v>0.53773148148148153</v>
      </c>
      <c r="P1313" s="2">
        <v>0.91673611111111108</v>
      </c>
      <c r="Q1313">
        <v>9.1</v>
      </c>
      <c r="R1313">
        <v>9.02</v>
      </c>
      <c r="S1313">
        <v>2.15</v>
      </c>
      <c r="T1313">
        <v>0.02</v>
      </c>
      <c r="U1313">
        <v>0</v>
      </c>
      <c r="V1313">
        <v>0.02</v>
      </c>
      <c r="W1313">
        <v>5.1100000000000003</v>
      </c>
      <c r="X1313">
        <v>1.49</v>
      </c>
      <c r="Y1313">
        <v>0.19</v>
      </c>
      <c r="Z1313">
        <v>0</v>
      </c>
      <c r="AA1313">
        <v>0</v>
      </c>
      <c r="AB1313">
        <v>0.04</v>
      </c>
      <c r="AC1313">
        <v>9.02</v>
      </c>
      <c r="AD1313">
        <v>23.8</v>
      </c>
      <c r="AE1313">
        <v>0.22</v>
      </c>
      <c r="AF1313">
        <v>0</v>
      </c>
      <c r="AG1313">
        <v>0.23</v>
      </c>
      <c r="AH1313">
        <v>56.65</v>
      </c>
      <c r="AI1313">
        <v>16.559999999999999</v>
      </c>
      <c r="AJ1313">
        <v>2.12</v>
      </c>
      <c r="AK1313">
        <v>0</v>
      </c>
      <c r="AL1313">
        <v>0</v>
      </c>
      <c r="AM1313">
        <v>0.41</v>
      </c>
      <c r="AN1313">
        <f t="shared" si="61"/>
        <v>2</v>
      </c>
      <c r="AO1313" t="str">
        <f t="shared" si="62"/>
        <v>Monday</v>
      </c>
    </row>
    <row r="1314" spans="1:41" x14ac:dyDescent="0.2">
      <c r="A1314" t="s">
        <v>41</v>
      </c>
      <c r="B1314" s="1">
        <v>45733</v>
      </c>
      <c r="C1314" s="1">
        <f t="shared" si="60"/>
        <v>45747</v>
      </c>
      <c r="D1314">
        <v>39</v>
      </c>
      <c r="E1314">
        <v>103</v>
      </c>
      <c r="F1314">
        <v>4</v>
      </c>
      <c r="G1314">
        <v>3</v>
      </c>
      <c r="H1314">
        <v>11</v>
      </c>
      <c r="I1314">
        <v>0</v>
      </c>
      <c r="J1314">
        <v>0</v>
      </c>
      <c r="K1314">
        <v>70</v>
      </c>
      <c r="L1314" t="s">
        <v>41</v>
      </c>
      <c r="M1314" t="s">
        <v>38</v>
      </c>
      <c r="N1314" s="1">
        <v>45733</v>
      </c>
      <c r="O1314" s="2">
        <v>0.54186342592592596</v>
      </c>
      <c r="P1314" s="2">
        <v>0.91616898148148151</v>
      </c>
      <c r="Q1314">
        <v>8.98</v>
      </c>
      <c r="R1314">
        <v>8.98</v>
      </c>
      <c r="S1314">
        <v>1.56</v>
      </c>
      <c r="T1314">
        <v>0.08</v>
      </c>
      <c r="U1314">
        <v>0</v>
      </c>
      <c r="V1314">
        <v>0.2</v>
      </c>
      <c r="W1314">
        <v>5.43</v>
      </c>
      <c r="X1314">
        <v>1.48</v>
      </c>
      <c r="Y1314">
        <v>0.22</v>
      </c>
      <c r="Z1314">
        <v>0</v>
      </c>
      <c r="AA1314">
        <v>0</v>
      </c>
      <c r="AB1314">
        <v>0.01</v>
      </c>
      <c r="AC1314">
        <v>8.98</v>
      </c>
      <c r="AD1314">
        <v>17.38</v>
      </c>
      <c r="AE1314">
        <v>0.87</v>
      </c>
      <c r="AF1314">
        <v>0</v>
      </c>
      <c r="AG1314">
        <v>2.2400000000000002</v>
      </c>
      <c r="AH1314">
        <v>60.51</v>
      </c>
      <c r="AI1314">
        <v>16.510000000000002</v>
      </c>
      <c r="AJ1314">
        <v>2.41</v>
      </c>
      <c r="AK1314">
        <v>0</v>
      </c>
      <c r="AL1314">
        <v>0</v>
      </c>
      <c r="AM1314">
        <v>0.08</v>
      </c>
      <c r="AN1314">
        <f t="shared" si="61"/>
        <v>2</v>
      </c>
      <c r="AO1314" t="str">
        <f t="shared" si="62"/>
        <v>Monday</v>
      </c>
    </row>
    <row r="1315" spans="1:41" x14ac:dyDescent="0.2">
      <c r="A1315" t="s">
        <v>43</v>
      </c>
      <c r="B1315" s="1">
        <v>45733</v>
      </c>
      <c r="C1315" s="1">
        <f t="shared" si="60"/>
        <v>45747</v>
      </c>
      <c r="D1315">
        <v>43</v>
      </c>
      <c r="E1315">
        <v>107</v>
      </c>
      <c r="F1315">
        <v>6</v>
      </c>
      <c r="G1315">
        <v>5</v>
      </c>
      <c r="H1315">
        <v>8</v>
      </c>
      <c r="I1315">
        <v>1</v>
      </c>
      <c r="J1315">
        <v>0</v>
      </c>
      <c r="K1315">
        <v>64</v>
      </c>
      <c r="L1315" t="s">
        <v>43</v>
      </c>
      <c r="M1315" t="s">
        <v>38</v>
      </c>
      <c r="N1315" s="1">
        <v>45733</v>
      </c>
      <c r="O1315" s="2">
        <v>0.54059027777777779</v>
      </c>
      <c r="P1315" s="2">
        <v>0.91789351851851853</v>
      </c>
      <c r="Q1315">
        <v>9.0500000000000007</v>
      </c>
      <c r="R1315">
        <v>9.01</v>
      </c>
      <c r="S1315">
        <v>1.74</v>
      </c>
      <c r="T1315">
        <v>0.04</v>
      </c>
      <c r="U1315">
        <v>0</v>
      </c>
      <c r="V1315">
        <v>0.27</v>
      </c>
      <c r="W1315">
        <v>4.9800000000000004</v>
      </c>
      <c r="X1315">
        <v>1.47</v>
      </c>
      <c r="Y1315">
        <v>0.41</v>
      </c>
      <c r="Z1315">
        <v>0</v>
      </c>
      <c r="AA1315">
        <v>0.09</v>
      </c>
      <c r="AB1315">
        <v>0.02</v>
      </c>
      <c r="AC1315">
        <v>9.01</v>
      </c>
      <c r="AD1315">
        <v>19.27</v>
      </c>
      <c r="AE1315">
        <v>0.5</v>
      </c>
      <c r="AF1315">
        <v>0</v>
      </c>
      <c r="AG1315">
        <v>2.98</v>
      </c>
      <c r="AH1315">
        <v>55.25</v>
      </c>
      <c r="AI1315">
        <v>16.260000000000002</v>
      </c>
      <c r="AJ1315">
        <v>4.51</v>
      </c>
      <c r="AK1315">
        <v>0</v>
      </c>
      <c r="AL1315">
        <v>1.01</v>
      </c>
      <c r="AM1315">
        <v>0.23</v>
      </c>
      <c r="AN1315">
        <f t="shared" si="61"/>
        <v>2</v>
      </c>
      <c r="AO1315" t="str">
        <f t="shared" si="62"/>
        <v>Monday</v>
      </c>
    </row>
    <row r="1316" spans="1:41" x14ac:dyDescent="0.2">
      <c r="B1316" s="1">
        <v>45733</v>
      </c>
      <c r="C1316" s="1">
        <f t="shared" si="60"/>
        <v>45747</v>
      </c>
      <c r="D1316">
        <v>688</v>
      </c>
      <c r="E1316">
        <v>0</v>
      </c>
      <c r="F1316">
        <v>0</v>
      </c>
      <c r="G1316">
        <v>0</v>
      </c>
      <c r="H1316">
        <v>0</v>
      </c>
      <c r="I1316">
        <v>0</v>
      </c>
      <c r="J1316">
        <v>0</v>
      </c>
      <c r="K1316">
        <v>0</v>
      </c>
      <c r="AN1316">
        <f t="shared" si="61"/>
        <v>2</v>
      </c>
      <c r="AO1316" t="str">
        <f t="shared" si="62"/>
        <v>Monday</v>
      </c>
    </row>
    <row r="1317" spans="1:41" x14ac:dyDescent="0.2">
      <c r="A1317" t="s">
        <v>37</v>
      </c>
      <c r="B1317" s="1">
        <v>45730</v>
      </c>
      <c r="C1317" s="1">
        <f t="shared" si="60"/>
        <v>45747</v>
      </c>
      <c r="D1317">
        <v>30</v>
      </c>
      <c r="E1317">
        <v>73</v>
      </c>
      <c r="F1317">
        <v>2</v>
      </c>
      <c r="G1317">
        <v>7</v>
      </c>
      <c r="H1317">
        <v>10</v>
      </c>
      <c r="I1317">
        <v>0</v>
      </c>
      <c r="J1317">
        <v>6</v>
      </c>
      <c r="K1317">
        <v>26</v>
      </c>
      <c r="L1317" t="s">
        <v>37</v>
      </c>
      <c r="M1317" t="s">
        <v>38</v>
      </c>
      <c r="N1317" s="1">
        <v>45730</v>
      </c>
      <c r="O1317" s="2">
        <v>0.54233796296296299</v>
      </c>
      <c r="P1317" s="2">
        <v>0.91706018518518517</v>
      </c>
      <c r="Q1317">
        <v>9</v>
      </c>
      <c r="R1317">
        <v>8.07</v>
      </c>
      <c r="S1317">
        <v>1.98</v>
      </c>
      <c r="T1317">
        <v>0.16</v>
      </c>
      <c r="U1317">
        <v>0</v>
      </c>
      <c r="V1317">
        <v>0.33</v>
      </c>
      <c r="W1317">
        <v>5.01</v>
      </c>
      <c r="X1317">
        <v>0.34</v>
      </c>
      <c r="Y1317">
        <v>0.22</v>
      </c>
      <c r="Z1317">
        <v>0</v>
      </c>
      <c r="AA1317">
        <v>0</v>
      </c>
      <c r="AB1317">
        <v>0.03</v>
      </c>
      <c r="AC1317">
        <v>8.07</v>
      </c>
      <c r="AD1317">
        <v>24.52</v>
      </c>
      <c r="AE1317">
        <v>2.04</v>
      </c>
      <c r="AF1317">
        <v>0</v>
      </c>
      <c r="AG1317">
        <v>4.03</v>
      </c>
      <c r="AH1317">
        <v>62.03</v>
      </c>
      <c r="AI1317">
        <v>4.21</v>
      </c>
      <c r="AJ1317">
        <v>2.75</v>
      </c>
      <c r="AK1317">
        <v>0</v>
      </c>
      <c r="AL1317">
        <v>0</v>
      </c>
      <c r="AM1317">
        <v>0.42</v>
      </c>
      <c r="AN1317">
        <f t="shared" si="61"/>
        <v>6</v>
      </c>
      <c r="AO1317" t="str">
        <f t="shared" si="62"/>
        <v>Friday</v>
      </c>
    </row>
    <row r="1318" spans="1:41" x14ac:dyDescent="0.2">
      <c r="A1318" t="s">
        <v>41</v>
      </c>
      <c r="B1318" s="1">
        <v>45730</v>
      </c>
      <c r="C1318" s="1">
        <f t="shared" si="60"/>
        <v>45747</v>
      </c>
      <c r="D1318">
        <v>39</v>
      </c>
      <c r="E1318">
        <v>88</v>
      </c>
      <c r="F1318">
        <v>5</v>
      </c>
      <c r="G1318">
        <v>10</v>
      </c>
      <c r="H1318">
        <v>14</v>
      </c>
      <c r="I1318">
        <v>0</v>
      </c>
      <c r="J1318">
        <v>0</v>
      </c>
      <c r="K1318">
        <v>30</v>
      </c>
      <c r="L1318" t="s">
        <v>41</v>
      </c>
      <c r="M1318" t="s">
        <v>38</v>
      </c>
      <c r="N1318" s="1">
        <v>45730</v>
      </c>
      <c r="O1318" s="2">
        <v>0.54190972222222222</v>
      </c>
      <c r="P1318" s="2">
        <v>0.91599537037037038</v>
      </c>
      <c r="Q1318">
        <v>8.98</v>
      </c>
      <c r="R1318">
        <v>8.98</v>
      </c>
      <c r="S1318">
        <v>1.23</v>
      </c>
      <c r="T1318">
        <v>0</v>
      </c>
      <c r="U1318">
        <v>0</v>
      </c>
      <c r="V1318">
        <v>0.25</v>
      </c>
      <c r="W1318">
        <v>6.04</v>
      </c>
      <c r="X1318">
        <v>1.46</v>
      </c>
      <c r="Y1318">
        <v>0</v>
      </c>
      <c r="Z1318">
        <v>0</v>
      </c>
      <c r="AA1318">
        <v>0</v>
      </c>
      <c r="AB1318">
        <v>0</v>
      </c>
      <c r="AC1318">
        <v>8.98</v>
      </c>
      <c r="AD1318">
        <v>13.66</v>
      </c>
      <c r="AE1318">
        <v>0</v>
      </c>
      <c r="AF1318">
        <v>0</v>
      </c>
      <c r="AG1318">
        <v>2.76</v>
      </c>
      <c r="AH1318">
        <v>67.25</v>
      </c>
      <c r="AI1318">
        <v>16.28</v>
      </c>
      <c r="AJ1318">
        <v>0</v>
      </c>
      <c r="AK1318">
        <v>0</v>
      </c>
      <c r="AL1318">
        <v>0</v>
      </c>
      <c r="AM1318">
        <v>0.05</v>
      </c>
      <c r="AN1318">
        <f t="shared" si="61"/>
        <v>6</v>
      </c>
      <c r="AO1318" t="str">
        <f t="shared" si="62"/>
        <v>Friday</v>
      </c>
    </row>
    <row r="1319" spans="1:41" x14ac:dyDescent="0.2">
      <c r="A1319" t="s">
        <v>42</v>
      </c>
      <c r="B1319" s="1">
        <v>45730</v>
      </c>
      <c r="C1319" s="1">
        <f t="shared" si="60"/>
        <v>45747</v>
      </c>
      <c r="D1319">
        <v>1</v>
      </c>
      <c r="E1319">
        <v>1</v>
      </c>
      <c r="F1319">
        <v>0</v>
      </c>
      <c r="G1319">
        <v>0</v>
      </c>
      <c r="H1319">
        <v>0</v>
      </c>
      <c r="I1319">
        <v>0</v>
      </c>
      <c r="J1319">
        <v>0</v>
      </c>
      <c r="K1319">
        <v>0</v>
      </c>
      <c r="L1319" t="s">
        <v>42</v>
      </c>
      <c r="M1319" t="s">
        <v>38</v>
      </c>
      <c r="N1319" s="1">
        <v>45730</v>
      </c>
      <c r="O1319" s="2">
        <v>0.63833333333333331</v>
      </c>
      <c r="P1319" s="2">
        <v>0.93314814814814817</v>
      </c>
      <c r="Q1319">
        <v>7.07</v>
      </c>
      <c r="R1319">
        <v>7.08</v>
      </c>
      <c r="S1319">
        <v>0.03</v>
      </c>
      <c r="T1319">
        <v>0</v>
      </c>
      <c r="U1319">
        <v>0</v>
      </c>
      <c r="V1319">
        <v>0</v>
      </c>
      <c r="W1319">
        <v>0</v>
      </c>
      <c r="X1319">
        <v>1.44</v>
      </c>
      <c r="Y1319">
        <v>5.59</v>
      </c>
      <c r="Z1319">
        <v>0</v>
      </c>
      <c r="AA1319">
        <v>0</v>
      </c>
      <c r="AB1319">
        <v>0.01</v>
      </c>
      <c r="AC1319">
        <v>7.08</v>
      </c>
      <c r="AD1319">
        <v>0.46</v>
      </c>
      <c r="AE1319">
        <v>0</v>
      </c>
      <c r="AF1319">
        <v>0</v>
      </c>
      <c r="AG1319">
        <v>0.05</v>
      </c>
      <c r="AH1319">
        <v>0</v>
      </c>
      <c r="AI1319">
        <v>20.37</v>
      </c>
      <c r="AJ1319">
        <v>79.010000000000005</v>
      </c>
      <c r="AK1319">
        <v>0</v>
      </c>
      <c r="AL1319">
        <v>0</v>
      </c>
      <c r="AM1319">
        <v>0.11</v>
      </c>
      <c r="AN1319">
        <f t="shared" si="61"/>
        <v>6</v>
      </c>
      <c r="AO1319" t="str">
        <f t="shared" si="62"/>
        <v>Friday</v>
      </c>
    </row>
    <row r="1320" spans="1:41" x14ac:dyDescent="0.2">
      <c r="A1320" t="s">
        <v>43</v>
      </c>
      <c r="B1320" s="1">
        <v>45730</v>
      </c>
      <c r="C1320" s="1">
        <f t="shared" si="60"/>
        <v>45747</v>
      </c>
      <c r="D1320">
        <v>31</v>
      </c>
      <c r="E1320">
        <v>74</v>
      </c>
      <c r="F1320">
        <v>5</v>
      </c>
      <c r="G1320">
        <v>6</v>
      </c>
      <c r="H1320">
        <v>5</v>
      </c>
      <c r="I1320">
        <v>2</v>
      </c>
      <c r="J1320">
        <v>2</v>
      </c>
      <c r="K1320">
        <v>25</v>
      </c>
      <c r="L1320" t="s">
        <v>43</v>
      </c>
      <c r="M1320" t="s">
        <v>38</v>
      </c>
      <c r="N1320" s="1">
        <v>45730</v>
      </c>
      <c r="O1320" s="2">
        <v>0.54116898148148151</v>
      </c>
      <c r="P1320" s="2">
        <v>0.91752314814814817</v>
      </c>
      <c r="Q1320">
        <v>9.0299999999999994</v>
      </c>
      <c r="R1320">
        <v>9.0299999999999994</v>
      </c>
      <c r="S1320">
        <v>2.16</v>
      </c>
      <c r="T1320">
        <v>0.2</v>
      </c>
      <c r="U1320">
        <v>0</v>
      </c>
      <c r="V1320">
        <v>0.31</v>
      </c>
      <c r="W1320">
        <v>3.37</v>
      </c>
      <c r="X1320">
        <v>1.81</v>
      </c>
      <c r="Y1320">
        <v>1.18</v>
      </c>
      <c r="Z1320">
        <v>0</v>
      </c>
      <c r="AA1320">
        <v>0</v>
      </c>
      <c r="AB1320">
        <v>0</v>
      </c>
      <c r="AC1320">
        <v>9.0299999999999994</v>
      </c>
      <c r="AD1320">
        <v>23.87</v>
      </c>
      <c r="AE1320">
        <v>2.2200000000000002</v>
      </c>
      <c r="AF1320">
        <v>0</v>
      </c>
      <c r="AG1320">
        <v>3.45</v>
      </c>
      <c r="AH1320">
        <v>37.28</v>
      </c>
      <c r="AI1320">
        <v>20.05</v>
      </c>
      <c r="AJ1320">
        <v>13.09</v>
      </c>
      <c r="AK1320">
        <v>0</v>
      </c>
      <c r="AL1320">
        <v>0</v>
      </c>
      <c r="AM1320">
        <v>0.05</v>
      </c>
      <c r="AN1320">
        <f t="shared" si="61"/>
        <v>6</v>
      </c>
      <c r="AO1320" t="str">
        <f t="shared" si="62"/>
        <v>Friday</v>
      </c>
    </row>
    <row r="1321" spans="1:41" x14ac:dyDescent="0.2">
      <c r="B1321" s="1">
        <v>45730</v>
      </c>
      <c r="C1321" s="1">
        <f t="shared" si="60"/>
        <v>45747</v>
      </c>
      <c r="D1321">
        <v>538</v>
      </c>
      <c r="E1321">
        <v>0</v>
      </c>
      <c r="F1321">
        <v>0</v>
      </c>
      <c r="G1321">
        <v>0</v>
      </c>
      <c r="H1321">
        <v>0</v>
      </c>
      <c r="I1321">
        <v>0</v>
      </c>
      <c r="J1321">
        <v>0</v>
      </c>
      <c r="K1321">
        <v>0</v>
      </c>
      <c r="AN1321">
        <f t="shared" si="61"/>
        <v>6</v>
      </c>
      <c r="AO1321" t="str">
        <f t="shared" si="62"/>
        <v>Friday</v>
      </c>
    </row>
    <row r="1322" spans="1:41" x14ac:dyDescent="0.2">
      <c r="A1322" t="s">
        <v>37</v>
      </c>
      <c r="B1322" s="1">
        <v>45729</v>
      </c>
      <c r="C1322" s="1">
        <f t="shared" si="60"/>
        <v>45747</v>
      </c>
      <c r="D1322">
        <v>37</v>
      </c>
      <c r="E1322">
        <v>91</v>
      </c>
      <c r="F1322">
        <v>3</v>
      </c>
      <c r="G1322">
        <v>7</v>
      </c>
      <c r="H1322">
        <v>6</v>
      </c>
      <c r="I1322">
        <v>0</v>
      </c>
      <c r="J1322">
        <v>0</v>
      </c>
      <c r="K1322">
        <v>47</v>
      </c>
      <c r="L1322" t="s">
        <v>37</v>
      </c>
      <c r="M1322" t="s">
        <v>38</v>
      </c>
      <c r="N1322" s="1">
        <v>45729</v>
      </c>
      <c r="O1322" s="2">
        <v>0.54193287037037041</v>
      </c>
      <c r="P1322" s="2">
        <v>0.91681712962962958</v>
      </c>
      <c r="Q1322">
        <v>9</v>
      </c>
      <c r="R1322">
        <v>8.1300000000000008</v>
      </c>
      <c r="S1322">
        <v>1.77</v>
      </c>
      <c r="T1322">
        <v>0.2</v>
      </c>
      <c r="U1322">
        <v>0</v>
      </c>
      <c r="V1322">
        <v>0.5</v>
      </c>
      <c r="W1322">
        <v>5.03</v>
      </c>
      <c r="X1322">
        <v>0.32</v>
      </c>
      <c r="Y1322">
        <v>0.31</v>
      </c>
      <c r="Z1322">
        <v>0</v>
      </c>
      <c r="AA1322">
        <v>0</v>
      </c>
      <c r="AB1322">
        <v>0.01</v>
      </c>
      <c r="AC1322">
        <v>8.1300000000000008</v>
      </c>
      <c r="AD1322">
        <v>21.76</v>
      </c>
      <c r="AE1322">
        <v>2.5</v>
      </c>
      <c r="AF1322">
        <v>0</v>
      </c>
      <c r="AG1322">
        <v>6.09</v>
      </c>
      <c r="AH1322">
        <v>61.84</v>
      </c>
      <c r="AI1322">
        <v>3.9</v>
      </c>
      <c r="AJ1322">
        <v>3.77</v>
      </c>
      <c r="AK1322">
        <v>0</v>
      </c>
      <c r="AL1322">
        <v>0</v>
      </c>
      <c r="AM1322">
        <v>0.13</v>
      </c>
      <c r="AN1322">
        <f t="shared" si="61"/>
        <v>5</v>
      </c>
      <c r="AO1322" t="str">
        <f t="shared" si="62"/>
        <v>Thursday</v>
      </c>
    </row>
    <row r="1323" spans="1:41" x14ac:dyDescent="0.2">
      <c r="A1323" t="s">
        <v>41</v>
      </c>
      <c r="B1323" s="1">
        <v>45729</v>
      </c>
      <c r="C1323" s="1">
        <f t="shared" si="60"/>
        <v>45747</v>
      </c>
      <c r="D1323">
        <v>53</v>
      </c>
      <c r="E1323">
        <v>136</v>
      </c>
      <c r="F1323">
        <v>7</v>
      </c>
      <c r="G1323">
        <v>7</v>
      </c>
      <c r="H1323">
        <v>9</v>
      </c>
      <c r="I1323">
        <v>1</v>
      </c>
      <c r="J1323">
        <v>3</v>
      </c>
      <c r="K1323">
        <v>78</v>
      </c>
      <c r="L1323" t="s">
        <v>41</v>
      </c>
      <c r="M1323" t="s">
        <v>38</v>
      </c>
      <c r="N1323" s="1">
        <v>45729</v>
      </c>
      <c r="O1323" s="2">
        <v>0.54189814814814818</v>
      </c>
      <c r="P1323" s="2">
        <v>0.91708333333333336</v>
      </c>
      <c r="Q1323">
        <v>9</v>
      </c>
      <c r="R1323">
        <v>9</v>
      </c>
      <c r="S1323">
        <v>1.74</v>
      </c>
      <c r="T1323">
        <v>0</v>
      </c>
      <c r="U1323">
        <v>0</v>
      </c>
      <c r="V1323">
        <v>0.45</v>
      </c>
      <c r="W1323">
        <v>5.07</v>
      </c>
      <c r="X1323">
        <v>1.44</v>
      </c>
      <c r="Y1323">
        <v>0.3</v>
      </c>
      <c r="Z1323">
        <v>0</v>
      </c>
      <c r="AA1323">
        <v>0</v>
      </c>
      <c r="AB1323">
        <v>0</v>
      </c>
      <c r="AC1323">
        <v>9</v>
      </c>
      <c r="AD1323">
        <v>19.29</v>
      </c>
      <c r="AE1323">
        <v>0</v>
      </c>
      <c r="AF1323">
        <v>0</v>
      </c>
      <c r="AG1323">
        <v>4.96</v>
      </c>
      <c r="AH1323">
        <v>56.31</v>
      </c>
      <c r="AI1323">
        <v>16.04</v>
      </c>
      <c r="AJ1323">
        <v>3.37</v>
      </c>
      <c r="AK1323">
        <v>0</v>
      </c>
      <c r="AL1323">
        <v>0</v>
      </c>
      <c r="AM1323">
        <v>0.04</v>
      </c>
      <c r="AN1323">
        <f t="shared" si="61"/>
        <v>5</v>
      </c>
      <c r="AO1323" t="str">
        <f t="shared" si="62"/>
        <v>Thursday</v>
      </c>
    </row>
    <row r="1324" spans="1:41" x14ac:dyDescent="0.2">
      <c r="B1324" s="1">
        <v>45729</v>
      </c>
      <c r="C1324" s="1">
        <f t="shared" si="60"/>
        <v>45747</v>
      </c>
      <c r="D1324">
        <v>749</v>
      </c>
      <c r="E1324">
        <v>0</v>
      </c>
      <c r="F1324">
        <v>0</v>
      </c>
      <c r="G1324">
        <v>0</v>
      </c>
      <c r="H1324">
        <v>0</v>
      </c>
      <c r="I1324">
        <v>0</v>
      </c>
      <c r="J1324">
        <v>0</v>
      </c>
      <c r="K1324">
        <v>0</v>
      </c>
      <c r="AN1324">
        <f t="shared" si="61"/>
        <v>5</v>
      </c>
      <c r="AO1324" t="str">
        <f t="shared" si="62"/>
        <v>Thursday</v>
      </c>
    </row>
    <row r="1325" spans="1:41" x14ac:dyDescent="0.2">
      <c r="A1325" t="s">
        <v>37</v>
      </c>
      <c r="B1325" s="1">
        <v>45728</v>
      </c>
      <c r="C1325" s="1">
        <f t="shared" si="60"/>
        <v>45747</v>
      </c>
      <c r="D1325">
        <v>22</v>
      </c>
      <c r="E1325">
        <v>54</v>
      </c>
      <c r="F1325">
        <v>2</v>
      </c>
      <c r="G1325">
        <v>10</v>
      </c>
      <c r="H1325">
        <v>3</v>
      </c>
      <c r="I1325">
        <v>0</v>
      </c>
      <c r="J1325">
        <v>0</v>
      </c>
      <c r="K1325">
        <v>22</v>
      </c>
      <c r="L1325" t="s">
        <v>37</v>
      </c>
      <c r="M1325" t="s">
        <v>38</v>
      </c>
      <c r="N1325" s="1">
        <v>45728</v>
      </c>
      <c r="O1325" s="2">
        <v>0.54238425925925926</v>
      </c>
      <c r="P1325" s="2">
        <v>0.9172569444444445</v>
      </c>
      <c r="Q1325">
        <v>8.98</v>
      </c>
      <c r="R1325">
        <v>8.07</v>
      </c>
      <c r="S1325">
        <v>2.57</v>
      </c>
      <c r="T1325">
        <v>7.0000000000000007E-2</v>
      </c>
      <c r="U1325">
        <v>0</v>
      </c>
      <c r="V1325">
        <v>0.36</v>
      </c>
      <c r="W1325">
        <v>4.9800000000000004</v>
      </c>
      <c r="X1325">
        <v>7.0000000000000007E-2</v>
      </c>
      <c r="Y1325">
        <v>0</v>
      </c>
      <c r="Z1325">
        <v>0</v>
      </c>
      <c r="AA1325">
        <v>0</v>
      </c>
      <c r="AB1325">
        <v>0.01</v>
      </c>
      <c r="AC1325">
        <v>8.07</v>
      </c>
      <c r="AD1325">
        <v>31.83</v>
      </c>
      <c r="AE1325">
        <v>0.88</v>
      </c>
      <c r="AF1325">
        <v>0</v>
      </c>
      <c r="AG1325">
        <v>4.5199999999999996</v>
      </c>
      <c r="AH1325">
        <v>61.7</v>
      </c>
      <c r="AI1325">
        <v>0.89</v>
      </c>
      <c r="AJ1325">
        <v>0.01</v>
      </c>
      <c r="AK1325">
        <v>0</v>
      </c>
      <c r="AL1325">
        <v>0.02</v>
      </c>
      <c r="AM1325">
        <v>0.16</v>
      </c>
      <c r="AN1325">
        <f t="shared" si="61"/>
        <v>4</v>
      </c>
      <c r="AO1325" t="str">
        <f t="shared" si="62"/>
        <v>Wednesday</v>
      </c>
    </row>
    <row r="1326" spans="1:41" x14ac:dyDescent="0.2">
      <c r="A1326" t="s">
        <v>39</v>
      </c>
      <c r="B1326" s="1">
        <v>45728</v>
      </c>
      <c r="C1326" s="1">
        <f t="shared" si="60"/>
        <v>45747</v>
      </c>
      <c r="D1326">
        <v>30</v>
      </c>
      <c r="E1326">
        <v>71</v>
      </c>
      <c r="F1326">
        <v>4</v>
      </c>
      <c r="G1326">
        <v>8</v>
      </c>
      <c r="H1326">
        <v>10</v>
      </c>
      <c r="I1326">
        <v>0</v>
      </c>
      <c r="J1326">
        <v>1</v>
      </c>
      <c r="K1326">
        <v>35</v>
      </c>
      <c r="L1326" t="s">
        <v>39</v>
      </c>
      <c r="M1326" t="s">
        <v>38</v>
      </c>
      <c r="N1326" s="1">
        <v>45728</v>
      </c>
      <c r="O1326" s="2">
        <v>0.54188657407407403</v>
      </c>
      <c r="P1326" s="2">
        <v>0.91674768518518523</v>
      </c>
      <c r="Q1326">
        <v>9</v>
      </c>
      <c r="R1326">
        <v>9</v>
      </c>
      <c r="S1326">
        <v>1.7</v>
      </c>
      <c r="T1326">
        <v>0.17</v>
      </c>
      <c r="U1326">
        <v>0</v>
      </c>
      <c r="V1326">
        <v>0.03</v>
      </c>
      <c r="W1326">
        <v>5.63</v>
      </c>
      <c r="X1326">
        <v>1.47</v>
      </c>
      <c r="Y1326">
        <v>0</v>
      </c>
      <c r="Z1326">
        <v>0</v>
      </c>
      <c r="AA1326">
        <v>0</v>
      </c>
      <c r="AB1326">
        <v>0</v>
      </c>
      <c r="AC1326">
        <v>9</v>
      </c>
      <c r="AD1326">
        <v>18.86</v>
      </c>
      <c r="AE1326">
        <v>1.91</v>
      </c>
      <c r="AF1326">
        <v>0</v>
      </c>
      <c r="AG1326">
        <v>0.32</v>
      </c>
      <c r="AH1326">
        <v>62.55</v>
      </c>
      <c r="AI1326">
        <v>16.32</v>
      </c>
      <c r="AJ1326">
        <v>0</v>
      </c>
      <c r="AK1326">
        <v>0</v>
      </c>
      <c r="AL1326">
        <v>0</v>
      </c>
      <c r="AM1326">
        <v>0.05</v>
      </c>
      <c r="AN1326">
        <f t="shared" si="61"/>
        <v>4</v>
      </c>
      <c r="AO1326" t="str">
        <f t="shared" si="62"/>
        <v>Wednesday</v>
      </c>
    </row>
    <row r="1327" spans="1:41" x14ac:dyDescent="0.2">
      <c r="A1327" t="s">
        <v>41</v>
      </c>
      <c r="B1327" s="1">
        <v>45728</v>
      </c>
      <c r="C1327" s="1">
        <f t="shared" si="60"/>
        <v>45747</v>
      </c>
      <c r="D1327">
        <v>42</v>
      </c>
      <c r="E1327">
        <v>90</v>
      </c>
      <c r="F1327">
        <v>7</v>
      </c>
      <c r="G1327">
        <v>5</v>
      </c>
      <c r="H1327">
        <v>11</v>
      </c>
      <c r="I1327">
        <v>0</v>
      </c>
      <c r="J1327">
        <v>0</v>
      </c>
      <c r="K1327">
        <v>51</v>
      </c>
      <c r="L1327" t="s">
        <v>41</v>
      </c>
      <c r="M1327" t="s">
        <v>38</v>
      </c>
      <c r="N1327" s="1">
        <v>45728</v>
      </c>
      <c r="O1327" s="2">
        <v>0.54233796296296299</v>
      </c>
      <c r="P1327" s="2">
        <v>0.91665509259259259</v>
      </c>
      <c r="Q1327">
        <v>8.98</v>
      </c>
      <c r="R1327">
        <v>8.99</v>
      </c>
      <c r="S1327">
        <v>1.32</v>
      </c>
      <c r="T1327">
        <v>0</v>
      </c>
      <c r="U1327">
        <v>0</v>
      </c>
      <c r="V1327">
        <v>0.25</v>
      </c>
      <c r="W1327">
        <v>5.94</v>
      </c>
      <c r="X1327">
        <v>1.46</v>
      </c>
      <c r="Y1327">
        <v>0</v>
      </c>
      <c r="Z1327">
        <v>0</v>
      </c>
      <c r="AA1327">
        <v>0</v>
      </c>
      <c r="AB1327">
        <v>0.01</v>
      </c>
      <c r="AC1327">
        <v>8.99</v>
      </c>
      <c r="AD1327">
        <v>14.68</v>
      </c>
      <c r="AE1327">
        <v>0</v>
      </c>
      <c r="AF1327">
        <v>0</v>
      </c>
      <c r="AG1327">
        <v>2.81</v>
      </c>
      <c r="AH1327">
        <v>66.06</v>
      </c>
      <c r="AI1327">
        <v>16.29</v>
      </c>
      <c r="AJ1327">
        <v>0</v>
      </c>
      <c r="AK1327">
        <v>0</v>
      </c>
      <c r="AL1327">
        <v>0</v>
      </c>
      <c r="AM1327">
        <v>0.16</v>
      </c>
      <c r="AN1327">
        <f t="shared" si="61"/>
        <v>4</v>
      </c>
      <c r="AO1327" t="str">
        <f t="shared" si="62"/>
        <v>Wednesday</v>
      </c>
    </row>
    <row r="1328" spans="1:41" x14ac:dyDescent="0.2">
      <c r="A1328" t="s">
        <v>42</v>
      </c>
      <c r="B1328" s="1">
        <v>45728</v>
      </c>
      <c r="C1328" s="1">
        <f t="shared" si="60"/>
        <v>45747</v>
      </c>
      <c r="D1328">
        <v>1</v>
      </c>
      <c r="E1328">
        <v>1</v>
      </c>
      <c r="F1328">
        <v>0</v>
      </c>
      <c r="G1328">
        <v>0</v>
      </c>
      <c r="H1328">
        <v>0</v>
      </c>
      <c r="I1328">
        <v>0</v>
      </c>
      <c r="J1328">
        <v>1</v>
      </c>
      <c r="K1328">
        <v>0</v>
      </c>
      <c r="L1328" t="s">
        <v>42</v>
      </c>
      <c r="M1328" t="s">
        <v>38</v>
      </c>
      <c r="N1328" s="1">
        <v>45728</v>
      </c>
      <c r="O1328" s="2">
        <v>0.54114583333333333</v>
      </c>
      <c r="P1328" s="2">
        <v>0.91818287037037039</v>
      </c>
      <c r="Q1328">
        <v>9.0500000000000007</v>
      </c>
      <c r="R1328">
        <v>8.66</v>
      </c>
      <c r="S1328">
        <v>0.27</v>
      </c>
      <c r="T1328">
        <v>0</v>
      </c>
      <c r="U1328">
        <v>0</v>
      </c>
      <c r="V1328">
        <v>0</v>
      </c>
      <c r="W1328">
        <v>0</v>
      </c>
      <c r="X1328">
        <v>1.37</v>
      </c>
      <c r="Y1328">
        <v>7.01</v>
      </c>
      <c r="Z1328">
        <v>0</v>
      </c>
      <c r="AA1328">
        <v>0</v>
      </c>
      <c r="AB1328">
        <v>0.01</v>
      </c>
      <c r="AC1328">
        <v>8.66</v>
      </c>
      <c r="AD1328">
        <v>3.17</v>
      </c>
      <c r="AE1328">
        <v>0</v>
      </c>
      <c r="AF1328">
        <v>0</v>
      </c>
      <c r="AG1328">
        <v>0.02</v>
      </c>
      <c r="AH1328">
        <v>0</v>
      </c>
      <c r="AI1328">
        <v>15.77</v>
      </c>
      <c r="AJ1328">
        <v>80.94</v>
      </c>
      <c r="AK1328">
        <v>0</v>
      </c>
      <c r="AL1328">
        <v>0</v>
      </c>
      <c r="AM1328">
        <v>0.12</v>
      </c>
      <c r="AN1328">
        <f t="shared" si="61"/>
        <v>4</v>
      </c>
      <c r="AO1328" t="str">
        <f t="shared" si="62"/>
        <v>Wednesday</v>
      </c>
    </row>
    <row r="1329" spans="1:41" x14ac:dyDescent="0.2">
      <c r="A1329" t="s">
        <v>43</v>
      </c>
      <c r="B1329" s="1">
        <v>45728</v>
      </c>
      <c r="C1329" s="1">
        <f t="shared" si="60"/>
        <v>45747</v>
      </c>
      <c r="D1329">
        <v>34</v>
      </c>
      <c r="E1329">
        <v>91</v>
      </c>
      <c r="F1329">
        <v>4</v>
      </c>
      <c r="G1329">
        <v>7</v>
      </c>
      <c r="H1329">
        <v>13</v>
      </c>
      <c r="I1329">
        <v>0</v>
      </c>
      <c r="J1329">
        <v>1</v>
      </c>
      <c r="K1329">
        <v>53</v>
      </c>
      <c r="L1329" t="s">
        <v>43</v>
      </c>
      <c r="M1329" t="s">
        <v>38</v>
      </c>
      <c r="N1329" s="1">
        <v>45728</v>
      </c>
      <c r="O1329" s="2">
        <v>0.5412731481481482</v>
      </c>
      <c r="P1329" s="2">
        <v>0.91681712962962958</v>
      </c>
      <c r="Q1329">
        <v>9.02</v>
      </c>
      <c r="R1329">
        <v>8.93</v>
      </c>
      <c r="S1329">
        <v>0.56000000000000005</v>
      </c>
      <c r="T1329">
        <v>0</v>
      </c>
      <c r="U1329">
        <v>0</v>
      </c>
      <c r="V1329">
        <v>0.24</v>
      </c>
      <c r="W1329">
        <v>6.15</v>
      </c>
      <c r="X1329">
        <v>1.23</v>
      </c>
      <c r="Y1329">
        <v>0.59</v>
      </c>
      <c r="Z1329">
        <v>0</v>
      </c>
      <c r="AA1329">
        <v>0.14000000000000001</v>
      </c>
      <c r="AB1329">
        <v>0.02</v>
      </c>
      <c r="AC1329">
        <v>8.93</v>
      </c>
      <c r="AD1329">
        <v>6.32</v>
      </c>
      <c r="AE1329">
        <v>0</v>
      </c>
      <c r="AF1329">
        <v>0</v>
      </c>
      <c r="AG1329">
        <v>2.64</v>
      </c>
      <c r="AH1329">
        <v>68.86</v>
      </c>
      <c r="AI1329">
        <v>13.77</v>
      </c>
      <c r="AJ1329">
        <v>6.56</v>
      </c>
      <c r="AK1329">
        <v>0</v>
      </c>
      <c r="AL1329">
        <v>1.6</v>
      </c>
      <c r="AM1329">
        <v>0.26</v>
      </c>
      <c r="AN1329">
        <f t="shared" si="61"/>
        <v>4</v>
      </c>
      <c r="AO1329" t="str">
        <f t="shared" si="62"/>
        <v>Wednesday</v>
      </c>
    </row>
    <row r="1330" spans="1:41" x14ac:dyDescent="0.2">
      <c r="B1330" s="1">
        <v>45728</v>
      </c>
      <c r="C1330" s="1">
        <f t="shared" si="60"/>
        <v>45747</v>
      </c>
      <c r="D1330">
        <v>779</v>
      </c>
      <c r="E1330">
        <v>0</v>
      </c>
      <c r="F1330">
        <v>0</v>
      </c>
      <c r="G1330">
        <v>0</v>
      </c>
      <c r="H1330">
        <v>0</v>
      </c>
      <c r="I1330">
        <v>0</v>
      </c>
      <c r="J1330">
        <v>0</v>
      </c>
      <c r="K1330">
        <v>0</v>
      </c>
      <c r="AN1330">
        <f t="shared" si="61"/>
        <v>4</v>
      </c>
      <c r="AO1330" t="str">
        <f t="shared" si="62"/>
        <v>Wednesday</v>
      </c>
    </row>
    <row r="1331" spans="1:41" x14ac:dyDescent="0.2">
      <c r="A1331" t="s">
        <v>37</v>
      </c>
      <c r="B1331" s="1">
        <v>45727</v>
      </c>
      <c r="C1331" s="1">
        <f t="shared" si="60"/>
        <v>45747</v>
      </c>
      <c r="D1331">
        <v>39</v>
      </c>
      <c r="E1331">
        <v>113</v>
      </c>
      <c r="F1331">
        <v>5</v>
      </c>
      <c r="G1331">
        <v>5</v>
      </c>
      <c r="H1331">
        <v>4</v>
      </c>
      <c r="I1331">
        <v>0</v>
      </c>
      <c r="J1331">
        <v>2</v>
      </c>
      <c r="K1331">
        <v>68</v>
      </c>
      <c r="L1331" t="s">
        <v>37</v>
      </c>
      <c r="M1331" t="s">
        <v>38</v>
      </c>
      <c r="N1331" s="1">
        <v>45727</v>
      </c>
      <c r="O1331" s="2">
        <v>0.54327546296296292</v>
      </c>
      <c r="P1331" s="2">
        <v>0.91690972222222222</v>
      </c>
      <c r="Q1331">
        <v>8.9700000000000006</v>
      </c>
      <c r="R1331">
        <v>8.06</v>
      </c>
      <c r="S1331">
        <v>1.4</v>
      </c>
      <c r="T1331">
        <v>0.11</v>
      </c>
      <c r="U1331">
        <v>0</v>
      </c>
      <c r="V1331">
        <v>0.28999999999999998</v>
      </c>
      <c r="W1331">
        <v>5.77</v>
      </c>
      <c r="X1331">
        <v>0.42</v>
      </c>
      <c r="Y1331">
        <v>0</v>
      </c>
      <c r="Z1331">
        <v>0</v>
      </c>
      <c r="AA1331">
        <v>0</v>
      </c>
      <c r="AB1331">
        <v>0.08</v>
      </c>
      <c r="AC1331">
        <v>8.06</v>
      </c>
      <c r="AD1331">
        <v>17.34</v>
      </c>
      <c r="AE1331">
        <v>1.32</v>
      </c>
      <c r="AF1331">
        <v>0</v>
      </c>
      <c r="AG1331">
        <v>3.6</v>
      </c>
      <c r="AH1331">
        <v>71.59</v>
      </c>
      <c r="AI1331">
        <v>5.17</v>
      </c>
      <c r="AJ1331">
        <v>0</v>
      </c>
      <c r="AK1331">
        <v>0</v>
      </c>
      <c r="AL1331">
        <v>0</v>
      </c>
      <c r="AM1331">
        <v>0.98</v>
      </c>
      <c r="AN1331">
        <f t="shared" si="61"/>
        <v>3</v>
      </c>
      <c r="AO1331" t="str">
        <f t="shared" si="62"/>
        <v>Tuesday</v>
      </c>
    </row>
    <row r="1332" spans="1:41" x14ac:dyDescent="0.2">
      <c r="A1332" t="s">
        <v>39</v>
      </c>
      <c r="B1332" s="1">
        <v>45727</v>
      </c>
      <c r="C1332" s="1">
        <f t="shared" si="60"/>
        <v>45747</v>
      </c>
      <c r="D1332">
        <v>38</v>
      </c>
      <c r="E1332">
        <v>115</v>
      </c>
      <c r="F1332">
        <v>13</v>
      </c>
      <c r="G1332">
        <v>11</v>
      </c>
      <c r="H1332">
        <v>17</v>
      </c>
      <c r="I1332">
        <v>0</v>
      </c>
      <c r="J1332">
        <v>7</v>
      </c>
      <c r="K1332">
        <v>45</v>
      </c>
      <c r="L1332" t="s">
        <v>39</v>
      </c>
      <c r="M1332" t="s">
        <v>38</v>
      </c>
      <c r="N1332" s="1">
        <v>45727</v>
      </c>
      <c r="O1332" s="2">
        <v>0.54162037037037036</v>
      </c>
      <c r="P1332" s="2">
        <v>0.91681712962962958</v>
      </c>
      <c r="Q1332">
        <v>9.02</v>
      </c>
      <c r="R1332">
        <v>9</v>
      </c>
      <c r="S1332">
        <v>2.35</v>
      </c>
      <c r="T1332">
        <v>0.17</v>
      </c>
      <c r="U1332">
        <v>0</v>
      </c>
      <c r="V1332">
        <v>0.03</v>
      </c>
      <c r="W1332">
        <v>4.95</v>
      </c>
      <c r="X1332">
        <v>1.48</v>
      </c>
      <c r="Y1332">
        <v>0</v>
      </c>
      <c r="Z1332">
        <v>0</v>
      </c>
      <c r="AA1332">
        <v>0</v>
      </c>
      <c r="AB1332">
        <v>0.01</v>
      </c>
      <c r="AC1332">
        <v>9</v>
      </c>
      <c r="AD1332">
        <v>26.12</v>
      </c>
      <c r="AE1332">
        <v>1.93</v>
      </c>
      <c r="AF1332">
        <v>0</v>
      </c>
      <c r="AG1332">
        <v>0.39</v>
      </c>
      <c r="AH1332">
        <v>54.99</v>
      </c>
      <c r="AI1332">
        <v>16.489999999999998</v>
      </c>
      <c r="AJ1332">
        <v>0</v>
      </c>
      <c r="AK1332">
        <v>0</v>
      </c>
      <c r="AL1332">
        <v>0</v>
      </c>
      <c r="AM1332">
        <v>0.08</v>
      </c>
      <c r="AN1332">
        <f t="shared" si="61"/>
        <v>3</v>
      </c>
      <c r="AO1332" t="str">
        <f t="shared" si="62"/>
        <v>Tuesday</v>
      </c>
    </row>
    <row r="1333" spans="1:41" x14ac:dyDescent="0.2">
      <c r="A1333" t="s">
        <v>54</v>
      </c>
      <c r="B1333" s="1">
        <v>45727</v>
      </c>
      <c r="C1333" s="1">
        <f t="shared" si="60"/>
        <v>45747</v>
      </c>
      <c r="D1333">
        <v>1</v>
      </c>
      <c r="E1333">
        <v>2</v>
      </c>
      <c r="F1333">
        <v>1</v>
      </c>
      <c r="G1333">
        <v>0</v>
      </c>
      <c r="H1333">
        <v>0</v>
      </c>
      <c r="I1333">
        <v>0</v>
      </c>
      <c r="J1333">
        <v>0</v>
      </c>
      <c r="K1333">
        <v>0</v>
      </c>
      <c r="AN1333">
        <f t="shared" si="61"/>
        <v>3</v>
      </c>
      <c r="AO1333" t="str">
        <f t="shared" si="62"/>
        <v>Tuesday</v>
      </c>
    </row>
    <row r="1334" spans="1:41" x14ac:dyDescent="0.2">
      <c r="A1334" t="s">
        <v>42</v>
      </c>
      <c r="B1334" s="1">
        <v>45727</v>
      </c>
      <c r="C1334" s="1">
        <f t="shared" si="60"/>
        <v>45747</v>
      </c>
      <c r="D1334">
        <v>1</v>
      </c>
      <c r="E1334">
        <v>1</v>
      </c>
      <c r="F1334">
        <v>0</v>
      </c>
      <c r="G1334">
        <v>0</v>
      </c>
      <c r="H1334">
        <v>0</v>
      </c>
      <c r="I1334">
        <v>0</v>
      </c>
      <c r="J1334">
        <v>0</v>
      </c>
      <c r="K1334">
        <v>0</v>
      </c>
      <c r="L1334" t="s">
        <v>42</v>
      </c>
      <c r="M1334" t="s">
        <v>38</v>
      </c>
      <c r="N1334" s="1">
        <v>45727</v>
      </c>
      <c r="O1334" s="2">
        <v>0.54099537037037038</v>
      </c>
      <c r="P1334" s="2">
        <v>0.91811342592592593</v>
      </c>
      <c r="Q1334">
        <v>9.0500000000000007</v>
      </c>
      <c r="R1334">
        <v>9.0500000000000007</v>
      </c>
      <c r="S1334">
        <v>0.05</v>
      </c>
      <c r="T1334">
        <v>0</v>
      </c>
      <c r="U1334">
        <v>0</v>
      </c>
      <c r="V1334">
        <v>0</v>
      </c>
      <c r="W1334">
        <v>0</v>
      </c>
      <c r="X1334">
        <v>1.45</v>
      </c>
      <c r="Y1334">
        <v>7.55</v>
      </c>
      <c r="Z1334">
        <v>0</v>
      </c>
      <c r="AA1334">
        <v>0</v>
      </c>
      <c r="AB1334">
        <v>0.01</v>
      </c>
      <c r="AC1334">
        <v>9.0500000000000007</v>
      </c>
      <c r="AD1334">
        <v>0.5</v>
      </c>
      <c r="AE1334">
        <v>0</v>
      </c>
      <c r="AF1334">
        <v>0</v>
      </c>
      <c r="AG1334">
        <v>0.01</v>
      </c>
      <c r="AH1334">
        <v>0</v>
      </c>
      <c r="AI1334">
        <v>16.059999999999999</v>
      </c>
      <c r="AJ1334">
        <v>83.36</v>
      </c>
      <c r="AK1334">
        <v>0</v>
      </c>
      <c r="AL1334">
        <v>0</v>
      </c>
      <c r="AM1334">
        <v>0.06</v>
      </c>
      <c r="AN1334">
        <f t="shared" si="61"/>
        <v>3</v>
      </c>
      <c r="AO1334" t="str">
        <f t="shared" si="62"/>
        <v>Tuesday</v>
      </c>
    </row>
    <row r="1335" spans="1:41" x14ac:dyDescent="0.2">
      <c r="A1335" t="s">
        <v>43</v>
      </c>
      <c r="B1335" s="1">
        <v>45727</v>
      </c>
      <c r="C1335" s="1">
        <f t="shared" si="60"/>
        <v>45747</v>
      </c>
      <c r="D1335">
        <v>51</v>
      </c>
      <c r="E1335">
        <v>178</v>
      </c>
      <c r="F1335">
        <v>9</v>
      </c>
      <c r="G1335">
        <v>4</v>
      </c>
      <c r="H1335">
        <v>33</v>
      </c>
      <c r="I1335">
        <v>1</v>
      </c>
      <c r="J1335">
        <v>1</v>
      </c>
      <c r="K1335">
        <v>98</v>
      </c>
      <c r="L1335" t="s">
        <v>43</v>
      </c>
      <c r="M1335" t="s">
        <v>38</v>
      </c>
      <c r="N1335" s="1">
        <v>45727</v>
      </c>
      <c r="O1335" s="2">
        <v>0.54107638888888887</v>
      </c>
      <c r="P1335" s="2">
        <v>0.9173958333333333</v>
      </c>
      <c r="Q1335">
        <v>9.0299999999999994</v>
      </c>
      <c r="R1335">
        <v>9.0299999999999994</v>
      </c>
      <c r="S1335">
        <v>1.72</v>
      </c>
      <c r="T1335">
        <v>0.16</v>
      </c>
      <c r="U1335">
        <v>0</v>
      </c>
      <c r="V1335">
        <v>0.59</v>
      </c>
      <c r="W1335">
        <v>4.92</v>
      </c>
      <c r="X1335">
        <v>1.38</v>
      </c>
      <c r="Y1335">
        <v>0.26</v>
      </c>
      <c r="Z1335">
        <v>0</v>
      </c>
      <c r="AA1335">
        <v>0</v>
      </c>
      <c r="AB1335">
        <v>0</v>
      </c>
      <c r="AC1335">
        <v>9.0299999999999994</v>
      </c>
      <c r="AD1335">
        <v>19</v>
      </c>
      <c r="AE1335">
        <v>1.75</v>
      </c>
      <c r="AF1335">
        <v>0</v>
      </c>
      <c r="AG1335">
        <v>6.58</v>
      </c>
      <c r="AH1335">
        <v>54.5</v>
      </c>
      <c r="AI1335">
        <v>15.27</v>
      </c>
      <c r="AJ1335">
        <v>2.85</v>
      </c>
      <c r="AK1335">
        <v>0</v>
      </c>
      <c r="AL1335">
        <v>0</v>
      </c>
      <c r="AM1335">
        <v>0.04</v>
      </c>
      <c r="AN1335">
        <f t="shared" si="61"/>
        <v>3</v>
      </c>
      <c r="AO1335" t="str">
        <f t="shared" si="62"/>
        <v>Tuesday</v>
      </c>
    </row>
    <row r="1336" spans="1:41" x14ac:dyDescent="0.2">
      <c r="A1336" t="s">
        <v>46</v>
      </c>
      <c r="B1336" s="1">
        <v>45727</v>
      </c>
      <c r="C1336" s="1">
        <f t="shared" si="60"/>
        <v>45747</v>
      </c>
      <c r="D1336">
        <v>1</v>
      </c>
      <c r="E1336">
        <v>2</v>
      </c>
      <c r="F1336">
        <v>0</v>
      </c>
      <c r="G1336">
        <v>1</v>
      </c>
      <c r="H1336">
        <v>0</v>
      </c>
      <c r="I1336">
        <v>0</v>
      </c>
      <c r="J1336">
        <v>0</v>
      </c>
      <c r="K1336">
        <v>0</v>
      </c>
      <c r="AN1336">
        <f t="shared" si="61"/>
        <v>3</v>
      </c>
      <c r="AO1336" t="str">
        <f t="shared" si="62"/>
        <v>Tuesday</v>
      </c>
    </row>
    <row r="1337" spans="1:41" x14ac:dyDescent="0.2">
      <c r="B1337" s="1">
        <v>45727</v>
      </c>
      <c r="C1337" s="1">
        <f t="shared" si="60"/>
        <v>45747</v>
      </c>
      <c r="D1337">
        <v>795</v>
      </c>
      <c r="E1337">
        <v>0</v>
      </c>
      <c r="F1337">
        <v>0</v>
      </c>
      <c r="G1337">
        <v>0</v>
      </c>
      <c r="H1337">
        <v>0</v>
      </c>
      <c r="I1337">
        <v>0</v>
      </c>
      <c r="J1337">
        <v>0</v>
      </c>
      <c r="K1337">
        <v>0</v>
      </c>
      <c r="AN1337">
        <f t="shared" si="61"/>
        <v>3</v>
      </c>
      <c r="AO1337" t="str">
        <f t="shared" si="62"/>
        <v>Tuesday</v>
      </c>
    </row>
    <row r="1338" spans="1:41" x14ac:dyDescent="0.2">
      <c r="A1338" t="s">
        <v>37</v>
      </c>
      <c r="B1338" s="1">
        <v>45726</v>
      </c>
      <c r="C1338" s="1">
        <f t="shared" si="60"/>
        <v>45747</v>
      </c>
      <c r="D1338">
        <v>26</v>
      </c>
      <c r="E1338">
        <v>63</v>
      </c>
      <c r="F1338">
        <v>0</v>
      </c>
      <c r="G1338">
        <v>5</v>
      </c>
      <c r="H1338">
        <v>5</v>
      </c>
      <c r="I1338">
        <v>0</v>
      </c>
      <c r="J1338">
        <v>0</v>
      </c>
      <c r="K1338">
        <v>38</v>
      </c>
      <c r="L1338" t="s">
        <v>37</v>
      </c>
      <c r="M1338" t="s">
        <v>38</v>
      </c>
      <c r="N1338" s="1">
        <v>45726</v>
      </c>
      <c r="O1338" s="2">
        <v>0.5433796296296296</v>
      </c>
      <c r="P1338" s="2">
        <v>0.91670138888888886</v>
      </c>
      <c r="Q1338">
        <v>8.9700000000000006</v>
      </c>
      <c r="R1338">
        <v>8.07</v>
      </c>
      <c r="S1338">
        <v>2.17</v>
      </c>
      <c r="T1338">
        <v>0.39</v>
      </c>
      <c r="U1338">
        <v>0</v>
      </c>
      <c r="V1338">
        <v>0.2</v>
      </c>
      <c r="W1338">
        <v>4.88</v>
      </c>
      <c r="X1338">
        <v>0.38</v>
      </c>
      <c r="Y1338">
        <v>0</v>
      </c>
      <c r="Z1338">
        <v>0</v>
      </c>
      <c r="AA1338">
        <v>0</v>
      </c>
      <c r="AB1338">
        <v>0.05</v>
      </c>
      <c r="AC1338">
        <v>8.07</v>
      </c>
      <c r="AD1338">
        <v>26.86</v>
      </c>
      <c r="AE1338">
        <v>4.83</v>
      </c>
      <c r="AF1338">
        <v>0</v>
      </c>
      <c r="AG1338">
        <v>2.54</v>
      </c>
      <c r="AH1338">
        <v>60.38</v>
      </c>
      <c r="AI1338">
        <v>4.74</v>
      </c>
      <c r="AJ1338">
        <v>0</v>
      </c>
      <c r="AK1338">
        <v>0</v>
      </c>
      <c r="AL1338">
        <v>0</v>
      </c>
      <c r="AM1338">
        <v>0.66</v>
      </c>
      <c r="AN1338">
        <f t="shared" si="61"/>
        <v>2</v>
      </c>
      <c r="AO1338" t="str">
        <f t="shared" si="62"/>
        <v>Monday</v>
      </c>
    </row>
    <row r="1339" spans="1:41" x14ac:dyDescent="0.2">
      <c r="A1339" t="s">
        <v>39</v>
      </c>
      <c r="B1339" s="1">
        <v>45726</v>
      </c>
      <c r="C1339" s="1">
        <f t="shared" si="60"/>
        <v>45747</v>
      </c>
      <c r="D1339">
        <v>28</v>
      </c>
      <c r="E1339">
        <v>48</v>
      </c>
      <c r="F1339">
        <v>6</v>
      </c>
      <c r="G1339">
        <v>3</v>
      </c>
      <c r="H1339">
        <v>11</v>
      </c>
      <c r="I1339">
        <v>0</v>
      </c>
      <c r="J1339">
        <v>0</v>
      </c>
      <c r="K1339">
        <v>17</v>
      </c>
      <c r="L1339" t="s">
        <v>39</v>
      </c>
      <c r="M1339" t="s">
        <v>38</v>
      </c>
      <c r="N1339" s="1">
        <v>45726</v>
      </c>
      <c r="O1339" s="2">
        <v>0.54177083333333331</v>
      </c>
      <c r="P1339" s="2">
        <v>0.91674768518518523</v>
      </c>
      <c r="Q1339">
        <v>9</v>
      </c>
      <c r="R1339">
        <v>9</v>
      </c>
      <c r="S1339">
        <v>2.58</v>
      </c>
      <c r="T1339">
        <v>0</v>
      </c>
      <c r="U1339">
        <v>0</v>
      </c>
      <c r="V1339">
        <v>0.02</v>
      </c>
      <c r="W1339">
        <v>4.3899999999999997</v>
      </c>
      <c r="X1339">
        <v>1.49</v>
      </c>
      <c r="Y1339">
        <v>0.52</v>
      </c>
      <c r="Z1339">
        <v>0</v>
      </c>
      <c r="AA1339">
        <v>0</v>
      </c>
      <c r="AB1339">
        <v>0</v>
      </c>
      <c r="AC1339">
        <v>9</v>
      </c>
      <c r="AD1339">
        <v>28.62</v>
      </c>
      <c r="AE1339">
        <v>0</v>
      </c>
      <c r="AF1339">
        <v>0</v>
      </c>
      <c r="AG1339">
        <v>0.27</v>
      </c>
      <c r="AH1339">
        <v>48.75</v>
      </c>
      <c r="AI1339">
        <v>16.53</v>
      </c>
      <c r="AJ1339">
        <v>5.79</v>
      </c>
      <c r="AK1339">
        <v>0</v>
      </c>
      <c r="AL1339">
        <v>0</v>
      </c>
      <c r="AM1339">
        <v>0.04</v>
      </c>
      <c r="AN1339">
        <f t="shared" si="61"/>
        <v>2</v>
      </c>
      <c r="AO1339" t="str">
        <f t="shared" si="62"/>
        <v>Monday</v>
      </c>
    </row>
    <row r="1340" spans="1:41" x14ac:dyDescent="0.2">
      <c r="A1340" t="s">
        <v>41</v>
      </c>
      <c r="B1340" s="1">
        <v>45726</v>
      </c>
      <c r="C1340" s="1">
        <f t="shared" si="60"/>
        <v>45747</v>
      </c>
      <c r="D1340">
        <v>31</v>
      </c>
      <c r="E1340">
        <v>81</v>
      </c>
      <c r="F1340">
        <v>0</v>
      </c>
      <c r="G1340">
        <v>5</v>
      </c>
      <c r="H1340">
        <v>5</v>
      </c>
      <c r="I1340">
        <v>0</v>
      </c>
      <c r="J1340">
        <v>0</v>
      </c>
      <c r="K1340">
        <v>54</v>
      </c>
      <c r="L1340" t="s">
        <v>41</v>
      </c>
      <c r="M1340" t="s">
        <v>38</v>
      </c>
      <c r="N1340" s="1">
        <v>45726</v>
      </c>
      <c r="O1340" s="2">
        <v>0.5519560185185185</v>
      </c>
      <c r="P1340" s="2">
        <v>0.91609953703703706</v>
      </c>
      <c r="Q1340">
        <v>8.75</v>
      </c>
      <c r="R1340">
        <v>8.6199999999999992</v>
      </c>
      <c r="S1340">
        <v>0.75</v>
      </c>
      <c r="T1340">
        <v>0.11</v>
      </c>
      <c r="U1340">
        <v>0</v>
      </c>
      <c r="V1340">
        <v>0.12</v>
      </c>
      <c r="W1340">
        <v>5.53</v>
      </c>
      <c r="X1340">
        <v>1.44</v>
      </c>
      <c r="Y1340">
        <v>0.66</v>
      </c>
      <c r="Z1340">
        <v>0</v>
      </c>
      <c r="AA1340">
        <v>0</v>
      </c>
      <c r="AB1340">
        <v>0.01</v>
      </c>
      <c r="AC1340">
        <v>8.6199999999999992</v>
      </c>
      <c r="AD1340">
        <v>8.67</v>
      </c>
      <c r="AE1340">
        <v>1.23</v>
      </c>
      <c r="AF1340">
        <v>0</v>
      </c>
      <c r="AG1340">
        <v>1.34</v>
      </c>
      <c r="AH1340">
        <v>64.19</v>
      </c>
      <c r="AI1340">
        <v>16.72</v>
      </c>
      <c r="AJ1340">
        <v>7.68</v>
      </c>
      <c r="AK1340">
        <v>0</v>
      </c>
      <c r="AL1340">
        <v>0</v>
      </c>
      <c r="AM1340">
        <v>0.17</v>
      </c>
      <c r="AN1340">
        <f t="shared" si="61"/>
        <v>2</v>
      </c>
      <c r="AO1340" t="str">
        <f t="shared" si="62"/>
        <v>Monday</v>
      </c>
    </row>
    <row r="1341" spans="1:41" x14ac:dyDescent="0.2">
      <c r="A1341" t="s">
        <v>42</v>
      </c>
      <c r="B1341" s="1">
        <v>45726</v>
      </c>
      <c r="C1341" s="1">
        <f t="shared" si="60"/>
        <v>45747</v>
      </c>
      <c r="D1341">
        <v>1</v>
      </c>
      <c r="E1341">
        <v>1</v>
      </c>
      <c r="F1341">
        <v>0</v>
      </c>
      <c r="G1341">
        <v>0</v>
      </c>
      <c r="H1341">
        <v>0</v>
      </c>
      <c r="I1341">
        <v>0</v>
      </c>
      <c r="J1341">
        <v>0</v>
      </c>
      <c r="K1341">
        <v>0</v>
      </c>
      <c r="L1341" t="s">
        <v>42</v>
      </c>
      <c r="M1341" t="s">
        <v>38</v>
      </c>
      <c r="N1341" s="1">
        <v>45726</v>
      </c>
      <c r="O1341" s="2">
        <v>0.54177083333333331</v>
      </c>
      <c r="P1341" s="2">
        <v>0.91828703703703707</v>
      </c>
      <c r="Q1341">
        <v>9.0299999999999994</v>
      </c>
      <c r="R1341">
        <v>9.0399999999999991</v>
      </c>
      <c r="S1341">
        <v>0.01</v>
      </c>
      <c r="T1341">
        <v>0</v>
      </c>
      <c r="U1341">
        <v>0</v>
      </c>
      <c r="V1341">
        <v>0.01</v>
      </c>
      <c r="W1341">
        <v>0</v>
      </c>
      <c r="X1341">
        <v>1.47</v>
      </c>
      <c r="Y1341">
        <v>7.54</v>
      </c>
      <c r="Z1341">
        <v>0</v>
      </c>
      <c r="AA1341">
        <v>0</v>
      </c>
      <c r="AB1341">
        <v>0.01</v>
      </c>
      <c r="AC1341">
        <v>9.0399999999999991</v>
      </c>
      <c r="AD1341">
        <v>0.16</v>
      </c>
      <c r="AE1341">
        <v>0</v>
      </c>
      <c r="AF1341">
        <v>0</v>
      </c>
      <c r="AG1341">
        <v>0.09</v>
      </c>
      <c r="AH1341">
        <v>0</v>
      </c>
      <c r="AI1341">
        <v>16.3</v>
      </c>
      <c r="AJ1341">
        <v>83.4</v>
      </c>
      <c r="AK1341">
        <v>0</v>
      </c>
      <c r="AL1341">
        <v>0</v>
      </c>
      <c r="AM1341">
        <v>0.06</v>
      </c>
      <c r="AN1341">
        <f t="shared" si="61"/>
        <v>2</v>
      </c>
      <c r="AO1341" t="str">
        <f t="shared" si="62"/>
        <v>Monday</v>
      </c>
    </row>
    <row r="1342" spans="1:41" x14ac:dyDescent="0.2">
      <c r="A1342" t="s">
        <v>43</v>
      </c>
      <c r="B1342" s="1">
        <v>45726</v>
      </c>
      <c r="C1342" s="1">
        <f t="shared" si="60"/>
        <v>45747</v>
      </c>
      <c r="D1342">
        <v>37</v>
      </c>
      <c r="E1342">
        <v>119</v>
      </c>
      <c r="F1342">
        <v>5</v>
      </c>
      <c r="G1342">
        <v>7</v>
      </c>
      <c r="H1342">
        <v>7</v>
      </c>
      <c r="I1342">
        <v>0</v>
      </c>
      <c r="J1342">
        <v>0</v>
      </c>
      <c r="K1342">
        <v>69</v>
      </c>
      <c r="L1342" t="s">
        <v>43</v>
      </c>
      <c r="M1342" t="s">
        <v>38</v>
      </c>
      <c r="N1342" s="1">
        <v>45726</v>
      </c>
      <c r="O1342" s="2">
        <v>0.54109953703703706</v>
      </c>
      <c r="P1342" s="2">
        <v>0.91684027777777777</v>
      </c>
      <c r="Q1342">
        <v>9.02</v>
      </c>
      <c r="R1342">
        <v>9.02</v>
      </c>
      <c r="S1342">
        <v>1.28</v>
      </c>
      <c r="T1342">
        <v>0</v>
      </c>
      <c r="U1342">
        <v>0</v>
      </c>
      <c r="V1342">
        <v>0.38</v>
      </c>
      <c r="W1342">
        <v>5.64</v>
      </c>
      <c r="X1342">
        <v>1.47</v>
      </c>
      <c r="Y1342">
        <v>0.25</v>
      </c>
      <c r="Z1342">
        <v>0</v>
      </c>
      <c r="AA1342">
        <v>0</v>
      </c>
      <c r="AB1342">
        <v>0</v>
      </c>
      <c r="AC1342">
        <v>9.02</v>
      </c>
      <c r="AD1342">
        <v>14.15</v>
      </c>
      <c r="AE1342">
        <v>0</v>
      </c>
      <c r="AF1342">
        <v>0</v>
      </c>
      <c r="AG1342">
        <v>4.24</v>
      </c>
      <c r="AH1342">
        <v>62.56</v>
      </c>
      <c r="AI1342">
        <v>16.28</v>
      </c>
      <c r="AJ1342">
        <v>2.73</v>
      </c>
      <c r="AK1342">
        <v>0</v>
      </c>
      <c r="AL1342">
        <v>0</v>
      </c>
      <c r="AM1342">
        <v>0.05</v>
      </c>
      <c r="AN1342">
        <f t="shared" si="61"/>
        <v>2</v>
      </c>
      <c r="AO1342" t="str">
        <f t="shared" si="62"/>
        <v>Monday</v>
      </c>
    </row>
    <row r="1343" spans="1:41" x14ac:dyDescent="0.2">
      <c r="B1343" s="1">
        <v>45726</v>
      </c>
      <c r="C1343" s="1">
        <f t="shared" si="60"/>
        <v>45747</v>
      </c>
      <c r="D1343">
        <v>714</v>
      </c>
      <c r="E1343">
        <v>0</v>
      </c>
      <c r="F1343">
        <v>0</v>
      </c>
      <c r="G1343">
        <v>0</v>
      </c>
      <c r="H1343">
        <v>0</v>
      </c>
      <c r="I1343">
        <v>0</v>
      </c>
      <c r="J1343">
        <v>0</v>
      </c>
      <c r="K1343">
        <v>0</v>
      </c>
      <c r="AN1343">
        <f t="shared" si="61"/>
        <v>2</v>
      </c>
      <c r="AO1343" t="str">
        <f t="shared" si="62"/>
        <v>Monday</v>
      </c>
    </row>
    <row r="1344" spans="1:41" x14ac:dyDescent="0.2">
      <c r="A1344" t="s">
        <v>37</v>
      </c>
      <c r="B1344" s="1">
        <v>45723</v>
      </c>
      <c r="C1344" s="1">
        <f t="shared" si="60"/>
        <v>45747</v>
      </c>
      <c r="D1344">
        <v>31</v>
      </c>
      <c r="E1344">
        <v>85</v>
      </c>
      <c r="F1344">
        <v>2</v>
      </c>
      <c r="G1344">
        <v>4</v>
      </c>
      <c r="H1344">
        <v>1</v>
      </c>
      <c r="I1344">
        <v>0</v>
      </c>
      <c r="J1344">
        <v>0</v>
      </c>
      <c r="K1344">
        <v>58</v>
      </c>
      <c r="L1344" t="s">
        <v>37</v>
      </c>
      <c r="M1344" t="s">
        <v>38</v>
      </c>
      <c r="N1344" s="1">
        <v>45723</v>
      </c>
      <c r="O1344" s="2">
        <v>0.58365740740740746</v>
      </c>
      <c r="P1344" s="2">
        <v>0.95885416666666667</v>
      </c>
      <c r="Q1344">
        <v>9</v>
      </c>
      <c r="R1344">
        <v>8.14</v>
      </c>
      <c r="S1344">
        <v>1.0900000000000001</v>
      </c>
      <c r="T1344">
        <v>0.25</v>
      </c>
      <c r="U1344">
        <v>0</v>
      </c>
      <c r="V1344">
        <v>0.12</v>
      </c>
      <c r="W1344">
        <v>4.8</v>
      </c>
      <c r="X1344">
        <v>0.36</v>
      </c>
      <c r="Y1344">
        <v>1.42</v>
      </c>
      <c r="Z1344">
        <v>0</v>
      </c>
      <c r="AA1344">
        <v>0</v>
      </c>
      <c r="AB1344">
        <v>0.09</v>
      </c>
      <c r="AC1344">
        <v>8.14</v>
      </c>
      <c r="AD1344">
        <v>13.42</v>
      </c>
      <c r="AE1344">
        <v>3.12</v>
      </c>
      <c r="AF1344">
        <v>0</v>
      </c>
      <c r="AG1344">
        <v>1.53</v>
      </c>
      <c r="AH1344">
        <v>58.98</v>
      </c>
      <c r="AI1344">
        <v>4.37</v>
      </c>
      <c r="AJ1344">
        <v>17.440000000000001</v>
      </c>
      <c r="AK1344">
        <v>0</v>
      </c>
      <c r="AL1344">
        <v>0</v>
      </c>
      <c r="AM1344">
        <v>1.1499999999999999</v>
      </c>
      <c r="AN1344">
        <f t="shared" si="61"/>
        <v>6</v>
      </c>
      <c r="AO1344" t="str">
        <f t="shared" si="62"/>
        <v>Friday</v>
      </c>
    </row>
    <row r="1345" spans="1:41" x14ac:dyDescent="0.2">
      <c r="A1345" t="s">
        <v>39</v>
      </c>
      <c r="B1345" s="1">
        <v>45723</v>
      </c>
      <c r="C1345" s="1">
        <f t="shared" si="60"/>
        <v>45747</v>
      </c>
      <c r="D1345">
        <v>35</v>
      </c>
      <c r="E1345">
        <v>90</v>
      </c>
      <c r="F1345">
        <v>11</v>
      </c>
      <c r="G1345">
        <v>4</v>
      </c>
      <c r="H1345">
        <v>3</v>
      </c>
      <c r="I1345">
        <v>6</v>
      </c>
      <c r="J1345">
        <v>1</v>
      </c>
      <c r="K1345">
        <v>50</v>
      </c>
      <c r="L1345" t="s">
        <v>39</v>
      </c>
      <c r="M1345" t="s">
        <v>38</v>
      </c>
      <c r="N1345" s="1">
        <v>45723</v>
      </c>
      <c r="O1345" s="2">
        <v>0.5834259259259259</v>
      </c>
      <c r="P1345" s="2">
        <v>0.9587268518518518</v>
      </c>
      <c r="Q1345">
        <v>9</v>
      </c>
      <c r="R1345">
        <v>8.3800000000000008</v>
      </c>
      <c r="S1345">
        <v>1.47</v>
      </c>
      <c r="T1345">
        <v>0</v>
      </c>
      <c r="U1345">
        <v>0</v>
      </c>
      <c r="V1345">
        <v>0.04</v>
      </c>
      <c r="W1345">
        <v>4.8499999999999996</v>
      </c>
      <c r="X1345">
        <v>0.87</v>
      </c>
      <c r="Y1345">
        <v>1.1299999999999999</v>
      </c>
      <c r="Z1345">
        <v>0</v>
      </c>
      <c r="AA1345">
        <v>0</v>
      </c>
      <c r="AB1345">
        <v>0.02</v>
      </c>
      <c r="AC1345">
        <v>8.3800000000000008</v>
      </c>
      <c r="AD1345">
        <v>17.48</v>
      </c>
      <c r="AE1345">
        <v>0</v>
      </c>
      <c r="AF1345">
        <v>0</v>
      </c>
      <c r="AG1345">
        <v>0.48</v>
      </c>
      <c r="AH1345">
        <v>57.91</v>
      </c>
      <c r="AI1345">
        <v>10.44</v>
      </c>
      <c r="AJ1345">
        <v>13.43</v>
      </c>
      <c r="AK1345">
        <v>0</v>
      </c>
      <c r="AL1345">
        <v>0</v>
      </c>
      <c r="AM1345">
        <v>0.26</v>
      </c>
      <c r="AN1345">
        <f t="shared" si="61"/>
        <v>6</v>
      </c>
      <c r="AO1345" t="str">
        <f t="shared" si="62"/>
        <v>Friday</v>
      </c>
    </row>
    <row r="1346" spans="1:41" x14ac:dyDescent="0.2">
      <c r="A1346" t="s">
        <v>41</v>
      </c>
      <c r="B1346" s="1">
        <v>45723</v>
      </c>
      <c r="C1346" s="1">
        <f t="shared" si="60"/>
        <v>45747</v>
      </c>
      <c r="D1346">
        <v>34</v>
      </c>
      <c r="E1346">
        <v>72</v>
      </c>
      <c r="F1346">
        <v>4</v>
      </c>
      <c r="G1346">
        <v>7</v>
      </c>
      <c r="H1346">
        <v>4</v>
      </c>
      <c r="I1346">
        <v>0</v>
      </c>
      <c r="J1346">
        <v>1</v>
      </c>
      <c r="K1346">
        <v>39</v>
      </c>
      <c r="L1346" t="s">
        <v>41</v>
      </c>
      <c r="M1346" t="s">
        <v>38</v>
      </c>
      <c r="N1346" s="1">
        <v>45723</v>
      </c>
      <c r="O1346" s="2">
        <v>0.58447916666666666</v>
      </c>
      <c r="P1346" s="2">
        <v>0.95950231481481485</v>
      </c>
      <c r="Q1346">
        <v>9</v>
      </c>
      <c r="R1346">
        <v>8.98</v>
      </c>
      <c r="S1346">
        <v>0.99</v>
      </c>
      <c r="T1346">
        <v>0</v>
      </c>
      <c r="U1346">
        <v>0</v>
      </c>
      <c r="V1346">
        <v>0.16</v>
      </c>
      <c r="W1346">
        <v>5.69</v>
      </c>
      <c r="X1346">
        <v>1.46</v>
      </c>
      <c r="Y1346">
        <v>0.66</v>
      </c>
      <c r="Z1346">
        <v>0</v>
      </c>
      <c r="AA1346">
        <v>0</v>
      </c>
      <c r="AB1346">
        <v>0.01</v>
      </c>
      <c r="AC1346">
        <v>8.98</v>
      </c>
      <c r="AD1346">
        <v>11.04</v>
      </c>
      <c r="AE1346">
        <v>0</v>
      </c>
      <c r="AF1346">
        <v>0</v>
      </c>
      <c r="AG1346">
        <v>1.81</v>
      </c>
      <c r="AH1346">
        <v>63.41</v>
      </c>
      <c r="AI1346">
        <v>16.28</v>
      </c>
      <c r="AJ1346">
        <v>7.38</v>
      </c>
      <c r="AK1346">
        <v>0</v>
      </c>
      <c r="AL1346">
        <v>0</v>
      </c>
      <c r="AM1346">
        <v>7.0000000000000007E-2</v>
      </c>
      <c r="AN1346">
        <f t="shared" si="61"/>
        <v>6</v>
      </c>
      <c r="AO1346" t="str">
        <f t="shared" si="62"/>
        <v>Friday</v>
      </c>
    </row>
    <row r="1347" spans="1:41" x14ac:dyDescent="0.2">
      <c r="A1347" t="s">
        <v>45</v>
      </c>
      <c r="B1347" s="1">
        <v>45723</v>
      </c>
      <c r="C1347" s="1">
        <f t="shared" ref="C1347:C1410" si="63">EOMONTH(B1347,0)</f>
        <v>45747</v>
      </c>
      <c r="D1347">
        <v>1</v>
      </c>
      <c r="E1347">
        <v>1</v>
      </c>
      <c r="F1347">
        <v>0</v>
      </c>
      <c r="G1347">
        <v>0</v>
      </c>
      <c r="H1347">
        <v>0</v>
      </c>
      <c r="I1347">
        <v>0</v>
      </c>
      <c r="J1347">
        <v>0</v>
      </c>
      <c r="K1347">
        <v>0</v>
      </c>
      <c r="AN1347">
        <f t="shared" ref="AN1347:AN1410" si="64">WEEKDAY(B1347,1)</f>
        <v>6</v>
      </c>
      <c r="AO1347" t="str">
        <f t="shared" ref="AO1347:AO1410" si="65">VLOOKUP(AN1347,$AY$2:$AZ$8,2,FALSE)</f>
        <v>Friday</v>
      </c>
    </row>
    <row r="1348" spans="1:41" x14ac:dyDescent="0.2">
      <c r="A1348" t="s">
        <v>43</v>
      </c>
      <c r="B1348" s="1">
        <v>45723</v>
      </c>
      <c r="C1348" s="1">
        <f t="shared" si="63"/>
        <v>45747</v>
      </c>
      <c r="D1348">
        <v>21</v>
      </c>
      <c r="E1348">
        <v>68</v>
      </c>
      <c r="F1348">
        <v>8</v>
      </c>
      <c r="G1348">
        <v>3</v>
      </c>
      <c r="H1348">
        <v>7</v>
      </c>
      <c r="I1348">
        <v>0</v>
      </c>
      <c r="J1348">
        <v>0</v>
      </c>
      <c r="K1348">
        <v>40</v>
      </c>
      <c r="L1348" t="s">
        <v>43</v>
      </c>
      <c r="M1348" t="s">
        <v>38</v>
      </c>
      <c r="N1348" s="1">
        <v>45723</v>
      </c>
      <c r="O1348" s="2">
        <v>0.58209490740740744</v>
      </c>
      <c r="P1348" s="2">
        <v>0.9588888888888889</v>
      </c>
      <c r="Q1348">
        <v>9.0299999999999994</v>
      </c>
      <c r="R1348">
        <v>9.0399999999999991</v>
      </c>
      <c r="S1348">
        <v>0.91</v>
      </c>
      <c r="T1348">
        <v>0.03</v>
      </c>
      <c r="U1348">
        <v>0</v>
      </c>
      <c r="V1348">
        <v>0.28999999999999998</v>
      </c>
      <c r="W1348">
        <v>4.46</v>
      </c>
      <c r="X1348">
        <v>1.89</v>
      </c>
      <c r="Y1348">
        <v>1.46</v>
      </c>
      <c r="Z1348">
        <v>0</v>
      </c>
      <c r="AA1348">
        <v>0</v>
      </c>
      <c r="AB1348">
        <v>0.01</v>
      </c>
      <c r="AC1348">
        <v>9.0399999999999991</v>
      </c>
      <c r="AD1348">
        <v>10.08</v>
      </c>
      <c r="AE1348">
        <v>0.28999999999999998</v>
      </c>
      <c r="AF1348">
        <v>0</v>
      </c>
      <c r="AG1348">
        <v>3.15</v>
      </c>
      <c r="AH1348">
        <v>49.37</v>
      </c>
      <c r="AI1348">
        <v>20.95</v>
      </c>
      <c r="AJ1348">
        <v>16.100000000000001</v>
      </c>
      <c r="AK1348">
        <v>0</v>
      </c>
      <c r="AL1348">
        <v>0</v>
      </c>
      <c r="AM1348">
        <v>0.06</v>
      </c>
      <c r="AN1348">
        <f t="shared" si="64"/>
        <v>6</v>
      </c>
      <c r="AO1348" t="str">
        <f t="shared" si="65"/>
        <v>Friday</v>
      </c>
    </row>
    <row r="1349" spans="1:41" x14ac:dyDescent="0.2">
      <c r="B1349" s="1">
        <v>45723</v>
      </c>
      <c r="C1349" s="1">
        <f t="shared" si="63"/>
        <v>45747</v>
      </c>
      <c r="D1349">
        <v>753</v>
      </c>
      <c r="E1349">
        <v>0</v>
      </c>
      <c r="F1349">
        <v>0</v>
      </c>
      <c r="G1349">
        <v>0</v>
      </c>
      <c r="H1349">
        <v>0</v>
      </c>
      <c r="I1349">
        <v>0</v>
      </c>
      <c r="J1349">
        <v>0</v>
      </c>
      <c r="K1349">
        <v>0</v>
      </c>
      <c r="AN1349">
        <f t="shared" si="64"/>
        <v>6</v>
      </c>
      <c r="AO1349" t="str">
        <f t="shared" si="65"/>
        <v>Friday</v>
      </c>
    </row>
    <row r="1350" spans="1:41" x14ac:dyDescent="0.2">
      <c r="A1350" t="s">
        <v>37</v>
      </c>
      <c r="B1350" s="1">
        <v>45722</v>
      </c>
      <c r="C1350" s="1">
        <f t="shared" si="63"/>
        <v>45747</v>
      </c>
      <c r="D1350">
        <v>37</v>
      </c>
      <c r="E1350">
        <v>91</v>
      </c>
      <c r="F1350">
        <v>2</v>
      </c>
      <c r="G1350">
        <v>5</v>
      </c>
      <c r="H1350">
        <v>7</v>
      </c>
      <c r="I1350">
        <v>0</v>
      </c>
      <c r="J1350">
        <v>1</v>
      </c>
      <c r="K1350">
        <v>55</v>
      </c>
      <c r="L1350" t="s">
        <v>37</v>
      </c>
      <c r="M1350" t="s">
        <v>38</v>
      </c>
      <c r="N1350" s="1">
        <v>45722</v>
      </c>
      <c r="O1350" s="2">
        <v>0.58385416666666667</v>
      </c>
      <c r="P1350" s="2">
        <v>0.9583680555555556</v>
      </c>
      <c r="Q1350">
        <v>9</v>
      </c>
      <c r="R1350">
        <v>8.11</v>
      </c>
      <c r="S1350">
        <v>1.24</v>
      </c>
      <c r="T1350">
        <v>0.03</v>
      </c>
      <c r="U1350">
        <v>0</v>
      </c>
      <c r="V1350">
        <v>0.37</v>
      </c>
      <c r="W1350">
        <v>5.23</v>
      </c>
      <c r="X1350">
        <v>0.56999999999999995</v>
      </c>
      <c r="Y1350">
        <v>0.61</v>
      </c>
      <c r="Z1350">
        <v>0</v>
      </c>
      <c r="AA1350">
        <v>0</v>
      </c>
      <c r="AB1350">
        <v>0.05</v>
      </c>
      <c r="AC1350">
        <v>8.11</v>
      </c>
      <c r="AD1350">
        <v>15.32</v>
      </c>
      <c r="AE1350">
        <v>0.42</v>
      </c>
      <c r="AF1350">
        <v>0</v>
      </c>
      <c r="AG1350">
        <v>4.59</v>
      </c>
      <c r="AH1350">
        <v>64.53</v>
      </c>
      <c r="AI1350">
        <v>6.97</v>
      </c>
      <c r="AJ1350">
        <v>7.57</v>
      </c>
      <c r="AK1350">
        <v>0</v>
      </c>
      <c r="AL1350">
        <v>0</v>
      </c>
      <c r="AM1350">
        <v>0.59</v>
      </c>
      <c r="AN1350">
        <f t="shared" si="64"/>
        <v>5</v>
      </c>
      <c r="AO1350" t="str">
        <f t="shared" si="65"/>
        <v>Thursday</v>
      </c>
    </row>
    <row r="1351" spans="1:41" x14ac:dyDescent="0.2">
      <c r="A1351" t="s">
        <v>39</v>
      </c>
      <c r="B1351" s="1">
        <v>45722</v>
      </c>
      <c r="C1351" s="1">
        <f t="shared" si="63"/>
        <v>45747</v>
      </c>
      <c r="D1351">
        <v>25</v>
      </c>
      <c r="E1351">
        <v>68</v>
      </c>
      <c r="F1351">
        <v>3</v>
      </c>
      <c r="G1351">
        <v>6</v>
      </c>
      <c r="H1351">
        <v>5</v>
      </c>
      <c r="I1351">
        <v>1</v>
      </c>
      <c r="J1351">
        <v>2</v>
      </c>
      <c r="K1351">
        <v>38</v>
      </c>
      <c r="L1351" t="s">
        <v>39</v>
      </c>
      <c r="M1351" t="s">
        <v>38</v>
      </c>
      <c r="N1351" s="1">
        <v>45722</v>
      </c>
      <c r="O1351" s="2">
        <v>0.5834259259259259</v>
      </c>
      <c r="P1351" s="2">
        <v>0.95837962962962964</v>
      </c>
      <c r="Q1351">
        <v>9</v>
      </c>
      <c r="R1351">
        <v>9</v>
      </c>
      <c r="S1351">
        <v>2.02</v>
      </c>
      <c r="T1351">
        <v>0.09</v>
      </c>
      <c r="U1351">
        <v>0</v>
      </c>
      <c r="V1351">
        <v>0.04</v>
      </c>
      <c r="W1351">
        <v>4.76</v>
      </c>
      <c r="X1351">
        <v>1.49</v>
      </c>
      <c r="Y1351">
        <v>0.6</v>
      </c>
      <c r="Z1351">
        <v>0</v>
      </c>
      <c r="AA1351">
        <v>0</v>
      </c>
      <c r="AB1351">
        <v>0</v>
      </c>
      <c r="AC1351">
        <v>9</v>
      </c>
      <c r="AD1351">
        <v>22.47</v>
      </c>
      <c r="AE1351">
        <v>0.97</v>
      </c>
      <c r="AF1351">
        <v>0</v>
      </c>
      <c r="AG1351">
        <v>0.43</v>
      </c>
      <c r="AH1351">
        <v>52.9</v>
      </c>
      <c r="AI1351">
        <v>16.52</v>
      </c>
      <c r="AJ1351">
        <v>6.67</v>
      </c>
      <c r="AK1351">
        <v>0</v>
      </c>
      <c r="AL1351">
        <v>0</v>
      </c>
      <c r="AM1351">
        <v>0.05</v>
      </c>
      <c r="AN1351">
        <f t="shared" si="64"/>
        <v>5</v>
      </c>
      <c r="AO1351" t="str">
        <f t="shared" si="65"/>
        <v>Thursday</v>
      </c>
    </row>
    <row r="1352" spans="1:41" x14ac:dyDescent="0.2">
      <c r="A1352" t="s">
        <v>41</v>
      </c>
      <c r="B1352" s="1">
        <v>45722</v>
      </c>
      <c r="C1352" s="1">
        <f t="shared" si="63"/>
        <v>45747</v>
      </c>
      <c r="D1352">
        <v>42</v>
      </c>
      <c r="E1352">
        <v>111</v>
      </c>
      <c r="F1352">
        <v>2</v>
      </c>
      <c r="G1352">
        <v>12</v>
      </c>
      <c r="H1352">
        <v>0</v>
      </c>
      <c r="I1352">
        <v>0</v>
      </c>
      <c r="J1352">
        <v>4</v>
      </c>
      <c r="K1352">
        <v>62</v>
      </c>
      <c r="L1352" t="s">
        <v>41</v>
      </c>
      <c r="M1352" t="s">
        <v>38</v>
      </c>
      <c r="N1352" s="1">
        <v>45722</v>
      </c>
      <c r="O1352" s="2">
        <v>0.5835069444444444</v>
      </c>
      <c r="P1352" s="2">
        <v>0.95792824074074079</v>
      </c>
      <c r="Q1352">
        <v>8.98</v>
      </c>
      <c r="R1352">
        <v>8.99</v>
      </c>
      <c r="S1352">
        <v>1.26</v>
      </c>
      <c r="T1352">
        <v>0</v>
      </c>
      <c r="U1352">
        <v>0</v>
      </c>
      <c r="V1352">
        <v>0.19</v>
      </c>
      <c r="W1352">
        <v>5.16</v>
      </c>
      <c r="X1352">
        <v>1.43</v>
      </c>
      <c r="Y1352">
        <v>0.95</v>
      </c>
      <c r="Z1352">
        <v>0</v>
      </c>
      <c r="AA1352">
        <v>0</v>
      </c>
      <c r="AB1352">
        <v>0.01</v>
      </c>
      <c r="AC1352">
        <v>8.99</v>
      </c>
      <c r="AD1352">
        <v>13.97</v>
      </c>
      <c r="AE1352">
        <v>0</v>
      </c>
      <c r="AF1352">
        <v>0</v>
      </c>
      <c r="AG1352">
        <v>2.17</v>
      </c>
      <c r="AH1352">
        <v>57.38</v>
      </c>
      <c r="AI1352">
        <v>15.9</v>
      </c>
      <c r="AJ1352">
        <v>10.52</v>
      </c>
      <c r="AK1352">
        <v>0</v>
      </c>
      <c r="AL1352">
        <v>0</v>
      </c>
      <c r="AM1352">
        <v>0.06</v>
      </c>
      <c r="AN1352">
        <f t="shared" si="64"/>
        <v>5</v>
      </c>
      <c r="AO1352" t="str">
        <f t="shared" si="65"/>
        <v>Thursday</v>
      </c>
    </row>
    <row r="1353" spans="1:41" x14ac:dyDescent="0.2">
      <c r="A1353" t="s">
        <v>42</v>
      </c>
      <c r="B1353" s="1">
        <v>45722</v>
      </c>
      <c r="C1353" s="1">
        <f t="shared" si="63"/>
        <v>45747</v>
      </c>
      <c r="D1353">
        <v>1</v>
      </c>
      <c r="E1353">
        <v>1</v>
      </c>
      <c r="F1353">
        <v>1</v>
      </c>
      <c r="G1353">
        <v>0</v>
      </c>
      <c r="H1353">
        <v>0</v>
      </c>
      <c r="I1353">
        <v>0</v>
      </c>
      <c r="J1353">
        <v>0</v>
      </c>
      <c r="K1353">
        <v>0</v>
      </c>
      <c r="L1353" t="s">
        <v>42</v>
      </c>
      <c r="M1353" t="s">
        <v>38</v>
      </c>
      <c r="N1353" s="1">
        <v>45722</v>
      </c>
      <c r="O1353" s="2">
        <v>0.58369212962962957</v>
      </c>
      <c r="P1353" s="2">
        <v>0.95629629629629631</v>
      </c>
      <c r="Q1353">
        <v>8.9499999999999993</v>
      </c>
      <c r="R1353">
        <v>7.91</v>
      </c>
      <c r="S1353">
        <v>0.13</v>
      </c>
      <c r="T1353">
        <v>0</v>
      </c>
      <c r="U1353">
        <v>0</v>
      </c>
      <c r="V1353">
        <v>0</v>
      </c>
      <c r="W1353">
        <v>0</v>
      </c>
      <c r="X1353">
        <v>0</v>
      </c>
      <c r="Y1353">
        <v>7.75</v>
      </c>
      <c r="Z1353">
        <v>0</v>
      </c>
      <c r="AA1353">
        <v>0</v>
      </c>
      <c r="AB1353">
        <v>0.03</v>
      </c>
      <c r="AC1353">
        <v>7.91</v>
      </c>
      <c r="AD1353">
        <v>1.6</v>
      </c>
      <c r="AE1353">
        <v>0</v>
      </c>
      <c r="AF1353">
        <v>0</v>
      </c>
      <c r="AG1353">
        <v>0.04</v>
      </c>
      <c r="AH1353">
        <v>0</v>
      </c>
      <c r="AI1353">
        <v>0</v>
      </c>
      <c r="AJ1353">
        <v>98.03</v>
      </c>
      <c r="AK1353">
        <v>0</v>
      </c>
      <c r="AL1353">
        <v>0</v>
      </c>
      <c r="AM1353">
        <v>0.33</v>
      </c>
      <c r="AN1353">
        <f t="shared" si="64"/>
        <v>5</v>
      </c>
      <c r="AO1353" t="str">
        <f t="shared" si="65"/>
        <v>Thursday</v>
      </c>
    </row>
    <row r="1354" spans="1:41" x14ac:dyDescent="0.2">
      <c r="A1354" t="s">
        <v>43</v>
      </c>
      <c r="B1354" s="1">
        <v>45722</v>
      </c>
      <c r="C1354" s="1">
        <f t="shared" si="63"/>
        <v>45747</v>
      </c>
      <c r="D1354">
        <v>24</v>
      </c>
      <c r="E1354">
        <v>66</v>
      </c>
      <c r="F1354">
        <v>1</v>
      </c>
      <c r="G1354">
        <v>8</v>
      </c>
      <c r="H1354">
        <v>15</v>
      </c>
      <c r="I1354">
        <v>1</v>
      </c>
      <c r="J1354">
        <v>0</v>
      </c>
      <c r="K1354">
        <v>30</v>
      </c>
      <c r="L1354" t="s">
        <v>43</v>
      </c>
      <c r="M1354" t="s">
        <v>38</v>
      </c>
      <c r="N1354" s="1">
        <v>45722</v>
      </c>
      <c r="O1354" s="2">
        <v>0.58277777777777773</v>
      </c>
      <c r="P1354" s="2">
        <v>0.95929398148148148</v>
      </c>
      <c r="Q1354">
        <v>9.0299999999999994</v>
      </c>
      <c r="R1354">
        <v>9.0399999999999991</v>
      </c>
      <c r="S1354">
        <v>1.81</v>
      </c>
      <c r="T1354">
        <v>0.31</v>
      </c>
      <c r="U1354">
        <v>0</v>
      </c>
      <c r="V1354">
        <v>0.64</v>
      </c>
      <c r="W1354">
        <v>4.0999999999999996</v>
      </c>
      <c r="X1354">
        <v>1.41</v>
      </c>
      <c r="Y1354">
        <v>0.77</v>
      </c>
      <c r="Z1354">
        <v>0</v>
      </c>
      <c r="AA1354">
        <v>0</v>
      </c>
      <c r="AB1354">
        <v>0</v>
      </c>
      <c r="AC1354">
        <v>9.0399999999999991</v>
      </c>
      <c r="AD1354">
        <v>19.989999999999998</v>
      </c>
      <c r="AE1354">
        <v>3.45</v>
      </c>
      <c r="AF1354">
        <v>0</v>
      </c>
      <c r="AG1354">
        <v>7.09</v>
      </c>
      <c r="AH1354">
        <v>45.31</v>
      </c>
      <c r="AI1354">
        <v>15.62</v>
      </c>
      <c r="AJ1354">
        <v>8.49</v>
      </c>
      <c r="AK1354">
        <v>0</v>
      </c>
      <c r="AL1354">
        <v>0</v>
      </c>
      <c r="AM1354">
        <v>0.04</v>
      </c>
      <c r="AN1354">
        <f t="shared" si="64"/>
        <v>5</v>
      </c>
      <c r="AO1354" t="str">
        <f t="shared" si="65"/>
        <v>Thursday</v>
      </c>
    </row>
    <row r="1355" spans="1:41" x14ac:dyDescent="0.2">
      <c r="B1355" s="1">
        <v>45722</v>
      </c>
      <c r="C1355" s="1">
        <f t="shared" si="63"/>
        <v>45747</v>
      </c>
      <c r="D1355">
        <v>772</v>
      </c>
      <c r="E1355">
        <v>0</v>
      </c>
      <c r="F1355">
        <v>0</v>
      </c>
      <c r="G1355">
        <v>0</v>
      </c>
      <c r="H1355">
        <v>0</v>
      </c>
      <c r="I1355">
        <v>0</v>
      </c>
      <c r="J1355">
        <v>0</v>
      </c>
      <c r="K1355">
        <v>0</v>
      </c>
      <c r="AN1355">
        <f t="shared" si="64"/>
        <v>5</v>
      </c>
      <c r="AO1355" t="str">
        <f t="shared" si="65"/>
        <v>Thursday</v>
      </c>
    </row>
    <row r="1356" spans="1:41" x14ac:dyDescent="0.2">
      <c r="A1356" t="s">
        <v>37</v>
      </c>
      <c r="B1356" s="1">
        <v>45721</v>
      </c>
      <c r="C1356" s="1">
        <f t="shared" si="63"/>
        <v>45747</v>
      </c>
      <c r="D1356">
        <v>29</v>
      </c>
      <c r="E1356">
        <v>79</v>
      </c>
      <c r="F1356">
        <v>11</v>
      </c>
      <c r="G1356">
        <v>2</v>
      </c>
      <c r="H1356">
        <v>7</v>
      </c>
      <c r="I1356">
        <v>0</v>
      </c>
      <c r="J1356">
        <v>2</v>
      </c>
      <c r="K1356">
        <v>45</v>
      </c>
      <c r="L1356" t="s">
        <v>37</v>
      </c>
      <c r="M1356" t="s">
        <v>38</v>
      </c>
      <c r="N1356" s="1">
        <v>45721</v>
      </c>
      <c r="O1356" s="2">
        <v>0.58340277777777783</v>
      </c>
      <c r="P1356" s="2">
        <v>0.9583680555555556</v>
      </c>
      <c r="Q1356">
        <v>9</v>
      </c>
      <c r="R1356">
        <v>8.18</v>
      </c>
      <c r="S1356">
        <v>1.96</v>
      </c>
      <c r="T1356">
        <v>0.05</v>
      </c>
      <c r="U1356">
        <v>0</v>
      </c>
      <c r="V1356">
        <v>0.26</v>
      </c>
      <c r="W1356">
        <v>5.7</v>
      </c>
      <c r="X1356">
        <v>0.19</v>
      </c>
      <c r="Y1356">
        <v>0</v>
      </c>
      <c r="Z1356">
        <v>0</v>
      </c>
      <c r="AA1356">
        <v>0</v>
      </c>
      <c r="AB1356">
        <v>0.03</v>
      </c>
      <c r="AC1356">
        <v>8.18</v>
      </c>
      <c r="AD1356">
        <v>23.94</v>
      </c>
      <c r="AE1356">
        <v>0.56000000000000005</v>
      </c>
      <c r="AF1356">
        <v>0</v>
      </c>
      <c r="AG1356">
        <v>3.14</v>
      </c>
      <c r="AH1356">
        <v>69.650000000000006</v>
      </c>
      <c r="AI1356">
        <v>2.3199999999999998</v>
      </c>
      <c r="AJ1356">
        <v>0</v>
      </c>
      <c r="AK1356">
        <v>0</v>
      </c>
      <c r="AL1356">
        <v>0</v>
      </c>
      <c r="AM1356">
        <v>0.39</v>
      </c>
      <c r="AN1356">
        <f t="shared" si="64"/>
        <v>4</v>
      </c>
      <c r="AO1356" t="str">
        <f t="shared" si="65"/>
        <v>Wednesday</v>
      </c>
    </row>
    <row r="1357" spans="1:41" x14ac:dyDescent="0.2">
      <c r="A1357" t="s">
        <v>39</v>
      </c>
      <c r="B1357" s="1">
        <v>45721</v>
      </c>
      <c r="C1357" s="1">
        <f t="shared" si="63"/>
        <v>45747</v>
      </c>
      <c r="D1357">
        <v>35</v>
      </c>
      <c r="E1357">
        <v>109</v>
      </c>
      <c r="F1357">
        <v>7</v>
      </c>
      <c r="G1357">
        <v>3</v>
      </c>
      <c r="H1357">
        <v>7</v>
      </c>
      <c r="I1357">
        <v>0</v>
      </c>
      <c r="J1357">
        <v>1</v>
      </c>
      <c r="K1357">
        <v>66</v>
      </c>
      <c r="L1357" t="s">
        <v>39</v>
      </c>
      <c r="M1357" t="s">
        <v>38</v>
      </c>
      <c r="N1357" s="1">
        <v>45721</v>
      </c>
      <c r="O1357" s="2">
        <v>0.58369212962962957</v>
      </c>
      <c r="P1357" s="2">
        <v>0.95851851851851855</v>
      </c>
      <c r="Q1357">
        <v>9</v>
      </c>
      <c r="R1357">
        <v>9</v>
      </c>
      <c r="S1357">
        <v>1.18</v>
      </c>
      <c r="T1357">
        <v>0.23</v>
      </c>
      <c r="U1357">
        <v>0</v>
      </c>
      <c r="V1357">
        <v>0.03</v>
      </c>
      <c r="W1357">
        <v>6.06</v>
      </c>
      <c r="X1357">
        <v>1.48</v>
      </c>
      <c r="Y1357">
        <v>0</v>
      </c>
      <c r="Z1357">
        <v>0</v>
      </c>
      <c r="AA1357">
        <v>0</v>
      </c>
      <c r="AB1357">
        <v>0</v>
      </c>
      <c r="AC1357">
        <v>9</v>
      </c>
      <c r="AD1357">
        <v>13.13</v>
      </c>
      <c r="AE1357">
        <v>2.61</v>
      </c>
      <c r="AF1357">
        <v>0</v>
      </c>
      <c r="AG1357">
        <v>0.36</v>
      </c>
      <c r="AH1357">
        <v>67.349999999999994</v>
      </c>
      <c r="AI1357">
        <v>16.5</v>
      </c>
      <c r="AJ1357">
        <v>0</v>
      </c>
      <c r="AK1357">
        <v>0</v>
      </c>
      <c r="AL1357">
        <v>0</v>
      </c>
      <c r="AM1357">
        <v>0.04</v>
      </c>
      <c r="AN1357">
        <f t="shared" si="64"/>
        <v>4</v>
      </c>
      <c r="AO1357" t="str">
        <f t="shared" si="65"/>
        <v>Wednesday</v>
      </c>
    </row>
    <row r="1358" spans="1:41" x14ac:dyDescent="0.2">
      <c r="A1358" t="s">
        <v>41</v>
      </c>
      <c r="B1358" s="1">
        <v>45721</v>
      </c>
      <c r="C1358" s="1">
        <f t="shared" si="63"/>
        <v>45747</v>
      </c>
      <c r="D1358">
        <v>37</v>
      </c>
      <c r="E1358">
        <v>95</v>
      </c>
      <c r="F1358">
        <v>8</v>
      </c>
      <c r="G1358">
        <v>2</v>
      </c>
      <c r="H1358">
        <v>5</v>
      </c>
      <c r="I1358">
        <v>0</v>
      </c>
      <c r="J1358">
        <v>1</v>
      </c>
      <c r="K1358">
        <v>61</v>
      </c>
      <c r="L1358" t="s">
        <v>41</v>
      </c>
      <c r="M1358" t="s">
        <v>38</v>
      </c>
      <c r="N1358" s="1">
        <v>45721</v>
      </c>
      <c r="O1358" s="2">
        <v>0.58420138888888884</v>
      </c>
      <c r="P1358" s="2">
        <v>0.95796296296296302</v>
      </c>
      <c r="Q1358">
        <v>8.9700000000000006</v>
      </c>
      <c r="R1358">
        <v>8.9700000000000006</v>
      </c>
      <c r="S1358">
        <v>1</v>
      </c>
      <c r="T1358">
        <v>0.04</v>
      </c>
      <c r="U1358">
        <v>0</v>
      </c>
      <c r="V1358">
        <v>0.21</v>
      </c>
      <c r="W1358">
        <v>6.25</v>
      </c>
      <c r="X1358">
        <v>1.46</v>
      </c>
      <c r="Y1358">
        <v>0</v>
      </c>
      <c r="Z1358">
        <v>0</v>
      </c>
      <c r="AA1358">
        <v>0</v>
      </c>
      <c r="AB1358">
        <v>0.01</v>
      </c>
      <c r="AC1358">
        <v>8.9700000000000006</v>
      </c>
      <c r="AD1358">
        <v>11.14</v>
      </c>
      <c r="AE1358">
        <v>0.47</v>
      </c>
      <c r="AF1358">
        <v>0</v>
      </c>
      <c r="AG1358">
        <v>2.36</v>
      </c>
      <c r="AH1358">
        <v>69.66</v>
      </c>
      <c r="AI1358">
        <v>16.29</v>
      </c>
      <c r="AJ1358">
        <v>0</v>
      </c>
      <c r="AK1358">
        <v>0</v>
      </c>
      <c r="AL1358">
        <v>0</v>
      </c>
      <c r="AM1358">
        <v>0.08</v>
      </c>
      <c r="AN1358">
        <f t="shared" si="64"/>
        <v>4</v>
      </c>
      <c r="AO1358" t="str">
        <f t="shared" si="65"/>
        <v>Wednesday</v>
      </c>
    </row>
    <row r="1359" spans="1:41" x14ac:dyDescent="0.2">
      <c r="A1359" t="s">
        <v>50</v>
      </c>
      <c r="B1359" s="1">
        <v>45721</v>
      </c>
      <c r="C1359" s="1">
        <f t="shared" si="63"/>
        <v>45747</v>
      </c>
      <c r="D1359">
        <v>1</v>
      </c>
      <c r="E1359">
        <v>2</v>
      </c>
      <c r="F1359">
        <v>1</v>
      </c>
      <c r="G1359">
        <v>0</v>
      </c>
      <c r="H1359">
        <v>0</v>
      </c>
      <c r="I1359">
        <v>0</v>
      </c>
      <c r="J1359">
        <v>0</v>
      </c>
      <c r="K1359">
        <v>0</v>
      </c>
      <c r="AN1359">
        <f t="shared" si="64"/>
        <v>4</v>
      </c>
      <c r="AO1359" t="str">
        <f t="shared" si="65"/>
        <v>Wednesday</v>
      </c>
    </row>
    <row r="1360" spans="1:41" x14ac:dyDescent="0.2">
      <c r="A1360" t="s">
        <v>42</v>
      </c>
      <c r="B1360" s="1">
        <v>45721</v>
      </c>
      <c r="C1360" s="1">
        <f t="shared" si="63"/>
        <v>45747</v>
      </c>
      <c r="D1360">
        <v>1</v>
      </c>
      <c r="E1360">
        <v>1</v>
      </c>
      <c r="F1360">
        <v>0</v>
      </c>
      <c r="G1360">
        <v>0</v>
      </c>
      <c r="H1360">
        <v>0</v>
      </c>
      <c r="I1360">
        <v>1</v>
      </c>
      <c r="J1360">
        <v>0</v>
      </c>
      <c r="K1360">
        <v>0</v>
      </c>
      <c r="L1360" t="s">
        <v>42</v>
      </c>
      <c r="M1360" t="s">
        <v>38</v>
      </c>
      <c r="N1360" s="1">
        <v>45721</v>
      </c>
      <c r="O1360" s="2">
        <v>0.58230324074074069</v>
      </c>
      <c r="P1360" s="2">
        <v>0.9597106481481481</v>
      </c>
      <c r="Q1360">
        <v>9.0500000000000007</v>
      </c>
      <c r="R1360">
        <v>8.92</v>
      </c>
      <c r="S1360">
        <v>0.09</v>
      </c>
      <c r="T1360">
        <v>1.37</v>
      </c>
      <c r="U1360">
        <v>0</v>
      </c>
      <c r="V1360">
        <v>0</v>
      </c>
      <c r="W1360">
        <v>0</v>
      </c>
      <c r="X1360">
        <v>0.49</v>
      </c>
      <c r="Y1360">
        <v>6.96</v>
      </c>
      <c r="Z1360">
        <v>0</v>
      </c>
      <c r="AA1360">
        <v>0</v>
      </c>
      <c r="AB1360">
        <v>0.01</v>
      </c>
      <c r="AC1360">
        <v>8.92</v>
      </c>
      <c r="AD1360">
        <v>1.04</v>
      </c>
      <c r="AE1360">
        <v>15.3</v>
      </c>
      <c r="AF1360">
        <v>0</v>
      </c>
      <c r="AG1360">
        <v>0.02</v>
      </c>
      <c r="AH1360">
        <v>0.01</v>
      </c>
      <c r="AI1360">
        <v>5.51</v>
      </c>
      <c r="AJ1360">
        <v>78</v>
      </c>
      <c r="AK1360">
        <v>0</v>
      </c>
      <c r="AL1360">
        <v>0</v>
      </c>
      <c r="AM1360">
        <v>0.12</v>
      </c>
      <c r="AN1360">
        <f t="shared" si="64"/>
        <v>4</v>
      </c>
      <c r="AO1360" t="str">
        <f t="shared" si="65"/>
        <v>Wednesday</v>
      </c>
    </row>
    <row r="1361" spans="1:41" x14ac:dyDescent="0.2">
      <c r="A1361" t="s">
        <v>43</v>
      </c>
      <c r="B1361" s="1">
        <v>45721</v>
      </c>
      <c r="C1361" s="1">
        <f t="shared" si="63"/>
        <v>45747</v>
      </c>
      <c r="D1361">
        <v>27</v>
      </c>
      <c r="E1361">
        <v>75</v>
      </c>
      <c r="F1361">
        <v>1</v>
      </c>
      <c r="G1361">
        <v>4</v>
      </c>
      <c r="H1361">
        <v>9</v>
      </c>
      <c r="I1361">
        <v>1</v>
      </c>
      <c r="J1361">
        <v>1</v>
      </c>
      <c r="K1361">
        <v>45</v>
      </c>
      <c r="L1361" t="s">
        <v>43</v>
      </c>
      <c r="M1361" t="s">
        <v>38</v>
      </c>
      <c r="N1361" s="1">
        <v>45721</v>
      </c>
      <c r="O1361" s="2">
        <v>0.58255787037037032</v>
      </c>
      <c r="P1361" s="2">
        <v>0.95920138888888884</v>
      </c>
      <c r="Q1361">
        <v>9.0500000000000007</v>
      </c>
      <c r="R1361">
        <v>9.0399999999999991</v>
      </c>
      <c r="S1361">
        <v>1.73</v>
      </c>
      <c r="T1361">
        <v>0.17</v>
      </c>
      <c r="U1361">
        <v>0</v>
      </c>
      <c r="V1361">
        <v>0.28000000000000003</v>
      </c>
      <c r="W1361">
        <v>5.15</v>
      </c>
      <c r="X1361">
        <v>1.49</v>
      </c>
      <c r="Y1361">
        <v>0.21</v>
      </c>
      <c r="Z1361">
        <v>0</v>
      </c>
      <c r="AA1361">
        <v>0</v>
      </c>
      <c r="AB1361">
        <v>0</v>
      </c>
      <c r="AC1361">
        <v>9.0399999999999991</v>
      </c>
      <c r="AD1361">
        <v>19.16</v>
      </c>
      <c r="AE1361">
        <v>1.9</v>
      </c>
      <c r="AF1361">
        <v>0</v>
      </c>
      <c r="AG1361">
        <v>3.11</v>
      </c>
      <c r="AH1361">
        <v>56.97</v>
      </c>
      <c r="AI1361">
        <v>16.489999999999998</v>
      </c>
      <c r="AJ1361">
        <v>2.3199999999999998</v>
      </c>
      <c r="AK1361">
        <v>0</v>
      </c>
      <c r="AL1361">
        <v>0</v>
      </c>
      <c r="AM1361">
        <v>0.05</v>
      </c>
      <c r="AN1361">
        <f t="shared" si="64"/>
        <v>4</v>
      </c>
      <c r="AO1361" t="str">
        <f t="shared" si="65"/>
        <v>Wednesday</v>
      </c>
    </row>
    <row r="1362" spans="1:41" x14ac:dyDescent="0.2">
      <c r="B1362" s="1">
        <v>45721</v>
      </c>
      <c r="C1362" s="1">
        <f t="shared" si="63"/>
        <v>45747</v>
      </c>
      <c r="D1362">
        <v>789</v>
      </c>
      <c r="E1362">
        <v>0</v>
      </c>
      <c r="F1362">
        <v>0</v>
      </c>
      <c r="G1362">
        <v>0</v>
      </c>
      <c r="H1362">
        <v>0</v>
      </c>
      <c r="I1362">
        <v>0</v>
      </c>
      <c r="J1362">
        <v>0</v>
      </c>
      <c r="K1362">
        <v>0</v>
      </c>
      <c r="AN1362">
        <f t="shared" si="64"/>
        <v>4</v>
      </c>
      <c r="AO1362" t="str">
        <f t="shared" si="65"/>
        <v>Wednesday</v>
      </c>
    </row>
    <row r="1363" spans="1:41" x14ac:dyDescent="0.2">
      <c r="A1363" t="s">
        <v>37</v>
      </c>
      <c r="B1363" s="1">
        <v>45720</v>
      </c>
      <c r="C1363" s="1">
        <f t="shared" si="63"/>
        <v>45747</v>
      </c>
      <c r="D1363">
        <v>36</v>
      </c>
      <c r="E1363">
        <v>104</v>
      </c>
      <c r="F1363">
        <v>11</v>
      </c>
      <c r="G1363">
        <v>18</v>
      </c>
      <c r="H1363">
        <v>3</v>
      </c>
      <c r="I1363">
        <v>0</v>
      </c>
      <c r="J1363">
        <v>0</v>
      </c>
      <c r="K1363">
        <v>56</v>
      </c>
      <c r="L1363" t="s">
        <v>37</v>
      </c>
      <c r="M1363" t="s">
        <v>38</v>
      </c>
      <c r="N1363" s="1">
        <v>45720</v>
      </c>
      <c r="O1363" s="2">
        <v>0.57981481481481478</v>
      </c>
      <c r="P1363" s="2">
        <v>0.95840277777777783</v>
      </c>
      <c r="Q1363">
        <v>9.1</v>
      </c>
      <c r="R1363">
        <v>9.0299999999999994</v>
      </c>
      <c r="S1363">
        <v>1.74</v>
      </c>
      <c r="T1363">
        <v>0.2</v>
      </c>
      <c r="U1363">
        <v>0</v>
      </c>
      <c r="V1363">
        <v>0.66</v>
      </c>
      <c r="W1363">
        <v>5.15</v>
      </c>
      <c r="X1363">
        <v>1.2</v>
      </c>
      <c r="Y1363">
        <v>0</v>
      </c>
      <c r="Z1363">
        <v>0</v>
      </c>
      <c r="AA1363">
        <v>0</v>
      </c>
      <c r="AB1363">
        <v>0.08</v>
      </c>
      <c r="AC1363">
        <v>9.0299999999999994</v>
      </c>
      <c r="AD1363">
        <v>19.32</v>
      </c>
      <c r="AE1363">
        <v>2.21</v>
      </c>
      <c r="AF1363">
        <v>0</v>
      </c>
      <c r="AG1363">
        <v>7.33</v>
      </c>
      <c r="AH1363">
        <v>57.01</v>
      </c>
      <c r="AI1363">
        <v>13.29</v>
      </c>
      <c r="AJ1363">
        <v>0</v>
      </c>
      <c r="AK1363">
        <v>0</v>
      </c>
      <c r="AL1363">
        <v>0</v>
      </c>
      <c r="AM1363">
        <v>0.84</v>
      </c>
      <c r="AN1363">
        <f t="shared" si="64"/>
        <v>3</v>
      </c>
      <c r="AO1363" t="str">
        <f t="shared" si="65"/>
        <v>Tuesday</v>
      </c>
    </row>
    <row r="1364" spans="1:41" x14ac:dyDescent="0.2">
      <c r="A1364" t="s">
        <v>39</v>
      </c>
      <c r="B1364" s="1">
        <v>45720</v>
      </c>
      <c r="C1364" s="1">
        <f t="shared" si="63"/>
        <v>45747</v>
      </c>
      <c r="D1364">
        <v>36</v>
      </c>
      <c r="E1364">
        <v>116</v>
      </c>
      <c r="F1364">
        <v>7</v>
      </c>
      <c r="G1364">
        <v>7</v>
      </c>
      <c r="H1364">
        <v>13</v>
      </c>
      <c r="I1364">
        <v>0</v>
      </c>
      <c r="J1364">
        <v>0</v>
      </c>
      <c r="K1364">
        <v>66</v>
      </c>
      <c r="L1364" t="s">
        <v>39</v>
      </c>
      <c r="M1364" t="s">
        <v>38</v>
      </c>
      <c r="N1364" s="1">
        <v>45720</v>
      </c>
      <c r="O1364" s="2">
        <v>0.58349537037037036</v>
      </c>
      <c r="P1364" s="2">
        <v>0.95854166666666663</v>
      </c>
      <c r="Q1364">
        <v>9</v>
      </c>
      <c r="R1364">
        <v>8.99</v>
      </c>
      <c r="S1364">
        <v>1.72</v>
      </c>
      <c r="T1364">
        <v>0.28000000000000003</v>
      </c>
      <c r="U1364">
        <v>0</v>
      </c>
      <c r="V1364">
        <v>7.0000000000000007E-2</v>
      </c>
      <c r="W1364">
        <v>5.43</v>
      </c>
      <c r="X1364">
        <v>1.49</v>
      </c>
      <c r="Y1364">
        <v>0</v>
      </c>
      <c r="Z1364">
        <v>0</v>
      </c>
      <c r="AA1364">
        <v>0</v>
      </c>
      <c r="AB1364">
        <v>0.01</v>
      </c>
      <c r="AC1364">
        <v>8.99</v>
      </c>
      <c r="AD1364">
        <v>19.100000000000001</v>
      </c>
      <c r="AE1364">
        <v>3.07</v>
      </c>
      <c r="AF1364">
        <v>0</v>
      </c>
      <c r="AG1364">
        <v>0.83</v>
      </c>
      <c r="AH1364">
        <v>60.39</v>
      </c>
      <c r="AI1364">
        <v>16.52</v>
      </c>
      <c r="AJ1364">
        <v>0</v>
      </c>
      <c r="AK1364">
        <v>0</v>
      </c>
      <c r="AL1364">
        <v>0</v>
      </c>
      <c r="AM1364">
        <v>0.09</v>
      </c>
      <c r="AN1364">
        <f t="shared" si="64"/>
        <v>3</v>
      </c>
      <c r="AO1364" t="str">
        <f t="shared" si="65"/>
        <v>Tuesday</v>
      </c>
    </row>
    <row r="1365" spans="1:41" x14ac:dyDescent="0.2">
      <c r="A1365" t="s">
        <v>41</v>
      </c>
      <c r="B1365" s="1">
        <v>45720</v>
      </c>
      <c r="C1365" s="1">
        <f t="shared" si="63"/>
        <v>45747</v>
      </c>
      <c r="D1365">
        <v>51</v>
      </c>
      <c r="E1365">
        <v>151</v>
      </c>
      <c r="F1365">
        <v>12</v>
      </c>
      <c r="G1365">
        <v>7</v>
      </c>
      <c r="H1365">
        <v>3</v>
      </c>
      <c r="I1365">
        <v>1</v>
      </c>
      <c r="J1365">
        <v>3</v>
      </c>
      <c r="K1365">
        <v>96</v>
      </c>
      <c r="L1365" t="s">
        <v>41</v>
      </c>
      <c r="M1365" t="s">
        <v>38</v>
      </c>
      <c r="N1365" s="1">
        <v>45720</v>
      </c>
      <c r="O1365" s="2">
        <v>0.58591435185185181</v>
      </c>
      <c r="P1365" s="2">
        <v>0.95762731481481478</v>
      </c>
      <c r="Q1365">
        <v>8.92</v>
      </c>
      <c r="R1365">
        <v>8.92</v>
      </c>
      <c r="S1365">
        <v>1.46</v>
      </c>
      <c r="T1365">
        <v>0.09</v>
      </c>
      <c r="U1365">
        <v>0</v>
      </c>
      <c r="V1365">
        <v>0.24</v>
      </c>
      <c r="W1365">
        <v>5.69</v>
      </c>
      <c r="X1365">
        <v>1.43</v>
      </c>
      <c r="Y1365">
        <v>0</v>
      </c>
      <c r="Z1365">
        <v>0</v>
      </c>
      <c r="AA1365">
        <v>0</v>
      </c>
      <c r="AB1365">
        <v>0.01</v>
      </c>
      <c r="AC1365">
        <v>8.92</v>
      </c>
      <c r="AD1365">
        <v>16.38</v>
      </c>
      <c r="AE1365">
        <v>0.97</v>
      </c>
      <c r="AF1365">
        <v>0</v>
      </c>
      <c r="AG1365">
        <v>2.72</v>
      </c>
      <c r="AH1365">
        <v>63.75</v>
      </c>
      <c r="AI1365">
        <v>16.059999999999999</v>
      </c>
      <c r="AJ1365">
        <v>0</v>
      </c>
      <c r="AK1365">
        <v>0</v>
      </c>
      <c r="AL1365">
        <v>0</v>
      </c>
      <c r="AM1365">
        <v>0.13</v>
      </c>
      <c r="AN1365">
        <f t="shared" si="64"/>
        <v>3</v>
      </c>
      <c r="AO1365" t="str">
        <f t="shared" si="65"/>
        <v>Tuesday</v>
      </c>
    </row>
    <row r="1366" spans="1:41" x14ac:dyDescent="0.2">
      <c r="A1366" t="s">
        <v>43</v>
      </c>
      <c r="B1366" s="1">
        <v>45720</v>
      </c>
      <c r="C1366" s="1">
        <f t="shared" si="63"/>
        <v>45747</v>
      </c>
      <c r="D1366">
        <v>45</v>
      </c>
      <c r="E1366">
        <v>138</v>
      </c>
      <c r="F1366">
        <v>3</v>
      </c>
      <c r="G1366">
        <v>8</v>
      </c>
      <c r="H1366">
        <v>4</v>
      </c>
      <c r="I1366">
        <v>0</v>
      </c>
      <c r="J1366">
        <v>4</v>
      </c>
      <c r="K1366">
        <v>93</v>
      </c>
      <c r="L1366" t="s">
        <v>43</v>
      </c>
      <c r="M1366" t="s">
        <v>38</v>
      </c>
      <c r="N1366" s="1">
        <v>45720</v>
      </c>
      <c r="O1366" s="2">
        <v>0.58263888888888893</v>
      </c>
      <c r="P1366" s="2">
        <v>0.95870370370370372</v>
      </c>
      <c r="Q1366">
        <v>9.02</v>
      </c>
      <c r="R1366">
        <v>9.02</v>
      </c>
      <c r="S1366">
        <v>0.72</v>
      </c>
      <c r="T1366">
        <v>0</v>
      </c>
      <c r="U1366">
        <v>0</v>
      </c>
      <c r="V1366">
        <v>0.25</v>
      </c>
      <c r="W1366">
        <v>5.73</v>
      </c>
      <c r="X1366">
        <v>1.48</v>
      </c>
      <c r="Y1366">
        <v>0.83</v>
      </c>
      <c r="Z1366">
        <v>0</v>
      </c>
      <c r="AA1366">
        <v>0</v>
      </c>
      <c r="AB1366">
        <v>0</v>
      </c>
      <c r="AC1366">
        <v>9.02</v>
      </c>
      <c r="AD1366">
        <v>8.02</v>
      </c>
      <c r="AE1366">
        <v>0</v>
      </c>
      <c r="AF1366">
        <v>0</v>
      </c>
      <c r="AG1366">
        <v>2.82</v>
      </c>
      <c r="AH1366">
        <v>63.53</v>
      </c>
      <c r="AI1366">
        <v>16.37</v>
      </c>
      <c r="AJ1366">
        <v>9.2200000000000006</v>
      </c>
      <c r="AK1366">
        <v>0</v>
      </c>
      <c r="AL1366">
        <v>0</v>
      </c>
      <c r="AM1366">
        <v>0.04</v>
      </c>
      <c r="AN1366">
        <f t="shared" si="64"/>
        <v>3</v>
      </c>
      <c r="AO1366" t="str">
        <f t="shared" si="65"/>
        <v>Tuesday</v>
      </c>
    </row>
    <row r="1367" spans="1:41" x14ac:dyDescent="0.2">
      <c r="B1367" s="1">
        <v>45720</v>
      </c>
      <c r="C1367" s="1">
        <f t="shared" si="63"/>
        <v>45747</v>
      </c>
      <c r="D1367">
        <v>792</v>
      </c>
      <c r="E1367">
        <v>0</v>
      </c>
      <c r="F1367">
        <v>0</v>
      </c>
      <c r="G1367">
        <v>0</v>
      </c>
      <c r="H1367">
        <v>0</v>
      </c>
      <c r="I1367">
        <v>0</v>
      </c>
      <c r="J1367">
        <v>0</v>
      </c>
      <c r="K1367">
        <v>0</v>
      </c>
      <c r="AN1367">
        <f t="shared" si="64"/>
        <v>3</v>
      </c>
      <c r="AO1367" t="str">
        <f t="shared" si="65"/>
        <v>Tuesday</v>
      </c>
    </row>
    <row r="1368" spans="1:41" x14ac:dyDescent="0.2">
      <c r="A1368" t="s">
        <v>37</v>
      </c>
      <c r="B1368" s="1">
        <v>45719</v>
      </c>
      <c r="C1368" s="1">
        <f t="shared" si="63"/>
        <v>45747</v>
      </c>
      <c r="D1368">
        <v>40</v>
      </c>
      <c r="E1368">
        <v>93</v>
      </c>
      <c r="F1368">
        <v>3</v>
      </c>
      <c r="G1368">
        <v>14</v>
      </c>
      <c r="H1368">
        <v>0</v>
      </c>
      <c r="I1368">
        <v>2</v>
      </c>
      <c r="J1368">
        <v>2</v>
      </c>
      <c r="K1368">
        <v>46</v>
      </c>
      <c r="L1368" t="s">
        <v>37</v>
      </c>
      <c r="M1368" t="s">
        <v>38</v>
      </c>
      <c r="N1368" s="1">
        <v>45719</v>
      </c>
      <c r="O1368" s="2">
        <v>0.58484953703703701</v>
      </c>
      <c r="P1368" s="2">
        <v>0.9586689814814815</v>
      </c>
      <c r="Q1368">
        <v>8.9700000000000006</v>
      </c>
      <c r="R1368">
        <v>8.0299999999999994</v>
      </c>
      <c r="S1368">
        <v>2.1800000000000002</v>
      </c>
      <c r="T1368">
        <v>0.28000000000000003</v>
      </c>
      <c r="U1368">
        <v>0</v>
      </c>
      <c r="V1368">
        <v>0.66</v>
      </c>
      <c r="W1368">
        <v>4.72</v>
      </c>
      <c r="X1368">
        <v>0.06</v>
      </c>
      <c r="Y1368">
        <v>0</v>
      </c>
      <c r="Z1368">
        <v>0</v>
      </c>
      <c r="AA1368">
        <v>0</v>
      </c>
      <c r="AB1368">
        <v>0.12</v>
      </c>
      <c r="AC1368">
        <v>8.0299999999999994</v>
      </c>
      <c r="AD1368">
        <v>27.08</v>
      </c>
      <c r="AE1368">
        <v>3.52</v>
      </c>
      <c r="AF1368">
        <v>0</v>
      </c>
      <c r="AG1368">
        <v>8.27</v>
      </c>
      <c r="AH1368">
        <v>58.82</v>
      </c>
      <c r="AI1368">
        <v>0.8</v>
      </c>
      <c r="AJ1368">
        <v>0</v>
      </c>
      <c r="AK1368">
        <v>0</v>
      </c>
      <c r="AL1368">
        <v>0</v>
      </c>
      <c r="AM1368">
        <v>1.52</v>
      </c>
      <c r="AN1368">
        <f t="shared" si="64"/>
        <v>2</v>
      </c>
      <c r="AO1368" t="str">
        <f t="shared" si="65"/>
        <v>Monday</v>
      </c>
    </row>
    <row r="1369" spans="1:41" x14ac:dyDescent="0.2">
      <c r="A1369" t="s">
        <v>39</v>
      </c>
      <c r="B1369" s="1">
        <v>45719</v>
      </c>
      <c r="C1369" s="1">
        <f t="shared" si="63"/>
        <v>45747</v>
      </c>
      <c r="D1369">
        <v>34</v>
      </c>
      <c r="E1369">
        <v>91</v>
      </c>
      <c r="F1369">
        <v>9</v>
      </c>
      <c r="G1369">
        <v>8</v>
      </c>
      <c r="H1369">
        <v>11</v>
      </c>
      <c r="I1369">
        <v>3</v>
      </c>
      <c r="J1369">
        <v>1</v>
      </c>
      <c r="K1369">
        <v>38</v>
      </c>
      <c r="L1369" t="s">
        <v>39</v>
      </c>
      <c r="M1369" t="s">
        <v>38</v>
      </c>
      <c r="N1369" s="1">
        <v>45719</v>
      </c>
      <c r="O1369" s="2">
        <v>0.58341435185185186</v>
      </c>
      <c r="P1369" s="2">
        <v>0.95851851851851855</v>
      </c>
      <c r="Q1369">
        <v>9</v>
      </c>
      <c r="R1369">
        <v>9</v>
      </c>
      <c r="S1369">
        <v>2.3199999999999998</v>
      </c>
      <c r="T1369">
        <v>0.08</v>
      </c>
      <c r="U1369">
        <v>0</v>
      </c>
      <c r="V1369">
        <v>7.0000000000000007E-2</v>
      </c>
      <c r="W1369">
        <v>5</v>
      </c>
      <c r="X1369">
        <v>1.49</v>
      </c>
      <c r="Y1369">
        <v>0.04</v>
      </c>
      <c r="Z1369">
        <v>0</v>
      </c>
      <c r="AA1369">
        <v>0</v>
      </c>
      <c r="AB1369">
        <v>0.01</v>
      </c>
      <c r="AC1369">
        <v>9</v>
      </c>
      <c r="AD1369">
        <v>25.75</v>
      </c>
      <c r="AE1369">
        <v>0.84</v>
      </c>
      <c r="AF1369">
        <v>0</v>
      </c>
      <c r="AG1369">
        <v>0.74</v>
      </c>
      <c r="AH1369">
        <v>55.62</v>
      </c>
      <c r="AI1369">
        <v>16.559999999999999</v>
      </c>
      <c r="AJ1369">
        <v>0.39</v>
      </c>
      <c r="AK1369">
        <v>0</v>
      </c>
      <c r="AL1369">
        <v>0</v>
      </c>
      <c r="AM1369">
        <v>0.09</v>
      </c>
      <c r="AN1369">
        <f t="shared" si="64"/>
        <v>2</v>
      </c>
      <c r="AO1369" t="str">
        <f t="shared" si="65"/>
        <v>Monday</v>
      </c>
    </row>
    <row r="1370" spans="1:41" x14ac:dyDescent="0.2">
      <c r="A1370" t="s">
        <v>41</v>
      </c>
      <c r="B1370" s="1">
        <v>45719</v>
      </c>
      <c r="C1370" s="1">
        <f t="shared" si="63"/>
        <v>45747</v>
      </c>
      <c r="D1370">
        <v>51</v>
      </c>
      <c r="E1370">
        <v>133</v>
      </c>
      <c r="F1370">
        <v>8</v>
      </c>
      <c r="G1370">
        <v>10</v>
      </c>
      <c r="H1370">
        <v>14</v>
      </c>
      <c r="I1370">
        <v>0</v>
      </c>
      <c r="J1370">
        <v>3</v>
      </c>
      <c r="K1370">
        <v>71</v>
      </c>
      <c r="L1370" t="s">
        <v>41</v>
      </c>
      <c r="M1370" t="s">
        <v>38</v>
      </c>
      <c r="N1370" s="1">
        <v>45719</v>
      </c>
      <c r="O1370" s="2">
        <v>0.5843518518518519</v>
      </c>
      <c r="P1370" s="2">
        <v>0.95784722222222218</v>
      </c>
      <c r="Q1370">
        <v>8.9700000000000006</v>
      </c>
      <c r="R1370">
        <v>8.9700000000000006</v>
      </c>
      <c r="S1370">
        <v>1.91</v>
      </c>
      <c r="T1370">
        <v>0</v>
      </c>
      <c r="U1370">
        <v>0</v>
      </c>
      <c r="V1370">
        <v>0.24</v>
      </c>
      <c r="W1370">
        <v>5.33</v>
      </c>
      <c r="X1370">
        <v>1.48</v>
      </c>
      <c r="Y1370">
        <v>0</v>
      </c>
      <c r="Z1370">
        <v>0</v>
      </c>
      <c r="AA1370">
        <v>0</v>
      </c>
      <c r="AB1370">
        <v>0.01</v>
      </c>
      <c r="AC1370">
        <v>8.9700000000000006</v>
      </c>
      <c r="AD1370">
        <v>21.31</v>
      </c>
      <c r="AE1370">
        <v>0</v>
      </c>
      <c r="AF1370">
        <v>0</v>
      </c>
      <c r="AG1370">
        <v>2.66</v>
      </c>
      <c r="AH1370">
        <v>59.43</v>
      </c>
      <c r="AI1370">
        <v>16.52</v>
      </c>
      <c r="AJ1370">
        <v>0</v>
      </c>
      <c r="AK1370">
        <v>0</v>
      </c>
      <c r="AL1370">
        <v>0</v>
      </c>
      <c r="AM1370">
        <v>0.08</v>
      </c>
      <c r="AN1370">
        <f t="shared" si="64"/>
        <v>2</v>
      </c>
      <c r="AO1370" t="str">
        <f t="shared" si="65"/>
        <v>Monday</v>
      </c>
    </row>
    <row r="1371" spans="1:41" x14ac:dyDescent="0.2">
      <c r="A1371" t="s">
        <v>42</v>
      </c>
      <c r="B1371" s="1">
        <v>45719</v>
      </c>
      <c r="C1371" s="1">
        <f t="shared" si="63"/>
        <v>45747</v>
      </c>
      <c r="D1371">
        <v>22</v>
      </c>
      <c r="E1371">
        <v>30</v>
      </c>
      <c r="F1371">
        <v>2</v>
      </c>
      <c r="G1371">
        <v>4</v>
      </c>
      <c r="H1371">
        <v>6</v>
      </c>
      <c r="I1371">
        <v>1</v>
      </c>
      <c r="J1371">
        <v>2</v>
      </c>
      <c r="K1371">
        <v>11</v>
      </c>
      <c r="L1371" t="s">
        <v>42</v>
      </c>
      <c r="M1371" t="s">
        <v>38</v>
      </c>
      <c r="N1371" s="1">
        <v>45719</v>
      </c>
      <c r="O1371" s="2">
        <v>0.58394675925925921</v>
      </c>
      <c r="P1371" s="2">
        <v>0.9670023148148148</v>
      </c>
      <c r="Q1371">
        <v>9.1999999999999993</v>
      </c>
      <c r="R1371">
        <v>9.19</v>
      </c>
      <c r="S1371">
        <v>1.4</v>
      </c>
      <c r="T1371">
        <v>0.84</v>
      </c>
      <c r="U1371">
        <v>0</v>
      </c>
      <c r="V1371">
        <v>0.39</v>
      </c>
      <c r="W1371">
        <v>2.1</v>
      </c>
      <c r="X1371">
        <v>1.46</v>
      </c>
      <c r="Y1371">
        <v>2.99</v>
      </c>
      <c r="Z1371">
        <v>0</v>
      </c>
      <c r="AA1371">
        <v>0</v>
      </c>
      <c r="AB1371">
        <v>0.01</v>
      </c>
      <c r="AC1371">
        <v>9.19</v>
      </c>
      <c r="AD1371">
        <v>15.18</v>
      </c>
      <c r="AE1371">
        <v>9.1300000000000008</v>
      </c>
      <c r="AF1371">
        <v>0</v>
      </c>
      <c r="AG1371">
        <v>4.28</v>
      </c>
      <c r="AH1371">
        <v>22.82</v>
      </c>
      <c r="AI1371">
        <v>15.89</v>
      </c>
      <c r="AJ1371">
        <v>32.57</v>
      </c>
      <c r="AK1371">
        <v>0</v>
      </c>
      <c r="AL1371">
        <v>0</v>
      </c>
      <c r="AM1371">
        <v>0.13</v>
      </c>
      <c r="AN1371">
        <f t="shared" si="64"/>
        <v>2</v>
      </c>
      <c r="AO1371" t="str">
        <f t="shared" si="65"/>
        <v>Monday</v>
      </c>
    </row>
    <row r="1372" spans="1:41" x14ac:dyDescent="0.2">
      <c r="A1372" t="s">
        <v>43</v>
      </c>
      <c r="B1372" s="1">
        <v>45719</v>
      </c>
      <c r="C1372" s="1">
        <f t="shared" si="63"/>
        <v>45747</v>
      </c>
      <c r="D1372">
        <v>59</v>
      </c>
      <c r="E1372">
        <v>157</v>
      </c>
      <c r="F1372">
        <v>13</v>
      </c>
      <c r="G1372">
        <v>6</v>
      </c>
      <c r="H1372">
        <v>2</v>
      </c>
      <c r="I1372">
        <v>0</v>
      </c>
      <c r="J1372">
        <v>0</v>
      </c>
      <c r="K1372">
        <v>100</v>
      </c>
      <c r="L1372" t="s">
        <v>43</v>
      </c>
      <c r="M1372" t="s">
        <v>38</v>
      </c>
      <c r="N1372" s="1">
        <v>45719</v>
      </c>
      <c r="O1372" s="2">
        <v>0.58204861111111106</v>
      </c>
      <c r="P1372" s="2">
        <v>0.95984953703703701</v>
      </c>
      <c r="Q1372">
        <v>9.07</v>
      </c>
      <c r="R1372">
        <v>8.7799999999999994</v>
      </c>
      <c r="S1372">
        <v>1.39</v>
      </c>
      <c r="T1372">
        <v>0</v>
      </c>
      <c r="U1372">
        <v>0</v>
      </c>
      <c r="V1372">
        <v>0.55000000000000004</v>
      </c>
      <c r="W1372">
        <v>4.78</v>
      </c>
      <c r="X1372">
        <v>1.49</v>
      </c>
      <c r="Y1372">
        <v>0.24</v>
      </c>
      <c r="Z1372">
        <v>0</v>
      </c>
      <c r="AA1372">
        <v>0.32</v>
      </c>
      <c r="AB1372">
        <v>0.01</v>
      </c>
      <c r="AC1372">
        <v>8.7799999999999994</v>
      </c>
      <c r="AD1372">
        <v>15.82</v>
      </c>
      <c r="AE1372">
        <v>0</v>
      </c>
      <c r="AF1372">
        <v>0</v>
      </c>
      <c r="AG1372">
        <v>6.23</v>
      </c>
      <c r="AH1372">
        <v>54.44</v>
      </c>
      <c r="AI1372">
        <v>17.010000000000002</v>
      </c>
      <c r="AJ1372">
        <v>2.72</v>
      </c>
      <c r="AK1372">
        <v>0</v>
      </c>
      <c r="AL1372">
        <v>3.62</v>
      </c>
      <c r="AM1372">
        <v>0.16</v>
      </c>
      <c r="AN1372">
        <f t="shared" si="64"/>
        <v>2</v>
      </c>
      <c r="AO1372" t="str">
        <f t="shared" si="65"/>
        <v>Monday</v>
      </c>
    </row>
    <row r="1373" spans="1:41" x14ac:dyDescent="0.2">
      <c r="B1373" s="1">
        <v>45719</v>
      </c>
      <c r="C1373" s="1">
        <f t="shared" si="63"/>
        <v>45747</v>
      </c>
      <c r="D1373">
        <v>815</v>
      </c>
      <c r="E1373">
        <v>0</v>
      </c>
      <c r="F1373">
        <v>0</v>
      </c>
      <c r="G1373">
        <v>0</v>
      </c>
      <c r="H1373">
        <v>0</v>
      </c>
      <c r="I1373">
        <v>0</v>
      </c>
      <c r="J1373">
        <v>0</v>
      </c>
      <c r="K1373">
        <v>0</v>
      </c>
      <c r="AN1373">
        <f t="shared" si="64"/>
        <v>2</v>
      </c>
      <c r="AO1373" t="str">
        <f t="shared" si="65"/>
        <v>Monday</v>
      </c>
    </row>
    <row r="1374" spans="1:41" x14ac:dyDescent="0.2">
      <c r="A1374" t="s">
        <v>37</v>
      </c>
      <c r="B1374" s="1">
        <v>45716</v>
      </c>
      <c r="C1374" s="1">
        <f t="shared" si="63"/>
        <v>45716</v>
      </c>
      <c r="D1374">
        <v>24</v>
      </c>
      <c r="E1374">
        <v>75</v>
      </c>
      <c r="F1374">
        <v>13</v>
      </c>
      <c r="G1374">
        <v>2</v>
      </c>
      <c r="H1374">
        <v>7</v>
      </c>
      <c r="I1374">
        <v>0</v>
      </c>
      <c r="J1374">
        <v>1</v>
      </c>
      <c r="K1374">
        <v>50</v>
      </c>
      <c r="L1374" t="s">
        <v>37</v>
      </c>
      <c r="M1374" t="s">
        <v>38</v>
      </c>
      <c r="N1374" s="1">
        <v>45716</v>
      </c>
      <c r="O1374" s="2">
        <v>0.583587962962963</v>
      </c>
      <c r="P1374" s="2">
        <v>0.95840277777777783</v>
      </c>
      <c r="Q1374">
        <v>9</v>
      </c>
      <c r="R1374">
        <v>8.0500000000000007</v>
      </c>
      <c r="S1374">
        <v>0.84</v>
      </c>
      <c r="T1374">
        <v>0</v>
      </c>
      <c r="U1374">
        <v>0</v>
      </c>
      <c r="V1374">
        <v>0.28999999999999998</v>
      </c>
      <c r="W1374">
        <v>6.52</v>
      </c>
      <c r="X1374">
        <v>0.3</v>
      </c>
      <c r="Y1374">
        <v>0</v>
      </c>
      <c r="Z1374">
        <v>0</v>
      </c>
      <c r="AA1374">
        <v>0</v>
      </c>
      <c r="AB1374">
        <v>0.1</v>
      </c>
      <c r="AC1374">
        <v>8.0500000000000007</v>
      </c>
      <c r="AD1374">
        <v>10.41</v>
      </c>
      <c r="AE1374">
        <v>0</v>
      </c>
      <c r="AF1374">
        <v>0</v>
      </c>
      <c r="AG1374">
        <v>3.61</v>
      </c>
      <c r="AH1374">
        <v>80.95</v>
      </c>
      <c r="AI1374">
        <v>3.76</v>
      </c>
      <c r="AJ1374">
        <v>0</v>
      </c>
      <c r="AK1374">
        <v>0</v>
      </c>
      <c r="AL1374">
        <v>0</v>
      </c>
      <c r="AM1374">
        <v>1.27</v>
      </c>
      <c r="AN1374">
        <f t="shared" si="64"/>
        <v>6</v>
      </c>
      <c r="AO1374" t="str">
        <f t="shared" si="65"/>
        <v>Friday</v>
      </c>
    </row>
    <row r="1375" spans="1:41" x14ac:dyDescent="0.2">
      <c r="A1375" t="s">
        <v>39</v>
      </c>
      <c r="B1375" s="1">
        <v>45716</v>
      </c>
      <c r="C1375" s="1">
        <f t="shared" si="63"/>
        <v>45716</v>
      </c>
      <c r="D1375">
        <v>36</v>
      </c>
      <c r="E1375">
        <v>72</v>
      </c>
      <c r="F1375">
        <v>8</v>
      </c>
      <c r="G1375">
        <v>2</v>
      </c>
      <c r="H1375">
        <v>4</v>
      </c>
      <c r="I1375">
        <v>0</v>
      </c>
      <c r="J1375">
        <v>0</v>
      </c>
      <c r="K1375">
        <v>44</v>
      </c>
      <c r="L1375" t="s">
        <v>39</v>
      </c>
      <c r="M1375" t="s">
        <v>38</v>
      </c>
      <c r="N1375" s="1">
        <v>45716</v>
      </c>
      <c r="O1375" s="2">
        <v>0.58341435185185186</v>
      </c>
      <c r="P1375" s="2">
        <v>0.95898148148148143</v>
      </c>
      <c r="Q1375">
        <v>9</v>
      </c>
      <c r="R1375">
        <v>9.01</v>
      </c>
      <c r="S1375">
        <v>1.65</v>
      </c>
      <c r="T1375">
        <v>0.16</v>
      </c>
      <c r="U1375">
        <v>0</v>
      </c>
      <c r="V1375">
        <v>0.04</v>
      </c>
      <c r="W1375">
        <v>5.69</v>
      </c>
      <c r="X1375">
        <v>1.47</v>
      </c>
      <c r="Y1375">
        <v>0</v>
      </c>
      <c r="Z1375">
        <v>0</v>
      </c>
      <c r="AA1375">
        <v>0</v>
      </c>
      <c r="AB1375">
        <v>0</v>
      </c>
      <c r="AC1375">
        <v>9.01</v>
      </c>
      <c r="AD1375">
        <v>18.329999999999998</v>
      </c>
      <c r="AE1375">
        <v>1.72</v>
      </c>
      <c r="AF1375">
        <v>0</v>
      </c>
      <c r="AG1375">
        <v>0.42</v>
      </c>
      <c r="AH1375">
        <v>63.13</v>
      </c>
      <c r="AI1375">
        <v>16.350000000000001</v>
      </c>
      <c r="AJ1375">
        <v>0</v>
      </c>
      <c r="AK1375">
        <v>0</v>
      </c>
      <c r="AL1375">
        <v>0</v>
      </c>
      <c r="AM1375">
        <v>0.05</v>
      </c>
      <c r="AN1375">
        <f t="shared" si="64"/>
        <v>6</v>
      </c>
      <c r="AO1375" t="str">
        <f t="shared" si="65"/>
        <v>Friday</v>
      </c>
    </row>
    <row r="1376" spans="1:41" x14ac:dyDescent="0.2">
      <c r="A1376" t="s">
        <v>41</v>
      </c>
      <c r="B1376" s="1">
        <v>45716</v>
      </c>
      <c r="C1376" s="1">
        <f t="shared" si="63"/>
        <v>45716</v>
      </c>
      <c r="D1376">
        <v>34</v>
      </c>
      <c r="E1376">
        <v>87</v>
      </c>
      <c r="F1376">
        <v>9</v>
      </c>
      <c r="G1376">
        <v>5</v>
      </c>
      <c r="H1376">
        <v>8</v>
      </c>
      <c r="I1376">
        <v>0</v>
      </c>
      <c r="J1376">
        <v>2</v>
      </c>
      <c r="K1376">
        <v>49</v>
      </c>
      <c r="L1376" t="s">
        <v>41</v>
      </c>
      <c r="M1376" t="s">
        <v>38</v>
      </c>
      <c r="N1376" s="1">
        <v>45716</v>
      </c>
      <c r="O1376" s="2">
        <v>0.58490740740740743</v>
      </c>
      <c r="P1376" s="2">
        <v>0.95785879629629633</v>
      </c>
      <c r="Q1376">
        <v>8.9499999999999993</v>
      </c>
      <c r="R1376">
        <v>8.9499999999999993</v>
      </c>
      <c r="S1376">
        <v>0.93</v>
      </c>
      <c r="T1376">
        <v>0</v>
      </c>
      <c r="U1376">
        <v>0</v>
      </c>
      <c r="V1376">
        <v>0.26</v>
      </c>
      <c r="W1376">
        <v>6.32</v>
      </c>
      <c r="X1376">
        <v>1.45</v>
      </c>
      <c r="Y1376">
        <v>0</v>
      </c>
      <c r="Z1376">
        <v>0</v>
      </c>
      <c r="AA1376">
        <v>0</v>
      </c>
      <c r="AB1376">
        <v>0</v>
      </c>
      <c r="AC1376">
        <v>8.9499999999999993</v>
      </c>
      <c r="AD1376">
        <v>10.35</v>
      </c>
      <c r="AE1376">
        <v>0</v>
      </c>
      <c r="AF1376">
        <v>0</v>
      </c>
      <c r="AG1376">
        <v>2.86</v>
      </c>
      <c r="AH1376">
        <v>70.56</v>
      </c>
      <c r="AI1376">
        <v>16.190000000000001</v>
      </c>
      <c r="AJ1376">
        <v>0</v>
      </c>
      <c r="AK1376">
        <v>0</v>
      </c>
      <c r="AL1376">
        <v>0</v>
      </c>
      <c r="AM1376">
        <v>0.04</v>
      </c>
      <c r="AN1376">
        <f t="shared" si="64"/>
        <v>6</v>
      </c>
      <c r="AO1376" t="str">
        <f t="shared" si="65"/>
        <v>Friday</v>
      </c>
    </row>
    <row r="1377" spans="1:41" x14ac:dyDescent="0.2">
      <c r="A1377" t="s">
        <v>42</v>
      </c>
      <c r="B1377" s="1">
        <v>45716</v>
      </c>
      <c r="C1377" s="1">
        <f t="shared" si="63"/>
        <v>45716</v>
      </c>
      <c r="D1377">
        <v>15</v>
      </c>
      <c r="E1377">
        <v>22</v>
      </c>
      <c r="F1377">
        <v>1</v>
      </c>
      <c r="G1377">
        <v>0</v>
      </c>
      <c r="H1377">
        <v>0</v>
      </c>
      <c r="I1377">
        <v>0</v>
      </c>
      <c r="J1377">
        <v>0</v>
      </c>
      <c r="K1377">
        <v>16</v>
      </c>
      <c r="L1377" t="s">
        <v>42</v>
      </c>
      <c r="M1377" t="s">
        <v>38</v>
      </c>
      <c r="N1377" s="1">
        <v>45716</v>
      </c>
      <c r="O1377" s="2">
        <v>0.58299768518518513</v>
      </c>
      <c r="P1377" s="2">
        <v>0.96403935185185186</v>
      </c>
      <c r="Q1377">
        <v>9.15</v>
      </c>
      <c r="R1377">
        <v>9.15</v>
      </c>
      <c r="S1377">
        <v>0.7</v>
      </c>
      <c r="T1377">
        <v>0.63</v>
      </c>
      <c r="U1377">
        <v>0</v>
      </c>
      <c r="V1377">
        <v>0.14000000000000001</v>
      </c>
      <c r="W1377">
        <v>4.74</v>
      </c>
      <c r="X1377">
        <v>1.48</v>
      </c>
      <c r="Y1377">
        <v>1.45</v>
      </c>
      <c r="Z1377">
        <v>0</v>
      </c>
      <c r="AA1377">
        <v>0</v>
      </c>
      <c r="AB1377">
        <v>0</v>
      </c>
      <c r="AC1377">
        <v>9.15</v>
      </c>
      <c r="AD1377">
        <v>7.68</v>
      </c>
      <c r="AE1377">
        <v>6.88</v>
      </c>
      <c r="AF1377">
        <v>0</v>
      </c>
      <c r="AG1377">
        <v>1.55</v>
      </c>
      <c r="AH1377">
        <v>51.81</v>
      </c>
      <c r="AI1377">
        <v>16.190000000000001</v>
      </c>
      <c r="AJ1377">
        <v>15.84</v>
      </c>
      <c r="AK1377">
        <v>0</v>
      </c>
      <c r="AL1377">
        <v>0</v>
      </c>
      <c r="AM1377">
        <v>0.05</v>
      </c>
      <c r="AN1377">
        <f t="shared" si="64"/>
        <v>6</v>
      </c>
      <c r="AO1377" t="str">
        <f t="shared" si="65"/>
        <v>Friday</v>
      </c>
    </row>
    <row r="1378" spans="1:41" x14ac:dyDescent="0.2">
      <c r="A1378" t="s">
        <v>43</v>
      </c>
      <c r="B1378" s="1">
        <v>45716</v>
      </c>
      <c r="C1378" s="1">
        <f t="shared" si="63"/>
        <v>45716</v>
      </c>
      <c r="D1378">
        <v>31</v>
      </c>
      <c r="E1378">
        <v>87</v>
      </c>
      <c r="F1378">
        <v>9</v>
      </c>
      <c r="G1378">
        <v>5</v>
      </c>
      <c r="H1378">
        <v>23</v>
      </c>
      <c r="I1378">
        <v>0</v>
      </c>
      <c r="J1378">
        <v>0</v>
      </c>
      <c r="K1378">
        <v>41</v>
      </c>
      <c r="L1378" t="s">
        <v>43</v>
      </c>
      <c r="M1378" t="s">
        <v>38</v>
      </c>
      <c r="N1378" s="1">
        <v>45716</v>
      </c>
      <c r="O1378" s="2">
        <v>0.58319444444444446</v>
      </c>
      <c r="P1378" s="2">
        <v>0.95846064814814813</v>
      </c>
      <c r="Q1378">
        <v>9.02</v>
      </c>
      <c r="R1378">
        <v>8.99</v>
      </c>
      <c r="S1378">
        <v>1.32</v>
      </c>
      <c r="T1378">
        <v>0.33</v>
      </c>
      <c r="U1378">
        <v>0</v>
      </c>
      <c r="V1378">
        <v>0.35</v>
      </c>
      <c r="W1378">
        <v>4.67</v>
      </c>
      <c r="X1378">
        <v>1.91</v>
      </c>
      <c r="Y1378">
        <v>0.24</v>
      </c>
      <c r="Z1378">
        <v>0</v>
      </c>
      <c r="AA1378">
        <v>0.16</v>
      </c>
      <c r="AB1378">
        <v>0.01</v>
      </c>
      <c r="AC1378">
        <v>8.99</v>
      </c>
      <c r="AD1378">
        <v>14.71</v>
      </c>
      <c r="AE1378">
        <v>3.69</v>
      </c>
      <c r="AF1378">
        <v>0</v>
      </c>
      <c r="AG1378">
        <v>3.88</v>
      </c>
      <c r="AH1378">
        <v>51.98</v>
      </c>
      <c r="AI1378">
        <v>21.25</v>
      </c>
      <c r="AJ1378">
        <v>2.67</v>
      </c>
      <c r="AK1378">
        <v>0</v>
      </c>
      <c r="AL1378">
        <v>1.72</v>
      </c>
      <c r="AM1378">
        <v>0.1</v>
      </c>
      <c r="AN1378">
        <f t="shared" si="64"/>
        <v>6</v>
      </c>
      <c r="AO1378" t="str">
        <f t="shared" si="65"/>
        <v>Friday</v>
      </c>
    </row>
    <row r="1379" spans="1:41" x14ac:dyDescent="0.2">
      <c r="B1379" s="1">
        <v>45716</v>
      </c>
      <c r="C1379" s="1">
        <f t="shared" si="63"/>
        <v>45716</v>
      </c>
      <c r="D1379">
        <v>781</v>
      </c>
      <c r="E1379">
        <v>0</v>
      </c>
      <c r="F1379">
        <v>0</v>
      </c>
      <c r="G1379">
        <v>0</v>
      </c>
      <c r="H1379">
        <v>0</v>
      </c>
      <c r="I1379">
        <v>0</v>
      </c>
      <c r="J1379">
        <v>0</v>
      </c>
      <c r="K1379">
        <v>0</v>
      </c>
      <c r="AN1379">
        <f t="shared" si="64"/>
        <v>6</v>
      </c>
      <c r="AO1379" t="str">
        <f t="shared" si="65"/>
        <v>Friday</v>
      </c>
    </row>
    <row r="1380" spans="1:41" x14ac:dyDescent="0.2">
      <c r="A1380" t="s">
        <v>37</v>
      </c>
      <c r="B1380" s="1">
        <v>45715</v>
      </c>
      <c r="C1380" s="1">
        <f t="shared" si="63"/>
        <v>45716</v>
      </c>
      <c r="D1380">
        <v>37</v>
      </c>
      <c r="E1380">
        <v>93</v>
      </c>
      <c r="F1380">
        <v>5</v>
      </c>
      <c r="G1380">
        <v>4</v>
      </c>
      <c r="H1380">
        <v>2</v>
      </c>
      <c r="I1380">
        <v>0</v>
      </c>
      <c r="J1380">
        <v>2</v>
      </c>
      <c r="K1380">
        <v>58</v>
      </c>
      <c r="L1380" t="s">
        <v>37</v>
      </c>
      <c r="M1380" t="s">
        <v>38</v>
      </c>
      <c r="N1380" s="1">
        <v>45715</v>
      </c>
      <c r="O1380" s="2">
        <v>0.58387731481481486</v>
      </c>
      <c r="P1380" s="2">
        <v>0.95839120370370368</v>
      </c>
      <c r="Q1380">
        <v>9</v>
      </c>
      <c r="R1380">
        <v>8.99</v>
      </c>
      <c r="S1380">
        <v>1.76</v>
      </c>
      <c r="T1380">
        <v>0.3</v>
      </c>
      <c r="U1380">
        <v>0</v>
      </c>
      <c r="V1380">
        <v>0.38</v>
      </c>
      <c r="W1380">
        <v>4.91</v>
      </c>
      <c r="X1380">
        <v>1.24</v>
      </c>
      <c r="Y1380">
        <v>0.4</v>
      </c>
      <c r="Z1380">
        <v>0</v>
      </c>
      <c r="AA1380">
        <v>0</v>
      </c>
      <c r="AB1380">
        <v>0.01</v>
      </c>
      <c r="AC1380">
        <v>8.99</v>
      </c>
      <c r="AD1380">
        <v>19.57</v>
      </c>
      <c r="AE1380">
        <v>3.34</v>
      </c>
      <c r="AF1380">
        <v>0</v>
      </c>
      <c r="AG1380">
        <v>4.24</v>
      </c>
      <c r="AH1380">
        <v>54.59</v>
      </c>
      <c r="AI1380">
        <v>13.76</v>
      </c>
      <c r="AJ1380">
        <v>4.4400000000000004</v>
      </c>
      <c r="AK1380">
        <v>0</v>
      </c>
      <c r="AL1380">
        <v>0</v>
      </c>
      <c r="AM1380">
        <v>0.06</v>
      </c>
      <c r="AN1380">
        <f t="shared" si="64"/>
        <v>5</v>
      </c>
      <c r="AO1380" t="str">
        <f t="shared" si="65"/>
        <v>Thursday</v>
      </c>
    </row>
    <row r="1381" spans="1:41" x14ac:dyDescent="0.2">
      <c r="A1381" t="s">
        <v>39</v>
      </c>
      <c r="B1381" s="1">
        <v>45715</v>
      </c>
      <c r="C1381" s="1">
        <f t="shared" si="63"/>
        <v>45716</v>
      </c>
      <c r="D1381">
        <v>47</v>
      </c>
      <c r="E1381">
        <v>98</v>
      </c>
      <c r="F1381">
        <v>13</v>
      </c>
      <c r="G1381">
        <v>3</v>
      </c>
      <c r="H1381">
        <v>13</v>
      </c>
      <c r="I1381">
        <v>0</v>
      </c>
      <c r="J1381">
        <v>0</v>
      </c>
      <c r="K1381">
        <v>46</v>
      </c>
      <c r="L1381" t="s">
        <v>39</v>
      </c>
      <c r="M1381" t="s">
        <v>38</v>
      </c>
      <c r="N1381" s="1">
        <v>45715</v>
      </c>
      <c r="O1381" s="2">
        <v>0.58380787037037041</v>
      </c>
      <c r="P1381" s="2">
        <v>0.95837962962962964</v>
      </c>
      <c r="Q1381">
        <v>9</v>
      </c>
      <c r="R1381">
        <v>8.99</v>
      </c>
      <c r="S1381">
        <v>2.2200000000000002</v>
      </c>
      <c r="T1381">
        <v>0.13</v>
      </c>
      <c r="U1381">
        <v>0</v>
      </c>
      <c r="V1381">
        <v>0.05</v>
      </c>
      <c r="W1381">
        <v>4.8</v>
      </c>
      <c r="X1381">
        <v>1.47</v>
      </c>
      <c r="Y1381">
        <v>0.32</v>
      </c>
      <c r="Z1381">
        <v>0</v>
      </c>
      <c r="AA1381">
        <v>0</v>
      </c>
      <c r="AB1381">
        <v>0</v>
      </c>
      <c r="AC1381">
        <v>8.99</v>
      </c>
      <c r="AD1381">
        <v>24.67</v>
      </c>
      <c r="AE1381">
        <v>1.44</v>
      </c>
      <c r="AF1381">
        <v>0</v>
      </c>
      <c r="AG1381">
        <v>0.6</v>
      </c>
      <c r="AH1381">
        <v>53.35</v>
      </c>
      <c r="AI1381">
        <v>16.32</v>
      </c>
      <c r="AJ1381">
        <v>3.58</v>
      </c>
      <c r="AK1381">
        <v>0</v>
      </c>
      <c r="AL1381">
        <v>0</v>
      </c>
      <c r="AM1381">
        <v>0.05</v>
      </c>
      <c r="AN1381">
        <f t="shared" si="64"/>
        <v>5</v>
      </c>
      <c r="AO1381" t="str">
        <f t="shared" si="65"/>
        <v>Thursday</v>
      </c>
    </row>
    <row r="1382" spans="1:41" x14ac:dyDescent="0.2">
      <c r="A1382" t="s">
        <v>42</v>
      </c>
      <c r="B1382" s="1">
        <v>45715</v>
      </c>
      <c r="C1382" s="1">
        <f t="shared" si="63"/>
        <v>45716</v>
      </c>
      <c r="D1382">
        <v>35</v>
      </c>
      <c r="E1382">
        <v>49</v>
      </c>
      <c r="F1382">
        <v>3</v>
      </c>
      <c r="G1382">
        <v>1</v>
      </c>
      <c r="H1382">
        <v>2</v>
      </c>
      <c r="I1382">
        <v>0</v>
      </c>
      <c r="J1382">
        <v>1</v>
      </c>
      <c r="K1382">
        <v>27</v>
      </c>
      <c r="L1382" t="s">
        <v>42</v>
      </c>
      <c r="M1382" t="s">
        <v>38</v>
      </c>
      <c r="N1382" s="1">
        <v>45715</v>
      </c>
      <c r="O1382" s="2">
        <v>0.58280092592592592</v>
      </c>
      <c r="P1382" s="2">
        <v>0.96077546296296301</v>
      </c>
      <c r="Q1382">
        <v>9.07</v>
      </c>
      <c r="R1382">
        <v>9.07</v>
      </c>
      <c r="S1382">
        <v>1.57</v>
      </c>
      <c r="T1382">
        <v>0.83</v>
      </c>
      <c r="U1382">
        <v>0</v>
      </c>
      <c r="V1382">
        <v>0.3</v>
      </c>
      <c r="W1382">
        <v>3.63</v>
      </c>
      <c r="X1382">
        <v>1.47</v>
      </c>
      <c r="Y1382">
        <v>1.26</v>
      </c>
      <c r="Z1382">
        <v>0</v>
      </c>
      <c r="AA1382">
        <v>0</v>
      </c>
      <c r="AB1382">
        <v>0.01</v>
      </c>
      <c r="AC1382">
        <v>9.07</v>
      </c>
      <c r="AD1382">
        <v>17.309999999999999</v>
      </c>
      <c r="AE1382">
        <v>9.17</v>
      </c>
      <c r="AF1382">
        <v>0</v>
      </c>
      <c r="AG1382">
        <v>3.28</v>
      </c>
      <c r="AH1382">
        <v>40.020000000000003</v>
      </c>
      <c r="AI1382">
        <v>16.25</v>
      </c>
      <c r="AJ1382">
        <v>13.9</v>
      </c>
      <c r="AK1382">
        <v>0</v>
      </c>
      <c r="AL1382">
        <v>0</v>
      </c>
      <c r="AM1382">
        <v>7.0000000000000007E-2</v>
      </c>
      <c r="AN1382">
        <f t="shared" si="64"/>
        <v>5</v>
      </c>
      <c r="AO1382" t="str">
        <f t="shared" si="65"/>
        <v>Thursday</v>
      </c>
    </row>
    <row r="1383" spans="1:41" x14ac:dyDescent="0.2">
      <c r="A1383" t="s">
        <v>43</v>
      </c>
      <c r="B1383" s="1">
        <v>45715</v>
      </c>
      <c r="C1383" s="1">
        <f t="shared" si="63"/>
        <v>45716</v>
      </c>
      <c r="D1383">
        <v>54</v>
      </c>
      <c r="E1383">
        <v>139</v>
      </c>
      <c r="F1383">
        <v>3</v>
      </c>
      <c r="G1383">
        <v>7</v>
      </c>
      <c r="H1383">
        <v>10</v>
      </c>
      <c r="I1383">
        <v>0</v>
      </c>
      <c r="J1383">
        <v>0</v>
      </c>
      <c r="K1383">
        <v>79</v>
      </c>
      <c r="L1383" t="s">
        <v>43</v>
      </c>
      <c r="M1383" t="s">
        <v>38</v>
      </c>
      <c r="N1383" s="1">
        <v>45715</v>
      </c>
      <c r="O1383" s="2">
        <v>0.58341435185185186</v>
      </c>
      <c r="P1383" s="2">
        <v>0.9623842592592593</v>
      </c>
      <c r="Q1383">
        <v>9.08</v>
      </c>
      <c r="R1383">
        <v>9.1</v>
      </c>
      <c r="S1383">
        <v>1.06</v>
      </c>
      <c r="T1383">
        <v>0.26</v>
      </c>
      <c r="U1383">
        <v>0</v>
      </c>
      <c r="V1383">
        <v>0.71</v>
      </c>
      <c r="W1383">
        <v>4.88</v>
      </c>
      <c r="X1383">
        <v>1.48</v>
      </c>
      <c r="Y1383">
        <v>0.71</v>
      </c>
      <c r="Z1383">
        <v>0</v>
      </c>
      <c r="AA1383">
        <v>0</v>
      </c>
      <c r="AB1383">
        <v>0</v>
      </c>
      <c r="AC1383">
        <v>9.1</v>
      </c>
      <c r="AD1383">
        <v>11.64</v>
      </c>
      <c r="AE1383">
        <v>2.9</v>
      </c>
      <c r="AF1383">
        <v>0</v>
      </c>
      <c r="AG1383">
        <v>7.76</v>
      </c>
      <c r="AH1383">
        <v>53.62</v>
      </c>
      <c r="AI1383">
        <v>16.27</v>
      </c>
      <c r="AJ1383">
        <v>7.76</v>
      </c>
      <c r="AK1383">
        <v>0</v>
      </c>
      <c r="AL1383">
        <v>0.03</v>
      </c>
      <c r="AM1383">
        <v>0.04</v>
      </c>
      <c r="AN1383">
        <f t="shared" si="64"/>
        <v>5</v>
      </c>
      <c r="AO1383" t="str">
        <f t="shared" si="65"/>
        <v>Thursday</v>
      </c>
    </row>
    <row r="1384" spans="1:41" x14ac:dyDescent="0.2">
      <c r="B1384" s="1">
        <v>45715</v>
      </c>
      <c r="C1384" s="1">
        <f t="shared" si="63"/>
        <v>45716</v>
      </c>
      <c r="D1384">
        <v>793</v>
      </c>
      <c r="E1384">
        <v>0</v>
      </c>
      <c r="F1384">
        <v>0</v>
      </c>
      <c r="G1384">
        <v>0</v>
      </c>
      <c r="H1384">
        <v>0</v>
      </c>
      <c r="I1384">
        <v>0</v>
      </c>
      <c r="J1384">
        <v>0</v>
      </c>
      <c r="K1384">
        <v>0</v>
      </c>
      <c r="AN1384">
        <f t="shared" si="64"/>
        <v>5</v>
      </c>
      <c r="AO1384" t="str">
        <f t="shared" si="65"/>
        <v>Thursday</v>
      </c>
    </row>
    <row r="1385" spans="1:41" x14ac:dyDescent="0.2">
      <c r="A1385" t="s">
        <v>37</v>
      </c>
      <c r="B1385" s="1">
        <v>45714</v>
      </c>
      <c r="C1385" s="1">
        <f t="shared" si="63"/>
        <v>45716</v>
      </c>
      <c r="D1385">
        <v>35</v>
      </c>
      <c r="E1385">
        <v>80</v>
      </c>
      <c r="F1385">
        <v>8</v>
      </c>
      <c r="G1385">
        <v>6</v>
      </c>
      <c r="H1385">
        <v>1</v>
      </c>
      <c r="I1385">
        <v>0</v>
      </c>
      <c r="J1385">
        <v>2</v>
      </c>
      <c r="K1385">
        <v>39</v>
      </c>
      <c r="L1385" t="s">
        <v>37</v>
      </c>
      <c r="M1385" t="s">
        <v>38</v>
      </c>
      <c r="N1385" s="1">
        <v>45714</v>
      </c>
      <c r="O1385" s="2">
        <v>0.58399305555555558</v>
      </c>
      <c r="P1385" s="2">
        <v>0.96231481481481485</v>
      </c>
      <c r="Q1385">
        <v>9.08</v>
      </c>
      <c r="R1385">
        <v>8.14</v>
      </c>
      <c r="S1385">
        <v>1.57</v>
      </c>
      <c r="T1385">
        <v>0.08</v>
      </c>
      <c r="U1385">
        <v>0</v>
      </c>
      <c r="V1385">
        <v>0.34</v>
      </c>
      <c r="W1385">
        <v>5.83</v>
      </c>
      <c r="X1385">
        <v>7.0000000000000007E-2</v>
      </c>
      <c r="Y1385">
        <v>0.17</v>
      </c>
      <c r="Z1385">
        <v>0</v>
      </c>
      <c r="AA1385">
        <v>0</v>
      </c>
      <c r="AB1385">
        <v>0.09</v>
      </c>
      <c r="AC1385">
        <v>8.14</v>
      </c>
      <c r="AD1385">
        <v>19.309999999999999</v>
      </c>
      <c r="AE1385">
        <v>1.01</v>
      </c>
      <c r="AF1385">
        <v>0</v>
      </c>
      <c r="AG1385">
        <v>4.12</v>
      </c>
      <c r="AH1385">
        <v>71.62</v>
      </c>
      <c r="AI1385">
        <v>0.81</v>
      </c>
      <c r="AJ1385">
        <v>2.0699999999999998</v>
      </c>
      <c r="AK1385">
        <v>0</v>
      </c>
      <c r="AL1385">
        <v>0</v>
      </c>
      <c r="AM1385">
        <v>1.06</v>
      </c>
      <c r="AN1385">
        <f t="shared" si="64"/>
        <v>4</v>
      </c>
      <c r="AO1385" t="str">
        <f t="shared" si="65"/>
        <v>Wednesday</v>
      </c>
    </row>
    <row r="1386" spans="1:41" x14ac:dyDescent="0.2">
      <c r="A1386" t="s">
        <v>39</v>
      </c>
      <c r="B1386" s="1">
        <v>45714</v>
      </c>
      <c r="C1386" s="1">
        <f t="shared" si="63"/>
        <v>45716</v>
      </c>
      <c r="D1386">
        <v>32</v>
      </c>
      <c r="E1386">
        <v>66</v>
      </c>
      <c r="F1386">
        <v>3</v>
      </c>
      <c r="G1386">
        <v>9</v>
      </c>
      <c r="H1386">
        <v>7</v>
      </c>
      <c r="I1386">
        <v>0</v>
      </c>
      <c r="J1386">
        <v>2</v>
      </c>
      <c r="K1386">
        <v>31</v>
      </c>
      <c r="L1386" t="s">
        <v>39</v>
      </c>
      <c r="M1386" t="s">
        <v>38</v>
      </c>
      <c r="N1386" s="1">
        <v>45714</v>
      </c>
      <c r="O1386" s="2">
        <v>0.58344907407407409</v>
      </c>
      <c r="P1386" s="2">
        <v>0.95844907407407409</v>
      </c>
      <c r="Q1386">
        <v>9</v>
      </c>
      <c r="R1386">
        <v>8.9700000000000006</v>
      </c>
      <c r="S1386">
        <v>2.33</v>
      </c>
      <c r="T1386">
        <v>7.0000000000000007E-2</v>
      </c>
      <c r="U1386">
        <v>0</v>
      </c>
      <c r="V1386">
        <v>0.06</v>
      </c>
      <c r="W1386">
        <v>5.01</v>
      </c>
      <c r="X1386">
        <v>1.48</v>
      </c>
      <c r="Y1386">
        <v>0</v>
      </c>
      <c r="Z1386">
        <v>0</v>
      </c>
      <c r="AA1386">
        <v>0</v>
      </c>
      <c r="AB1386">
        <v>0.01</v>
      </c>
      <c r="AC1386">
        <v>8.9700000000000006</v>
      </c>
      <c r="AD1386">
        <v>26</v>
      </c>
      <c r="AE1386">
        <v>0.82</v>
      </c>
      <c r="AF1386">
        <v>0</v>
      </c>
      <c r="AG1386">
        <v>0.67</v>
      </c>
      <c r="AH1386">
        <v>55.86</v>
      </c>
      <c r="AI1386">
        <v>16.55</v>
      </c>
      <c r="AJ1386">
        <v>0</v>
      </c>
      <c r="AK1386">
        <v>0</v>
      </c>
      <c r="AL1386">
        <v>0</v>
      </c>
      <c r="AM1386">
        <v>0.1</v>
      </c>
      <c r="AN1386">
        <f t="shared" si="64"/>
        <v>4</v>
      </c>
      <c r="AO1386" t="str">
        <f t="shared" si="65"/>
        <v>Wednesday</v>
      </c>
    </row>
    <row r="1387" spans="1:41" x14ac:dyDescent="0.2">
      <c r="A1387" t="s">
        <v>41</v>
      </c>
      <c r="B1387" s="1">
        <v>45714</v>
      </c>
      <c r="C1387" s="1">
        <f t="shared" si="63"/>
        <v>45716</v>
      </c>
      <c r="D1387">
        <v>35</v>
      </c>
      <c r="E1387">
        <v>81</v>
      </c>
      <c r="F1387">
        <v>3</v>
      </c>
      <c r="G1387">
        <v>7</v>
      </c>
      <c r="H1387">
        <v>5</v>
      </c>
      <c r="I1387">
        <v>0</v>
      </c>
      <c r="J1387">
        <v>2</v>
      </c>
      <c r="K1387">
        <v>41</v>
      </c>
      <c r="L1387" t="s">
        <v>41</v>
      </c>
      <c r="M1387" t="s">
        <v>38</v>
      </c>
      <c r="N1387" s="1">
        <v>45714</v>
      </c>
      <c r="O1387" s="2">
        <v>0.58444444444444443</v>
      </c>
      <c r="P1387" s="2">
        <v>0.79137731481481477</v>
      </c>
      <c r="Q1387">
        <v>4.97</v>
      </c>
      <c r="R1387">
        <v>4.97</v>
      </c>
      <c r="S1387">
        <v>0.81</v>
      </c>
      <c r="T1387">
        <v>0.06</v>
      </c>
      <c r="U1387">
        <v>0</v>
      </c>
      <c r="V1387">
        <v>0.2</v>
      </c>
      <c r="W1387">
        <v>3.4</v>
      </c>
      <c r="X1387">
        <v>0.49</v>
      </c>
      <c r="Y1387">
        <v>0</v>
      </c>
      <c r="Z1387">
        <v>0</v>
      </c>
      <c r="AA1387">
        <v>0</v>
      </c>
      <c r="AB1387">
        <v>0</v>
      </c>
      <c r="AC1387">
        <v>4.97</v>
      </c>
      <c r="AD1387">
        <v>16.39</v>
      </c>
      <c r="AE1387">
        <v>1.1299999999999999</v>
      </c>
      <c r="AF1387">
        <v>0</v>
      </c>
      <c r="AG1387">
        <v>4.13</v>
      </c>
      <c r="AH1387">
        <v>68.38</v>
      </c>
      <c r="AI1387">
        <v>9.89</v>
      </c>
      <c r="AJ1387">
        <v>0</v>
      </c>
      <c r="AK1387">
        <v>0</v>
      </c>
      <c r="AL1387">
        <v>0</v>
      </c>
      <c r="AM1387">
        <v>0.08</v>
      </c>
      <c r="AN1387">
        <f t="shared" si="64"/>
        <v>4</v>
      </c>
      <c r="AO1387" t="str">
        <f t="shared" si="65"/>
        <v>Wednesday</v>
      </c>
    </row>
    <row r="1388" spans="1:41" x14ac:dyDescent="0.2">
      <c r="A1388" t="s">
        <v>42</v>
      </c>
      <c r="B1388" s="1">
        <v>45714</v>
      </c>
      <c r="C1388" s="1">
        <f t="shared" si="63"/>
        <v>45716</v>
      </c>
      <c r="D1388">
        <v>26</v>
      </c>
      <c r="E1388">
        <v>35</v>
      </c>
      <c r="F1388">
        <v>2</v>
      </c>
      <c r="G1388">
        <v>2</v>
      </c>
      <c r="H1388">
        <v>3</v>
      </c>
      <c r="I1388">
        <v>0</v>
      </c>
      <c r="J1388">
        <v>1</v>
      </c>
      <c r="K1388">
        <v>22</v>
      </c>
      <c r="L1388" t="s">
        <v>42</v>
      </c>
      <c r="M1388" t="s">
        <v>38</v>
      </c>
      <c r="N1388" s="1">
        <v>45714</v>
      </c>
      <c r="O1388" s="2">
        <v>0.58362268518518523</v>
      </c>
      <c r="P1388" s="2">
        <v>0.95891203703703709</v>
      </c>
      <c r="Q1388">
        <v>9</v>
      </c>
      <c r="R1388">
        <v>9.01</v>
      </c>
      <c r="S1388">
        <v>0.73</v>
      </c>
      <c r="T1388">
        <v>0.82</v>
      </c>
      <c r="U1388">
        <v>0</v>
      </c>
      <c r="V1388">
        <v>0.18</v>
      </c>
      <c r="W1388">
        <v>4.18</v>
      </c>
      <c r="X1388">
        <v>1.46</v>
      </c>
      <c r="Y1388">
        <v>1.64</v>
      </c>
      <c r="Z1388">
        <v>0</v>
      </c>
      <c r="AA1388">
        <v>0</v>
      </c>
      <c r="AB1388">
        <v>0.01</v>
      </c>
      <c r="AC1388">
        <v>9.01</v>
      </c>
      <c r="AD1388">
        <v>8.07</v>
      </c>
      <c r="AE1388">
        <v>9.08</v>
      </c>
      <c r="AF1388">
        <v>0</v>
      </c>
      <c r="AG1388">
        <v>2.0299999999999998</v>
      </c>
      <c r="AH1388">
        <v>46.37</v>
      </c>
      <c r="AI1388">
        <v>16.22</v>
      </c>
      <c r="AJ1388">
        <v>18.16</v>
      </c>
      <c r="AK1388">
        <v>0</v>
      </c>
      <c r="AL1388">
        <v>0</v>
      </c>
      <c r="AM1388">
        <v>0.06</v>
      </c>
      <c r="AN1388">
        <f t="shared" si="64"/>
        <v>4</v>
      </c>
      <c r="AO1388" t="str">
        <f t="shared" si="65"/>
        <v>Wednesday</v>
      </c>
    </row>
    <row r="1389" spans="1:41" x14ac:dyDescent="0.2">
      <c r="A1389" t="s">
        <v>43</v>
      </c>
      <c r="B1389" s="1">
        <v>45714</v>
      </c>
      <c r="C1389" s="1">
        <f t="shared" si="63"/>
        <v>45716</v>
      </c>
      <c r="D1389">
        <v>35</v>
      </c>
      <c r="E1389">
        <v>126</v>
      </c>
      <c r="F1389">
        <v>4</v>
      </c>
      <c r="G1389">
        <v>5</v>
      </c>
      <c r="H1389">
        <v>27</v>
      </c>
      <c r="I1389">
        <v>0</v>
      </c>
      <c r="J1389">
        <v>1</v>
      </c>
      <c r="K1389">
        <v>57</v>
      </c>
      <c r="L1389" t="s">
        <v>43</v>
      </c>
      <c r="M1389" t="s">
        <v>38</v>
      </c>
      <c r="N1389" s="1">
        <v>45714</v>
      </c>
      <c r="O1389" s="2">
        <v>0.58225694444444442</v>
      </c>
      <c r="P1389" s="2">
        <v>0.96070601851851856</v>
      </c>
      <c r="Q1389">
        <v>9.08</v>
      </c>
      <c r="R1389">
        <v>9.08</v>
      </c>
      <c r="S1389">
        <v>1.17</v>
      </c>
      <c r="T1389">
        <v>0.26</v>
      </c>
      <c r="U1389">
        <v>0</v>
      </c>
      <c r="V1389">
        <v>0.5</v>
      </c>
      <c r="W1389">
        <v>5.44</v>
      </c>
      <c r="X1389">
        <v>1.49</v>
      </c>
      <c r="Y1389">
        <v>0.23</v>
      </c>
      <c r="Z1389">
        <v>0</v>
      </c>
      <c r="AA1389">
        <v>0</v>
      </c>
      <c r="AB1389">
        <v>0</v>
      </c>
      <c r="AC1389">
        <v>9.08</v>
      </c>
      <c r="AD1389">
        <v>12.9</v>
      </c>
      <c r="AE1389">
        <v>2.83</v>
      </c>
      <c r="AF1389">
        <v>0</v>
      </c>
      <c r="AG1389">
        <v>5.45</v>
      </c>
      <c r="AH1389">
        <v>59.93</v>
      </c>
      <c r="AI1389">
        <v>16.36</v>
      </c>
      <c r="AJ1389">
        <v>2.48</v>
      </c>
      <c r="AK1389">
        <v>0</v>
      </c>
      <c r="AL1389">
        <v>0</v>
      </c>
      <c r="AM1389">
        <v>0.04</v>
      </c>
      <c r="AN1389">
        <f t="shared" si="64"/>
        <v>4</v>
      </c>
      <c r="AO1389" t="str">
        <f t="shared" si="65"/>
        <v>Wednesday</v>
      </c>
    </row>
    <row r="1390" spans="1:41" x14ac:dyDescent="0.2">
      <c r="B1390" s="1">
        <v>45714</v>
      </c>
      <c r="C1390" s="1">
        <f t="shared" si="63"/>
        <v>45716</v>
      </c>
      <c r="D1390">
        <v>810</v>
      </c>
      <c r="E1390">
        <v>0</v>
      </c>
      <c r="F1390">
        <v>0</v>
      </c>
      <c r="G1390">
        <v>0</v>
      </c>
      <c r="H1390">
        <v>0</v>
      </c>
      <c r="I1390">
        <v>0</v>
      </c>
      <c r="J1390">
        <v>0</v>
      </c>
      <c r="K1390">
        <v>0</v>
      </c>
      <c r="AN1390">
        <f t="shared" si="64"/>
        <v>4</v>
      </c>
      <c r="AO1390" t="str">
        <f t="shared" si="65"/>
        <v>Wednesday</v>
      </c>
    </row>
    <row r="1391" spans="1:41" x14ac:dyDescent="0.2">
      <c r="A1391" t="s">
        <v>37</v>
      </c>
      <c r="B1391" s="1">
        <v>45713</v>
      </c>
      <c r="C1391" s="1">
        <f t="shared" si="63"/>
        <v>45716</v>
      </c>
      <c r="D1391">
        <v>35</v>
      </c>
      <c r="E1391">
        <v>75</v>
      </c>
      <c r="F1391">
        <v>3</v>
      </c>
      <c r="G1391">
        <v>2</v>
      </c>
      <c r="H1391">
        <v>10</v>
      </c>
      <c r="I1391">
        <v>3</v>
      </c>
      <c r="J1391">
        <v>0</v>
      </c>
      <c r="K1391">
        <v>37</v>
      </c>
      <c r="L1391" t="s">
        <v>37</v>
      </c>
      <c r="M1391" t="s">
        <v>38</v>
      </c>
      <c r="N1391" s="1">
        <v>45713</v>
      </c>
      <c r="O1391" s="2">
        <v>0.58414351851851853</v>
      </c>
      <c r="P1391" s="2">
        <v>0.95899305555555558</v>
      </c>
      <c r="Q1391">
        <v>8.98</v>
      </c>
      <c r="R1391">
        <v>7.9</v>
      </c>
      <c r="S1391">
        <v>1.87</v>
      </c>
      <c r="T1391">
        <v>0.78</v>
      </c>
      <c r="U1391">
        <v>0</v>
      </c>
      <c r="V1391">
        <v>0.46</v>
      </c>
      <c r="W1391">
        <v>4.32</v>
      </c>
      <c r="X1391">
        <v>0.16</v>
      </c>
      <c r="Y1391">
        <v>0.14000000000000001</v>
      </c>
      <c r="Z1391">
        <v>0</v>
      </c>
      <c r="AA1391">
        <v>0</v>
      </c>
      <c r="AB1391">
        <v>0.17</v>
      </c>
      <c r="AC1391">
        <v>7.9</v>
      </c>
      <c r="AD1391">
        <v>23.69</v>
      </c>
      <c r="AE1391">
        <v>9.84</v>
      </c>
      <c r="AF1391">
        <v>0</v>
      </c>
      <c r="AG1391">
        <v>5.8</v>
      </c>
      <c r="AH1391">
        <v>54.72</v>
      </c>
      <c r="AI1391">
        <v>2.06</v>
      </c>
      <c r="AJ1391">
        <v>1.71</v>
      </c>
      <c r="AK1391">
        <v>0</v>
      </c>
      <c r="AL1391">
        <v>0</v>
      </c>
      <c r="AM1391">
        <v>2.1800000000000002</v>
      </c>
      <c r="AN1391">
        <f t="shared" si="64"/>
        <v>3</v>
      </c>
      <c r="AO1391" t="str">
        <f t="shared" si="65"/>
        <v>Tuesday</v>
      </c>
    </row>
    <row r="1392" spans="1:41" x14ac:dyDescent="0.2">
      <c r="A1392" t="s">
        <v>39</v>
      </c>
      <c r="B1392" s="1">
        <v>45713</v>
      </c>
      <c r="C1392" s="1">
        <f t="shared" si="63"/>
        <v>45716</v>
      </c>
      <c r="D1392">
        <v>39</v>
      </c>
      <c r="E1392">
        <v>90</v>
      </c>
      <c r="F1392">
        <v>16</v>
      </c>
      <c r="G1392">
        <v>11</v>
      </c>
      <c r="H1392">
        <v>5</v>
      </c>
      <c r="I1392">
        <v>4</v>
      </c>
      <c r="J1392">
        <v>1</v>
      </c>
      <c r="K1392">
        <v>44</v>
      </c>
      <c r="L1392" t="s">
        <v>39</v>
      </c>
      <c r="M1392" t="s">
        <v>38</v>
      </c>
      <c r="N1392" s="1">
        <v>45713</v>
      </c>
      <c r="O1392" s="2">
        <v>0.58341435185185186</v>
      </c>
      <c r="P1392" s="2">
        <v>0.95840277777777783</v>
      </c>
      <c r="Q1392">
        <v>9</v>
      </c>
      <c r="R1392">
        <v>9</v>
      </c>
      <c r="S1392">
        <v>2.7</v>
      </c>
      <c r="T1392">
        <v>0.1</v>
      </c>
      <c r="U1392">
        <v>0</v>
      </c>
      <c r="V1392">
        <v>0.05</v>
      </c>
      <c r="W1392">
        <v>4.6500000000000004</v>
      </c>
      <c r="X1392">
        <v>1.5</v>
      </c>
      <c r="Y1392">
        <v>0</v>
      </c>
      <c r="Z1392">
        <v>0</v>
      </c>
      <c r="AA1392">
        <v>0</v>
      </c>
      <c r="AB1392">
        <v>0</v>
      </c>
      <c r="AC1392">
        <v>9</v>
      </c>
      <c r="AD1392">
        <v>30.02</v>
      </c>
      <c r="AE1392">
        <v>1.0900000000000001</v>
      </c>
      <c r="AF1392">
        <v>0</v>
      </c>
      <c r="AG1392">
        <v>0.51</v>
      </c>
      <c r="AH1392">
        <v>51.69</v>
      </c>
      <c r="AI1392">
        <v>16.649999999999999</v>
      </c>
      <c r="AJ1392">
        <v>0</v>
      </c>
      <c r="AK1392">
        <v>0</v>
      </c>
      <c r="AL1392">
        <v>0</v>
      </c>
      <c r="AM1392">
        <v>0.04</v>
      </c>
      <c r="AN1392">
        <f t="shared" si="64"/>
        <v>3</v>
      </c>
      <c r="AO1392" t="str">
        <f t="shared" si="65"/>
        <v>Tuesday</v>
      </c>
    </row>
    <row r="1393" spans="1:41" x14ac:dyDescent="0.2">
      <c r="A1393" t="s">
        <v>41</v>
      </c>
      <c r="B1393" s="1">
        <v>45713</v>
      </c>
      <c r="C1393" s="1">
        <f t="shared" si="63"/>
        <v>45716</v>
      </c>
      <c r="D1393">
        <v>42</v>
      </c>
      <c r="E1393">
        <v>94</v>
      </c>
      <c r="F1393">
        <v>9</v>
      </c>
      <c r="G1393">
        <v>2</v>
      </c>
      <c r="H1393">
        <v>2</v>
      </c>
      <c r="I1393">
        <v>0</v>
      </c>
      <c r="J1393">
        <v>2</v>
      </c>
      <c r="K1393">
        <v>50</v>
      </c>
      <c r="L1393" t="s">
        <v>41</v>
      </c>
      <c r="M1393" t="s">
        <v>38</v>
      </c>
      <c r="N1393" s="1">
        <v>45713</v>
      </c>
      <c r="O1393" s="2">
        <v>0.63872685185185185</v>
      </c>
      <c r="P1393" s="2">
        <v>0.95900462962962962</v>
      </c>
      <c r="Q1393">
        <v>7.68</v>
      </c>
      <c r="R1393">
        <v>7.69</v>
      </c>
      <c r="S1393">
        <v>1</v>
      </c>
      <c r="T1393">
        <v>0</v>
      </c>
      <c r="U1393">
        <v>0</v>
      </c>
      <c r="V1393">
        <v>0.23</v>
      </c>
      <c r="W1393">
        <v>4.97</v>
      </c>
      <c r="X1393">
        <v>1.47</v>
      </c>
      <c r="Y1393">
        <v>0</v>
      </c>
      <c r="Z1393">
        <v>0</v>
      </c>
      <c r="AA1393">
        <v>0.02</v>
      </c>
      <c r="AB1393">
        <v>0</v>
      </c>
      <c r="AC1393">
        <v>7.69</v>
      </c>
      <c r="AD1393">
        <v>13.05</v>
      </c>
      <c r="AE1393">
        <v>0</v>
      </c>
      <c r="AF1393">
        <v>0</v>
      </c>
      <c r="AG1393">
        <v>2.96</v>
      </c>
      <c r="AH1393">
        <v>64.61</v>
      </c>
      <c r="AI1393">
        <v>19.05</v>
      </c>
      <c r="AJ1393">
        <v>0</v>
      </c>
      <c r="AK1393">
        <v>0</v>
      </c>
      <c r="AL1393">
        <v>0.27</v>
      </c>
      <c r="AM1393">
        <v>0.05</v>
      </c>
      <c r="AN1393">
        <f t="shared" si="64"/>
        <v>3</v>
      </c>
      <c r="AO1393" t="str">
        <f t="shared" si="65"/>
        <v>Tuesday</v>
      </c>
    </row>
    <row r="1394" spans="1:41" x14ac:dyDescent="0.2">
      <c r="A1394" t="s">
        <v>42</v>
      </c>
      <c r="B1394" s="1">
        <v>45713</v>
      </c>
      <c r="C1394" s="1">
        <f t="shared" si="63"/>
        <v>45716</v>
      </c>
      <c r="D1394">
        <v>21</v>
      </c>
      <c r="E1394">
        <v>27</v>
      </c>
      <c r="F1394">
        <v>4</v>
      </c>
      <c r="G1394">
        <v>1</v>
      </c>
      <c r="H1394">
        <v>1</v>
      </c>
      <c r="I1394">
        <v>1</v>
      </c>
      <c r="J1394">
        <v>1</v>
      </c>
      <c r="K1394">
        <v>15</v>
      </c>
      <c r="L1394" t="s">
        <v>42</v>
      </c>
      <c r="M1394" t="s">
        <v>38</v>
      </c>
      <c r="N1394" s="1">
        <v>45713</v>
      </c>
      <c r="O1394" s="2">
        <v>0.58371527777777776</v>
      </c>
      <c r="P1394" s="2">
        <v>0.95841435185185186</v>
      </c>
      <c r="Q1394">
        <v>9</v>
      </c>
      <c r="R1394">
        <v>8.99</v>
      </c>
      <c r="S1394">
        <v>1.1599999999999999</v>
      </c>
      <c r="T1394">
        <v>0.34</v>
      </c>
      <c r="U1394">
        <v>0</v>
      </c>
      <c r="V1394">
        <v>0.35</v>
      </c>
      <c r="W1394">
        <v>3.66</v>
      </c>
      <c r="X1394">
        <v>1.46</v>
      </c>
      <c r="Y1394">
        <v>2.0099999999999998</v>
      </c>
      <c r="Z1394">
        <v>0</v>
      </c>
      <c r="AA1394">
        <v>0</v>
      </c>
      <c r="AB1394">
        <v>0.01</v>
      </c>
      <c r="AC1394">
        <v>8.99</v>
      </c>
      <c r="AD1394">
        <v>12.92</v>
      </c>
      <c r="AE1394">
        <v>3.79</v>
      </c>
      <c r="AF1394">
        <v>0</v>
      </c>
      <c r="AG1394">
        <v>3.9</v>
      </c>
      <c r="AH1394">
        <v>40.729999999999997</v>
      </c>
      <c r="AI1394">
        <v>16.25</v>
      </c>
      <c r="AJ1394">
        <v>22.36</v>
      </c>
      <c r="AK1394">
        <v>0</v>
      </c>
      <c r="AL1394">
        <v>0</v>
      </c>
      <c r="AM1394">
        <v>0.06</v>
      </c>
      <c r="AN1394">
        <f t="shared" si="64"/>
        <v>3</v>
      </c>
      <c r="AO1394" t="str">
        <f t="shared" si="65"/>
        <v>Tuesday</v>
      </c>
    </row>
    <row r="1395" spans="1:41" x14ac:dyDescent="0.2">
      <c r="A1395" t="s">
        <v>43</v>
      </c>
      <c r="B1395" s="1">
        <v>45713</v>
      </c>
      <c r="C1395" s="1">
        <f t="shared" si="63"/>
        <v>45716</v>
      </c>
      <c r="D1395">
        <v>51</v>
      </c>
      <c r="E1395">
        <v>127</v>
      </c>
      <c r="F1395">
        <v>8</v>
      </c>
      <c r="G1395">
        <v>0</v>
      </c>
      <c r="H1395">
        <v>4</v>
      </c>
      <c r="I1395">
        <v>0</v>
      </c>
      <c r="J1395">
        <v>1</v>
      </c>
      <c r="K1395">
        <v>77</v>
      </c>
      <c r="L1395" t="s">
        <v>43</v>
      </c>
      <c r="M1395" t="s">
        <v>38</v>
      </c>
      <c r="N1395" s="1">
        <v>45713</v>
      </c>
      <c r="O1395" s="2">
        <v>0.58293981481481483</v>
      </c>
      <c r="P1395" s="2">
        <v>0.95908564814814812</v>
      </c>
      <c r="Q1395">
        <v>9.0299999999999994</v>
      </c>
      <c r="R1395">
        <v>9.02</v>
      </c>
      <c r="S1395">
        <v>0.99</v>
      </c>
      <c r="T1395">
        <v>0.39</v>
      </c>
      <c r="U1395">
        <v>0</v>
      </c>
      <c r="V1395">
        <v>0.59</v>
      </c>
      <c r="W1395">
        <v>5.18</v>
      </c>
      <c r="X1395">
        <v>1.45</v>
      </c>
      <c r="Y1395">
        <v>0.41</v>
      </c>
      <c r="Z1395">
        <v>0</v>
      </c>
      <c r="AA1395">
        <v>0</v>
      </c>
      <c r="AB1395">
        <v>0</v>
      </c>
      <c r="AC1395">
        <v>9.02</v>
      </c>
      <c r="AD1395">
        <v>11</v>
      </c>
      <c r="AE1395">
        <v>4.32</v>
      </c>
      <c r="AF1395">
        <v>0</v>
      </c>
      <c r="AG1395">
        <v>6.53</v>
      </c>
      <c r="AH1395">
        <v>57.45</v>
      </c>
      <c r="AI1395">
        <v>16.11</v>
      </c>
      <c r="AJ1395">
        <v>4.55</v>
      </c>
      <c r="AK1395">
        <v>0</v>
      </c>
      <c r="AL1395">
        <v>0</v>
      </c>
      <c r="AM1395">
        <v>0.04</v>
      </c>
      <c r="AN1395">
        <f t="shared" si="64"/>
        <v>3</v>
      </c>
      <c r="AO1395" t="str">
        <f t="shared" si="65"/>
        <v>Tuesday</v>
      </c>
    </row>
    <row r="1396" spans="1:41" x14ac:dyDescent="0.2">
      <c r="B1396" s="1">
        <v>45713</v>
      </c>
      <c r="C1396" s="1">
        <f t="shared" si="63"/>
        <v>45716</v>
      </c>
      <c r="D1396">
        <v>835</v>
      </c>
      <c r="E1396">
        <v>0</v>
      </c>
      <c r="F1396">
        <v>0</v>
      </c>
      <c r="G1396">
        <v>0</v>
      </c>
      <c r="H1396">
        <v>0</v>
      </c>
      <c r="I1396">
        <v>0</v>
      </c>
      <c r="J1396">
        <v>0</v>
      </c>
      <c r="K1396">
        <v>0</v>
      </c>
      <c r="AN1396">
        <f t="shared" si="64"/>
        <v>3</v>
      </c>
      <c r="AO1396" t="str">
        <f t="shared" si="65"/>
        <v>Tuesday</v>
      </c>
    </row>
    <row r="1397" spans="1:41" x14ac:dyDescent="0.2">
      <c r="A1397" t="s">
        <v>37</v>
      </c>
      <c r="B1397" s="1">
        <v>45712</v>
      </c>
      <c r="C1397" s="1">
        <f t="shared" si="63"/>
        <v>45716</v>
      </c>
      <c r="D1397">
        <v>41</v>
      </c>
      <c r="E1397">
        <v>92</v>
      </c>
      <c r="F1397">
        <v>3</v>
      </c>
      <c r="G1397">
        <v>8</v>
      </c>
      <c r="H1397">
        <v>6</v>
      </c>
      <c r="I1397">
        <v>0</v>
      </c>
      <c r="J1397">
        <v>0</v>
      </c>
      <c r="K1397">
        <v>52</v>
      </c>
      <c r="L1397" t="s">
        <v>37</v>
      </c>
      <c r="M1397" t="s">
        <v>38</v>
      </c>
      <c r="N1397" s="1">
        <v>45712</v>
      </c>
      <c r="O1397" s="2">
        <v>0.58431712962962967</v>
      </c>
      <c r="P1397" s="2">
        <v>0.95986111111111116</v>
      </c>
      <c r="Q1397">
        <v>9.02</v>
      </c>
      <c r="R1397">
        <v>8.07</v>
      </c>
      <c r="S1397">
        <v>2.0499999999999998</v>
      </c>
      <c r="T1397">
        <v>0.13</v>
      </c>
      <c r="U1397">
        <v>0</v>
      </c>
      <c r="V1397">
        <v>0.23</v>
      </c>
      <c r="W1397">
        <v>5.12</v>
      </c>
      <c r="X1397">
        <v>0.53</v>
      </c>
      <c r="Y1397">
        <v>0</v>
      </c>
      <c r="Z1397">
        <v>0</v>
      </c>
      <c r="AA1397">
        <v>0</v>
      </c>
      <c r="AB1397">
        <v>0.01</v>
      </c>
      <c r="AC1397">
        <v>8.07</v>
      </c>
      <c r="AD1397">
        <v>25.44</v>
      </c>
      <c r="AE1397">
        <v>1.57</v>
      </c>
      <c r="AF1397">
        <v>0</v>
      </c>
      <c r="AG1397">
        <v>2.82</v>
      </c>
      <c r="AH1397">
        <v>63.47</v>
      </c>
      <c r="AI1397">
        <v>6.58</v>
      </c>
      <c r="AJ1397">
        <v>0</v>
      </c>
      <c r="AK1397">
        <v>0</v>
      </c>
      <c r="AL1397">
        <v>0</v>
      </c>
      <c r="AM1397">
        <v>0.11</v>
      </c>
      <c r="AN1397">
        <f t="shared" si="64"/>
        <v>2</v>
      </c>
      <c r="AO1397" t="str">
        <f t="shared" si="65"/>
        <v>Monday</v>
      </c>
    </row>
    <row r="1398" spans="1:41" x14ac:dyDescent="0.2">
      <c r="A1398" t="s">
        <v>39</v>
      </c>
      <c r="B1398" s="1">
        <v>45712</v>
      </c>
      <c r="C1398" s="1">
        <f t="shared" si="63"/>
        <v>45716</v>
      </c>
      <c r="D1398">
        <v>32</v>
      </c>
      <c r="E1398">
        <v>67</v>
      </c>
      <c r="F1398">
        <v>6</v>
      </c>
      <c r="G1398">
        <v>5</v>
      </c>
      <c r="H1398">
        <v>3</v>
      </c>
      <c r="I1398">
        <v>0</v>
      </c>
      <c r="J1398">
        <v>2</v>
      </c>
      <c r="K1398">
        <v>31</v>
      </c>
      <c r="L1398" t="s">
        <v>39</v>
      </c>
      <c r="M1398" t="s">
        <v>38</v>
      </c>
      <c r="N1398" s="1">
        <v>45712</v>
      </c>
      <c r="O1398" s="2">
        <v>0.58385416666666667</v>
      </c>
      <c r="P1398" s="2">
        <v>0.95844907407407409</v>
      </c>
      <c r="Q1398">
        <v>9</v>
      </c>
      <c r="R1398">
        <v>8.99</v>
      </c>
      <c r="S1398">
        <v>1.32</v>
      </c>
      <c r="T1398">
        <v>0.19</v>
      </c>
      <c r="U1398">
        <v>0</v>
      </c>
      <c r="V1398">
        <v>0.09</v>
      </c>
      <c r="W1398">
        <v>5.48</v>
      </c>
      <c r="X1398">
        <v>1.47</v>
      </c>
      <c r="Y1398">
        <v>0.45</v>
      </c>
      <c r="Z1398">
        <v>0</v>
      </c>
      <c r="AA1398">
        <v>0</v>
      </c>
      <c r="AB1398">
        <v>0</v>
      </c>
      <c r="AC1398">
        <v>8.99</v>
      </c>
      <c r="AD1398">
        <v>14.64</v>
      </c>
      <c r="AE1398">
        <v>2.12</v>
      </c>
      <c r="AF1398">
        <v>0</v>
      </c>
      <c r="AG1398">
        <v>0.95</v>
      </c>
      <c r="AH1398">
        <v>60.94</v>
      </c>
      <c r="AI1398">
        <v>16.32</v>
      </c>
      <c r="AJ1398">
        <v>4.9800000000000004</v>
      </c>
      <c r="AK1398">
        <v>0</v>
      </c>
      <c r="AL1398">
        <v>0</v>
      </c>
      <c r="AM1398">
        <v>0.05</v>
      </c>
      <c r="AN1398">
        <f t="shared" si="64"/>
        <v>2</v>
      </c>
      <c r="AO1398" t="str">
        <f t="shared" si="65"/>
        <v>Monday</v>
      </c>
    </row>
    <row r="1399" spans="1:41" x14ac:dyDescent="0.2">
      <c r="A1399" t="s">
        <v>41</v>
      </c>
      <c r="B1399" s="1">
        <v>45712</v>
      </c>
      <c r="C1399" s="1">
        <f t="shared" si="63"/>
        <v>45716</v>
      </c>
      <c r="D1399">
        <v>33</v>
      </c>
      <c r="E1399">
        <v>82</v>
      </c>
      <c r="F1399">
        <v>2</v>
      </c>
      <c r="G1399">
        <v>2</v>
      </c>
      <c r="H1399">
        <v>2</v>
      </c>
      <c r="I1399">
        <v>0</v>
      </c>
      <c r="J1399">
        <v>0</v>
      </c>
      <c r="K1399">
        <v>59</v>
      </c>
      <c r="L1399" t="s">
        <v>41</v>
      </c>
      <c r="M1399" t="s">
        <v>38</v>
      </c>
      <c r="N1399" s="1">
        <v>45712</v>
      </c>
      <c r="O1399" s="2">
        <v>0.58521990740740737</v>
      </c>
      <c r="P1399" s="2">
        <v>0.95846064814814813</v>
      </c>
      <c r="Q1399">
        <v>8.9700000000000006</v>
      </c>
      <c r="R1399">
        <v>8.94</v>
      </c>
      <c r="S1399">
        <v>0.95</v>
      </c>
      <c r="T1399">
        <v>0.12</v>
      </c>
      <c r="U1399">
        <v>0</v>
      </c>
      <c r="V1399">
        <v>0.28999999999999998</v>
      </c>
      <c r="W1399">
        <v>6.06</v>
      </c>
      <c r="X1399">
        <v>1.47</v>
      </c>
      <c r="Y1399">
        <v>0</v>
      </c>
      <c r="Z1399">
        <v>0</v>
      </c>
      <c r="AA1399">
        <v>0.01</v>
      </c>
      <c r="AB1399">
        <v>0.04</v>
      </c>
      <c r="AC1399">
        <v>8.94</v>
      </c>
      <c r="AD1399">
        <v>10.65</v>
      </c>
      <c r="AE1399">
        <v>1.33</v>
      </c>
      <c r="AF1399">
        <v>0</v>
      </c>
      <c r="AG1399">
        <v>3.25</v>
      </c>
      <c r="AH1399">
        <v>67.75</v>
      </c>
      <c r="AI1399">
        <v>16.489999999999998</v>
      </c>
      <c r="AJ1399">
        <v>0</v>
      </c>
      <c r="AK1399">
        <v>0</v>
      </c>
      <c r="AL1399">
        <v>0.09</v>
      </c>
      <c r="AM1399">
        <v>0.44</v>
      </c>
      <c r="AN1399">
        <f t="shared" si="64"/>
        <v>2</v>
      </c>
      <c r="AO1399" t="str">
        <f t="shared" si="65"/>
        <v>Monday</v>
      </c>
    </row>
    <row r="1400" spans="1:41" x14ac:dyDescent="0.2">
      <c r="A1400" t="s">
        <v>42</v>
      </c>
      <c r="B1400" s="1">
        <v>45712</v>
      </c>
      <c r="C1400" s="1">
        <f t="shared" si="63"/>
        <v>45716</v>
      </c>
      <c r="D1400">
        <v>20</v>
      </c>
      <c r="E1400">
        <v>28</v>
      </c>
      <c r="F1400">
        <v>2</v>
      </c>
      <c r="G1400">
        <v>0</v>
      </c>
      <c r="H1400">
        <v>2</v>
      </c>
      <c r="I1400">
        <v>0</v>
      </c>
      <c r="J1400">
        <v>0</v>
      </c>
      <c r="K1400">
        <v>19</v>
      </c>
      <c r="L1400" t="s">
        <v>42</v>
      </c>
      <c r="M1400" t="s">
        <v>38</v>
      </c>
      <c r="N1400" s="1">
        <v>45712</v>
      </c>
      <c r="O1400" s="2">
        <v>0.58298611111111109</v>
      </c>
      <c r="P1400" s="2">
        <v>0.95922453703703703</v>
      </c>
      <c r="Q1400">
        <v>9.0299999999999994</v>
      </c>
      <c r="R1400">
        <v>9.0299999999999994</v>
      </c>
      <c r="S1400">
        <v>1.33</v>
      </c>
      <c r="T1400">
        <v>0.24</v>
      </c>
      <c r="U1400">
        <v>0</v>
      </c>
      <c r="V1400">
        <v>0.23</v>
      </c>
      <c r="W1400">
        <v>3.64</v>
      </c>
      <c r="X1400">
        <v>1.48</v>
      </c>
      <c r="Y1400">
        <v>2.11</v>
      </c>
      <c r="Z1400">
        <v>0</v>
      </c>
      <c r="AA1400">
        <v>0</v>
      </c>
      <c r="AB1400">
        <v>0.01</v>
      </c>
      <c r="AC1400">
        <v>9.0299999999999994</v>
      </c>
      <c r="AD1400">
        <v>14.73</v>
      </c>
      <c r="AE1400">
        <v>2.68</v>
      </c>
      <c r="AF1400">
        <v>0</v>
      </c>
      <c r="AG1400">
        <v>2.56</v>
      </c>
      <c r="AH1400">
        <v>40.26</v>
      </c>
      <c r="AI1400">
        <v>16.37</v>
      </c>
      <c r="AJ1400">
        <v>23.33</v>
      </c>
      <c r="AK1400">
        <v>0</v>
      </c>
      <c r="AL1400">
        <v>0</v>
      </c>
      <c r="AM1400">
        <v>0.08</v>
      </c>
      <c r="AN1400">
        <f t="shared" si="64"/>
        <v>2</v>
      </c>
      <c r="AO1400" t="str">
        <f t="shared" si="65"/>
        <v>Monday</v>
      </c>
    </row>
    <row r="1401" spans="1:41" x14ac:dyDescent="0.2">
      <c r="A1401" t="s">
        <v>43</v>
      </c>
      <c r="B1401" s="1">
        <v>45712</v>
      </c>
      <c r="C1401" s="1">
        <f t="shared" si="63"/>
        <v>45716</v>
      </c>
      <c r="D1401">
        <v>44</v>
      </c>
      <c r="E1401">
        <v>92</v>
      </c>
      <c r="F1401">
        <v>6</v>
      </c>
      <c r="G1401">
        <v>4</v>
      </c>
      <c r="H1401">
        <v>4</v>
      </c>
      <c r="I1401">
        <v>1</v>
      </c>
      <c r="J1401">
        <v>0</v>
      </c>
      <c r="K1401">
        <v>52</v>
      </c>
      <c r="L1401" t="s">
        <v>43</v>
      </c>
      <c r="M1401" t="s">
        <v>38</v>
      </c>
      <c r="N1401" s="1">
        <v>45712</v>
      </c>
      <c r="O1401" s="2">
        <v>0.58275462962962965</v>
      </c>
      <c r="P1401" s="2">
        <v>0.95923611111111107</v>
      </c>
      <c r="Q1401">
        <v>9.0299999999999994</v>
      </c>
      <c r="R1401">
        <v>9.0399999999999991</v>
      </c>
      <c r="S1401">
        <v>1.49</v>
      </c>
      <c r="T1401">
        <v>0.28999999999999998</v>
      </c>
      <c r="U1401">
        <v>0</v>
      </c>
      <c r="V1401">
        <v>0.28999999999999998</v>
      </c>
      <c r="W1401">
        <v>5.35</v>
      </c>
      <c r="X1401">
        <v>1.44</v>
      </c>
      <c r="Y1401">
        <v>0.17</v>
      </c>
      <c r="Z1401">
        <v>0</v>
      </c>
      <c r="AA1401">
        <v>0</v>
      </c>
      <c r="AB1401">
        <v>0</v>
      </c>
      <c r="AC1401">
        <v>9.0399999999999991</v>
      </c>
      <c r="AD1401">
        <v>16.48</v>
      </c>
      <c r="AE1401">
        <v>3.26</v>
      </c>
      <c r="AF1401">
        <v>0</v>
      </c>
      <c r="AG1401">
        <v>3.21</v>
      </c>
      <c r="AH1401">
        <v>59.17</v>
      </c>
      <c r="AI1401">
        <v>15.97</v>
      </c>
      <c r="AJ1401">
        <v>1.87</v>
      </c>
      <c r="AK1401">
        <v>0</v>
      </c>
      <c r="AL1401">
        <v>0</v>
      </c>
      <c r="AM1401">
        <v>0.04</v>
      </c>
      <c r="AN1401">
        <f t="shared" si="64"/>
        <v>2</v>
      </c>
      <c r="AO1401" t="str">
        <f t="shared" si="65"/>
        <v>Monday</v>
      </c>
    </row>
    <row r="1402" spans="1:41" x14ac:dyDescent="0.2">
      <c r="B1402" s="1">
        <v>45712</v>
      </c>
      <c r="C1402" s="1">
        <f t="shared" si="63"/>
        <v>45716</v>
      </c>
      <c r="D1402">
        <v>738</v>
      </c>
      <c r="E1402">
        <v>0</v>
      </c>
      <c r="F1402">
        <v>0</v>
      </c>
      <c r="G1402">
        <v>0</v>
      </c>
      <c r="H1402">
        <v>0</v>
      </c>
      <c r="I1402">
        <v>0</v>
      </c>
      <c r="J1402">
        <v>0</v>
      </c>
      <c r="K1402">
        <v>0</v>
      </c>
      <c r="AN1402">
        <f t="shared" si="64"/>
        <v>2</v>
      </c>
      <c r="AO1402" t="str">
        <f t="shared" si="65"/>
        <v>Monday</v>
      </c>
    </row>
    <row r="1403" spans="1:41" x14ac:dyDescent="0.2">
      <c r="A1403" t="s">
        <v>37</v>
      </c>
      <c r="B1403" s="1">
        <v>45709</v>
      </c>
      <c r="C1403" s="1">
        <f t="shared" si="63"/>
        <v>45716</v>
      </c>
      <c r="D1403">
        <v>25</v>
      </c>
      <c r="E1403">
        <v>47</v>
      </c>
      <c r="F1403">
        <v>5</v>
      </c>
      <c r="G1403">
        <v>2</v>
      </c>
      <c r="H1403">
        <v>0</v>
      </c>
      <c r="I1403">
        <v>0</v>
      </c>
      <c r="J1403">
        <v>2</v>
      </c>
      <c r="K1403">
        <v>27</v>
      </c>
      <c r="L1403" t="s">
        <v>37</v>
      </c>
      <c r="M1403" t="s">
        <v>38</v>
      </c>
      <c r="N1403" s="1">
        <v>45709</v>
      </c>
      <c r="O1403" s="2">
        <v>0.58288194444444441</v>
      </c>
      <c r="P1403" s="2">
        <v>0.9584259259259259</v>
      </c>
      <c r="Q1403">
        <v>9.02</v>
      </c>
      <c r="R1403">
        <v>8.09</v>
      </c>
      <c r="S1403">
        <v>0.77</v>
      </c>
      <c r="T1403">
        <v>0.06</v>
      </c>
      <c r="U1403">
        <v>0</v>
      </c>
      <c r="V1403">
        <v>0.2</v>
      </c>
      <c r="W1403">
        <v>5.8</v>
      </c>
      <c r="X1403">
        <v>0.06</v>
      </c>
      <c r="Y1403">
        <v>1.1499999999999999</v>
      </c>
      <c r="Z1403">
        <v>0</v>
      </c>
      <c r="AA1403">
        <v>0</v>
      </c>
      <c r="AB1403">
        <v>0.04</v>
      </c>
      <c r="AC1403">
        <v>8.09</v>
      </c>
      <c r="AD1403">
        <v>9.56</v>
      </c>
      <c r="AE1403">
        <v>0.72</v>
      </c>
      <c r="AF1403">
        <v>0</v>
      </c>
      <c r="AG1403">
        <v>2.4900000000000002</v>
      </c>
      <c r="AH1403">
        <v>71.72</v>
      </c>
      <c r="AI1403">
        <v>0.77</v>
      </c>
      <c r="AJ1403">
        <v>14.22</v>
      </c>
      <c r="AK1403">
        <v>0</v>
      </c>
      <c r="AL1403">
        <v>0</v>
      </c>
      <c r="AM1403">
        <v>0.53</v>
      </c>
      <c r="AN1403">
        <f t="shared" si="64"/>
        <v>6</v>
      </c>
      <c r="AO1403" t="str">
        <f t="shared" si="65"/>
        <v>Friday</v>
      </c>
    </row>
    <row r="1404" spans="1:41" x14ac:dyDescent="0.2">
      <c r="A1404" t="s">
        <v>39</v>
      </c>
      <c r="B1404" s="1">
        <v>45709</v>
      </c>
      <c r="C1404" s="1">
        <f t="shared" si="63"/>
        <v>45716</v>
      </c>
      <c r="D1404">
        <v>30</v>
      </c>
      <c r="E1404">
        <v>60</v>
      </c>
      <c r="F1404">
        <v>6</v>
      </c>
      <c r="G1404">
        <v>4</v>
      </c>
      <c r="H1404">
        <v>4</v>
      </c>
      <c r="I1404">
        <v>0</v>
      </c>
      <c r="J1404">
        <v>0</v>
      </c>
      <c r="K1404">
        <v>35</v>
      </c>
      <c r="L1404" t="s">
        <v>39</v>
      </c>
      <c r="M1404" t="s">
        <v>38</v>
      </c>
      <c r="N1404" s="1">
        <v>45709</v>
      </c>
      <c r="O1404" s="2">
        <v>0.58359953703703704</v>
      </c>
      <c r="P1404" s="2">
        <v>0.95887731481481486</v>
      </c>
      <c r="Q1404">
        <v>9</v>
      </c>
      <c r="R1404">
        <v>9.01</v>
      </c>
      <c r="S1404">
        <v>1.59</v>
      </c>
      <c r="T1404">
        <v>0.1</v>
      </c>
      <c r="U1404">
        <v>0</v>
      </c>
      <c r="V1404">
        <v>0.06</v>
      </c>
      <c r="W1404">
        <v>5.79</v>
      </c>
      <c r="X1404">
        <v>1.46</v>
      </c>
      <c r="Y1404">
        <v>0</v>
      </c>
      <c r="Z1404">
        <v>0</v>
      </c>
      <c r="AA1404">
        <v>0</v>
      </c>
      <c r="AB1404">
        <v>0</v>
      </c>
      <c r="AC1404">
        <v>9.01</v>
      </c>
      <c r="AD1404">
        <v>17.66</v>
      </c>
      <c r="AE1404">
        <v>1.1499999999999999</v>
      </c>
      <c r="AF1404">
        <v>0</v>
      </c>
      <c r="AG1404">
        <v>0.62</v>
      </c>
      <c r="AH1404">
        <v>64.3</v>
      </c>
      <c r="AI1404">
        <v>16.22</v>
      </c>
      <c r="AJ1404">
        <v>0</v>
      </c>
      <c r="AK1404">
        <v>0</v>
      </c>
      <c r="AL1404">
        <v>0</v>
      </c>
      <c r="AM1404">
        <v>0.05</v>
      </c>
      <c r="AN1404">
        <f t="shared" si="64"/>
        <v>6</v>
      </c>
      <c r="AO1404" t="str">
        <f t="shared" si="65"/>
        <v>Friday</v>
      </c>
    </row>
    <row r="1405" spans="1:41" x14ac:dyDescent="0.2">
      <c r="A1405" t="s">
        <v>41</v>
      </c>
      <c r="B1405" s="1">
        <v>45709</v>
      </c>
      <c r="C1405" s="1">
        <f t="shared" si="63"/>
        <v>45716</v>
      </c>
      <c r="D1405">
        <v>42</v>
      </c>
      <c r="E1405">
        <v>82</v>
      </c>
      <c r="F1405">
        <v>1</v>
      </c>
      <c r="G1405">
        <v>3</v>
      </c>
      <c r="H1405">
        <v>1</v>
      </c>
      <c r="I1405">
        <v>0</v>
      </c>
      <c r="J1405">
        <v>0</v>
      </c>
      <c r="K1405">
        <v>49</v>
      </c>
      <c r="L1405" t="s">
        <v>41</v>
      </c>
      <c r="M1405" t="s">
        <v>38</v>
      </c>
      <c r="N1405" s="1">
        <v>45709</v>
      </c>
      <c r="O1405" s="2">
        <v>0.58608796296296295</v>
      </c>
      <c r="P1405" s="2">
        <v>0.95736111111111111</v>
      </c>
      <c r="Q1405">
        <v>8.92</v>
      </c>
      <c r="R1405">
        <v>8.91</v>
      </c>
      <c r="S1405">
        <v>0.72</v>
      </c>
      <c r="T1405">
        <v>0.05</v>
      </c>
      <c r="U1405">
        <v>0</v>
      </c>
      <c r="V1405">
        <v>0.15</v>
      </c>
      <c r="W1405">
        <v>6.5</v>
      </c>
      <c r="X1405">
        <v>1.48</v>
      </c>
      <c r="Y1405">
        <v>0</v>
      </c>
      <c r="Z1405">
        <v>0</v>
      </c>
      <c r="AA1405">
        <v>0</v>
      </c>
      <c r="AB1405">
        <v>0</v>
      </c>
      <c r="AC1405">
        <v>8.91</v>
      </c>
      <c r="AD1405">
        <v>8.11</v>
      </c>
      <c r="AE1405">
        <v>0.59</v>
      </c>
      <c r="AF1405">
        <v>0</v>
      </c>
      <c r="AG1405">
        <v>1.72</v>
      </c>
      <c r="AH1405">
        <v>72.95</v>
      </c>
      <c r="AI1405">
        <v>16.579999999999998</v>
      </c>
      <c r="AJ1405">
        <v>0</v>
      </c>
      <c r="AK1405">
        <v>0</v>
      </c>
      <c r="AL1405">
        <v>0</v>
      </c>
      <c r="AM1405">
        <v>0.04</v>
      </c>
      <c r="AN1405">
        <f t="shared" si="64"/>
        <v>6</v>
      </c>
      <c r="AO1405" t="str">
        <f t="shared" si="65"/>
        <v>Friday</v>
      </c>
    </row>
    <row r="1406" spans="1:41" x14ac:dyDescent="0.2">
      <c r="A1406" t="s">
        <v>42</v>
      </c>
      <c r="B1406" s="1">
        <v>45709</v>
      </c>
      <c r="C1406" s="1">
        <f t="shared" si="63"/>
        <v>45716</v>
      </c>
      <c r="D1406">
        <v>21</v>
      </c>
      <c r="E1406">
        <v>29</v>
      </c>
      <c r="F1406">
        <v>4</v>
      </c>
      <c r="G1406">
        <v>0</v>
      </c>
      <c r="H1406">
        <v>1</v>
      </c>
      <c r="I1406">
        <v>0</v>
      </c>
      <c r="J1406">
        <v>0</v>
      </c>
      <c r="K1406">
        <v>18</v>
      </c>
      <c r="L1406" t="s">
        <v>42</v>
      </c>
      <c r="M1406" t="s">
        <v>38</v>
      </c>
      <c r="N1406" s="1">
        <v>45709</v>
      </c>
      <c r="O1406" s="2">
        <v>0.5841319444444445</v>
      </c>
      <c r="P1406" s="2">
        <v>0.96049768518518519</v>
      </c>
      <c r="Q1406">
        <v>9.0299999999999994</v>
      </c>
      <c r="R1406">
        <v>9.0299999999999994</v>
      </c>
      <c r="S1406">
        <v>1.49</v>
      </c>
      <c r="T1406">
        <v>0.28999999999999998</v>
      </c>
      <c r="U1406">
        <v>0</v>
      </c>
      <c r="V1406">
        <v>0.26</v>
      </c>
      <c r="W1406">
        <v>4.25</v>
      </c>
      <c r="X1406">
        <v>1.5</v>
      </c>
      <c r="Y1406">
        <v>1.24</v>
      </c>
      <c r="Z1406">
        <v>0</v>
      </c>
      <c r="AA1406">
        <v>0</v>
      </c>
      <c r="AB1406">
        <v>0.01</v>
      </c>
      <c r="AC1406">
        <v>9.0299999999999994</v>
      </c>
      <c r="AD1406">
        <v>16.47</v>
      </c>
      <c r="AE1406">
        <v>3.2</v>
      </c>
      <c r="AF1406">
        <v>0</v>
      </c>
      <c r="AG1406">
        <v>2.88</v>
      </c>
      <c r="AH1406">
        <v>47.05</v>
      </c>
      <c r="AI1406">
        <v>16.63</v>
      </c>
      <c r="AJ1406">
        <v>13.7</v>
      </c>
      <c r="AK1406">
        <v>0</v>
      </c>
      <c r="AL1406">
        <v>0</v>
      </c>
      <c r="AM1406">
        <v>0.06</v>
      </c>
      <c r="AN1406">
        <f t="shared" si="64"/>
        <v>6</v>
      </c>
      <c r="AO1406" t="str">
        <f t="shared" si="65"/>
        <v>Friday</v>
      </c>
    </row>
    <row r="1407" spans="1:41" x14ac:dyDescent="0.2">
      <c r="A1407" t="s">
        <v>43</v>
      </c>
      <c r="B1407" s="1">
        <v>45709</v>
      </c>
      <c r="C1407" s="1">
        <f t="shared" si="63"/>
        <v>45716</v>
      </c>
      <c r="D1407">
        <v>29</v>
      </c>
      <c r="E1407">
        <v>70</v>
      </c>
      <c r="F1407">
        <v>3</v>
      </c>
      <c r="G1407">
        <v>1</v>
      </c>
      <c r="H1407">
        <v>13</v>
      </c>
      <c r="I1407">
        <v>0</v>
      </c>
      <c r="J1407">
        <v>1</v>
      </c>
      <c r="K1407">
        <v>36</v>
      </c>
      <c r="L1407" t="s">
        <v>43</v>
      </c>
      <c r="M1407" t="s">
        <v>38</v>
      </c>
      <c r="N1407" s="1">
        <v>45709</v>
      </c>
      <c r="O1407" s="2">
        <v>0.58430555555555552</v>
      </c>
      <c r="P1407" s="2">
        <v>0.95923611111111107</v>
      </c>
      <c r="Q1407">
        <v>9</v>
      </c>
      <c r="R1407">
        <v>9</v>
      </c>
      <c r="S1407">
        <v>0.69</v>
      </c>
      <c r="T1407">
        <v>0.15</v>
      </c>
      <c r="U1407">
        <v>0</v>
      </c>
      <c r="V1407">
        <v>0.3</v>
      </c>
      <c r="W1407">
        <v>5.66</v>
      </c>
      <c r="X1407">
        <v>1.97</v>
      </c>
      <c r="Y1407">
        <v>0.22</v>
      </c>
      <c r="Z1407">
        <v>0</v>
      </c>
      <c r="AA1407">
        <v>0</v>
      </c>
      <c r="AB1407">
        <v>0</v>
      </c>
      <c r="AC1407">
        <v>9</v>
      </c>
      <c r="AD1407">
        <v>7.7</v>
      </c>
      <c r="AE1407">
        <v>1.64</v>
      </c>
      <c r="AF1407">
        <v>0</v>
      </c>
      <c r="AG1407">
        <v>3.33</v>
      </c>
      <c r="AH1407">
        <v>62.87</v>
      </c>
      <c r="AI1407">
        <v>21.91</v>
      </c>
      <c r="AJ1407">
        <v>2.5</v>
      </c>
      <c r="AK1407">
        <v>0</v>
      </c>
      <c r="AL1407">
        <v>0</v>
      </c>
      <c r="AM1407">
        <v>0.05</v>
      </c>
      <c r="AN1407">
        <f t="shared" si="64"/>
        <v>6</v>
      </c>
      <c r="AO1407" t="str">
        <f t="shared" si="65"/>
        <v>Friday</v>
      </c>
    </row>
    <row r="1408" spans="1:41" x14ac:dyDescent="0.2">
      <c r="B1408" s="1">
        <v>45709</v>
      </c>
      <c r="C1408" s="1">
        <f t="shared" si="63"/>
        <v>45716</v>
      </c>
      <c r="D1408">
        <v>788</v>
      </c>
      <c r="E1408">
        <v>0</v>
      </c>
      <c r="F1408">
        <v>0</v>
      </c>
      <c r="G1408">
        <v>0</v>
      </c>
      <c r="H1408">
        <v>0</v>
      </c>
      <c r="I1408">
        <v>0</v>
      </c>
      <c r="J1408">
        <v>0</v>
      </c>
      <c r="K1408">
        <v>0</v>
      </c>
      <c r="AN1408">
        <f t="shared" si="64"/>
        <v>6</v>
      </c>
      <c r="AO1408" t="str">
        <f t="shared" si="65"/>
        <v>Friday</v>
      </c>
    </row>
    <row r="1409" spans="1:41" x14ac:dyDescent="0.2">
      <c r="A1409" t="s">
        <v>37</v>
      </c>
      <c r="B1409" s="1">
        <v>45708</v>
      </c>
      <c r="C1409" s="1">
        <f t="shared" si="63"/>
        <v>45716</v>
      </c>
      <c r="D1409">
        <v>27</v>
      </c>
      <c r="E1409">
        <v>70</v>
      </c>
      <c r="F1409">
        <v>9</v>
      </c>
      <c r="G1409">
        <v>5</v>
      </c>
      <c r="H1409">
        <v>3</v>
      </c>
      <c r="I1409">
        <v>0</v>
      </c>
      <c r="J1409">
        <v>0</v>
      </c>
      <c r="K1409">
        <v>39</v>
      </c>
      <c r="L1409" t="s">
        <v>37</v>
      </c>
      <c r="M1409" t="s">
        <v>38</v>
      </c>
      <c r="N1409" s="1">
        <v>45708</v>
      </c>
      <c r="O1409" s="2">
        <v>0.58373842592592595</v>
      </c>
      <c r="P1409" s="2">
        <v>0.95863425925925927</v>
      </c>
      <c r="Q1409">
        <v>9</v>
      </c>
      <c r="R1409">
        <v>8.07</v>
      </c>
      <c r="S1409">
        <v>1.19</v>
      </c>
      <c r="T1409">
        <v>0.33</v>
      </c>
      <c r="U1409">
        <v>0</v>
      </c>
      <c r="V1409">
        <v>0.25</v>
      </c>
      <c r="W1409">
        <v>5.18</v>
      </c>
      <c r="X1409">
        <v>0.24</v>
      </c>
      <c r="Y1409">
        <v>0.84</v>
      </c>
      <c r="Z1409">
        <v>0</v>
      </c>
      <c r="AA1409">
        <v>0</v>
      </c>
      <c r="AB1409">
        <v>0.04</v>
      </c>
      <c r="AC1409">
        <v>8.07</v>
      </c>
      <c r="AD1409">
        <v>14.76</v>
      </c>
      <c r="AE1409">
        <v>4.0999999999999996</v>
      </c>
      <c r="AF1409">
        <v>0</v>
      </c>
      <c r="AG1409">
        <v>3.1</v>
      </c>
      <c r="AH1409">
        <v>64.150000000000006</v>
      </c>
      <c r="AI1409">
        <v>2.93</v>
      </c>
      <c r="AJ1409">
        <v>10.43</v>
      </c>
      <c r="AK1409">
        <v>0</v>
      </c>
      <c r="AL1409">
        <v>0</v>
      </c>
      <c r="AM1409">
        <v>0.52</v>
      </c>
      <c r="AN1409">
        <f t="shared" si="64"/>
        <v>5</v>
      </c>
      <c r="AO1409" t="str">
        <f t="shared" si="65"/>
        <v>Thursday</v>
      </c>
    </row>
    <row r="1410" spans="1:41" x14ac:dyDescent="0.2">
      <c r="A1410" t="s">
        <v>39</v>
      </c>
      <c r="B1410" s="1">
        <v>45708</v>
      </c>
      <c r="C1410" s="1">
        <f t="shared" si="63"/>
        <v>45716</v>
      </c>
      <c r="D1410">
        <v>30</v>
      </c>
      <c r="E1410">
        <v>64</v>
      </c>
      <c r="F1410">
        <v>8</v>
      </c>
      <c r="G1410">
        <v>5</v>
      </c>
      <c r="H1410">
        <v>0</v>
      </c>
      <c r="I1410">
        <v>0</v>
      </c>
      <c r="J1410">
        <v>0</v>
      </c>
      <c r="K1410">
        <v>34</v>
      </c>
      <c r="L1410" t="s">
        <v>39</v>
      </c>
      <c r="M1410" t="s">
        <v>38</v>
      </c>
      <c r="N1410" s="1">
        <v>45708</v>
      </c>
      <c r="O1410" s="2">
        <v>0.58348379629629632</v>
      </c>
      <c r="P1410" s="2">
        <v>0.9583680555555556</v>
      </c>
      <c r="Q1410">
        <v>9</v>
      </c>
      <c r="R1410">
        <v>9</v>
      </c>
      <c r="S1410">
        <v>1.42</v>
      </c>
      <c r="T1410">
        <v>0</v>
      </c>
      <c r="U1410">
        <v>0</v>
      </c>
      <c r="V1410">
        <v>0.03</v>
      </c>
      <c r="W1410">
        <v>5.0999999999999996</v>
      </c>
      <c r="X1410">
        <v>1.49</v>
      </c>
      <c r="Y1410">
        <v>0.94</v>
      </c>
      <c r="Z1410">
        <v>0</v>
      </c>
      <c r="AA1410">
        <v>0</v>
      </c>
      <c r="AB1410">
        <v>0.01</v>
      </c>
      <c r="AC1410">
        <v>9</v>
      </c>
      <c r="AD1410">
        <v>15.79</v>
      </c>
      <c r="AE1410">
        <v>0</v>
      </c>
      <c r="AF1410">
        <v>0</v>
      </c>
      <c r="AG1410">
        <v>0.34</v>
      </c>
      <c r="AH1410">
        <v>56.75</v>
      </c>
      <c r="AI1410">
        <v>16.62</v>
      </c>
      <c r="AJ1410">
        <v>10.46</v>
      </c>
      <c r="AK1410">
        <v>0</v>
      </c>
      <c r="AL1410">
        <v>0</v>
      </c>
      <c r="AM1410">
        <v>0.06</v>
      </c>
      <c r="AN1410">
        <f t="shared" si="64"/>
        <v>5</v>
      </c>
      <c r="AO1410" t="str">
        <f t="shared" si="65"/>
        <v>Thursday</v>
      </c>
    </row>
    <row r="1411" spans="1:41" x14ac:dyDescent="0.2">
      <c r="A1411" t="s">
        <v>41</v>
      </c>
      <c r="B1411" s="1">
        <v>45708</v>
      </c>
      <c r="C1411" s="1">
        <f t="shared" ref="C1411:C1474" si="66">EOMONTH(B1411,0)</f>
        <v>45716</v>
      </c>
      <c r="D1411">
        <v>40</v>
      </c>
      <c r="E1411">
        <v>106</v>
      </c>
      <c r="F1411">
        <v>5</v>
      </c>
      <c r="G1411">
        <v>9</v>
      </c>
      <c r="H1411">
        <v>4</v>
      </c>
      <c r="I1411">
        <v>0</v>
      </c>
      <c r="J1411">
        <v>0</v>
      </c>
      <c r="K1411">
        <v>67</v>
      </c>
      <c r="L1411" t="s">
        <v>41</v>
      </c>
      <c r="M1411" t="s">
        <v>38</v>
      </c>
      <c r="N1411" s="1">
        <v>45708</v>
      </c>
      <c r="O1411" s="2">
        <v>0.58556712962962965</v>
      </c>
      <c r="P1411" s="2">
        <v>0.95753472222222225</v>
      </c>
      <c r="Q1411">
        <v>8.92</v>
      </c>
      <c r="R1411">
        <v>8.93</v>
      </c>
      <c r="S1411">
        <v>1.18</v>
      </c>
      <c r="T1411">
        <v>0</v>
      </c>
      <c r="U1411">
        <v>0</v>
      </c>
      <c r="V1411">
        <v>0.18</v>
      </c>
      <c r="W1411">
        <v>4.54</v>
      </c>
      <c r="X1411">
        <v>1.46</v>
      </c>
      <c r="Y1411">
        <v>1.56</v>
      </c>
      <c r="Z1411">
        <v>0</v>
      </c>
      <c r="AA1411">
        <v>0</v>
      </c>
      <c r="AB1411">
        <v>0</v>
      </c>
      <c r="AC1411">
        <v>8.93</v>
      </c>
      <c r="AD1411">
        <v>13.22</v>
      </c>
      <c r="AE1411">
        <v>0</v>
      </c>
      <c r="AF1411">
        <v>0</v>
      </c>
      <c r="AG1411">
        <v>2.0499999999999998</v>
      </c>
      <c r="AH1411">
        <v>50.85</v>
      </c>
      <c r="AI1411">
        <v>16.39</v>
      </c>
      <c r="AJ1411">
        <v>17.45</v>
      </c>
      <c r="AK1411">
        <v>0</v>
      </c>
      <c r="AL1411">
        <v>0</v>
      </c>
      <c r="AM1411">
        <v>0.04</v>
      </c>
      <c r="AN1411">
        <f t="shared" ref="AN1411:AN1474" si="67">WEEKDAY(B1411,1)</f>
        <v>5</v>
      </c>
      <c r="AO1411" t="str">
        <f t="shared" ref="AO1411:AO1474" si="68">VLOOKUP(AN1411,$AY$2:$AZ$8,2,FALSE)</f>
        <v>Thursday</v>
      </c>
    </row>
    <row r="1412" spans="1:41" x14ac:dyDescent="0.2">
      <c r="A1412" t="s">
        <v>42</v>
      </c>
      <c r="B1412" s="1">
        <v>45708</v>
      </c>
      <c r="C1412" s="1">
        <f t="shared" si="66"/>
        <v>45716</v>
      </c>
      <c r="D1412">
        <v>26</v>
      </c>
      <c r="E1412">
        <v>31</v>
      </c>
      <c r="F1412">
        <v>2</v>
      </c>
      <c r="G1412">
        <v>2</v>
      </c>
      <c r="H1412">
        <v>4</v>
      </c>
      <c r="I1412">
        <v>1</v>
      </c>
      <c r="J1412">
        <v>0</v>
      </c>
      <c r="K1412">
        <v>13</v>
      </c>
      <c r="L1412" t="s">
        <v>42</v>
      </c>
      <c r="M1412" t="s">
        <v>38</v>
      </c>
      <c r="N1412" s="1">
        <v>45708</v>
      </c>
      <c r="O1412" s="2">
        <v>0.58417824074074076</v>
      </c>
      <c r="P1412" s="2">
        <v>0.95942129629629624</v>
      </c>
      <c r="Q1412">
        <v>9</v>
      </c>
      <c r="R1412">
        <v>9.01</v>
      </c>
      <c r="S1412">
        <v>1.21</v>
      </c>
      <c r="T1412">
        <v>0.49</v>
      </c>
      <c r="U1412">
        <v>0</v>
      </c>
      <c r="V1412">
        <v>0.28999999999999998</v>
      </c>
      <c r="W1412">
        <v>3.4</v>
      </c>
      <c r="X1412">
        <v>1.46</v>
      </c>
      <c r="Y1412">
        <v>2.15</v>
      </c>
      <c r="Z1412">
        <v>0</v>
      </c>
      <c r="AA1412">
        <v>0</v>
      </c>
      <c r="AB1412">
        <v>0.01</v>
      </c>
      <c r="AC1412">
        <v>9.01</v>
      </c>
      <c r="AD1412">
        <v>13.45</v>
      </c>
      <c r="AE1412">
        <v>5.46</v>
      </c>
      <c r="AF1412">
        <v>0</v>
      </c>
      <c r="AG1412">
        <v>3.19</v>
      </c>
      <c r="AH1412">
        <v>37.72</v>
      </c>
      <c r="AI1412">
        <v>16.239999999999998</v>
      </c>
      <c r="AJ1412">
        <v>23.88</v>
      </c>
      <c r="AK1412">
        <v>0</v>
      </c>
      <c r="AL1412">
        <v>0</v>
      </c>
      <c r="AM1412">
        <v>0.06</v>
      </c>
      <c r="AN1412">
        <f t="shared" si="67"/>
        <v>5</v>
      </c>
      <c r="AO1412" t="str">
        <f t="shared" si="68"/>
        <v>Thursday</v>
      </c>
    </row>
    <row r="1413" spans="1:41" x14ac:dyDescent="0.2">
      <c r="A1413" t="s">
        <v>43</v>
      </c>
      <c r="B1413" s="1">
        <v>45708</v>
      </c>
      <c r="C1413" s="1">
        <f t="shared" si="66"/>
        <v>45716</v>
      </c>
      <c r="D1413">
        <v>34</v>
      </c>
      <c r="E1413">
        <v>80</v>
      </c>
      <c r="F1413">
        <v>4</v>
      </c>
      <c r="G1413">
        <v>5</v>
      </c>
      <c r="H1413">
        <v>0</v>
      </c>
      <c r="I1413">
        <v>0</v>
      </c>
      <c r="J1413">
        <v>0</v>
      </c>
      <c r="K1413">
        <v>49</v>
      </c>
      <c r="L1413" t="s">
        <v>43</v>
      </c>
      <c r="M1413" t="s">
        <v>38</v>
      </c>
      <c r="N1413" s="1">
        <v>45708</v>
      </c>
      <c r="O1413" s="2">
        <v>0.58208333333333329</v>
      </c>
      <c r="P1413" s="2">
        <v>0.79168981481481482</v>
      </c>
      <c r="Q1413">
        <v>5.03</v>
      </c>
      <c r="R1413">
        <v>5.03</v>
      </c>
      <c r="S1413">
        <v>0.59</v>
      </c>
      <c r="T1413">
        <v>0.08</v>
      </c>
      <c r="U1413">
        <v>0</v>
      </c>
      <c r="V1413">
        <v>0.15</v>
      </c>
      <c r="W1413">
        <v>3.13</v>
      </c>
      <c r="X1413">
        <v>0.23</v>
      </c>
      <c r="Y1413">
        <v>0.85</v>
      </c>
      <c r="Z1413">
        <v>0</v>
      </c>
      <c r="AA1413">
        <v>0</v>
      </c>
      <c r="AB1413">
        <v>0.01</v>
      </c>
      <c r="AC1413">
        <v>5.03</v>
      </c>
      <c r="AD1413">
        <v>11.75</v>
      </c>
      <c r="AE1413">
        <v>1.5</v>
      </c>
      <c r="AF1413">
        <v>0</v>
      </c>
      <c r="AG1413">
        <v>2.96</v>
      </c>
      <c r="AH1413">
        <v>62.22</v>
      </c>
      <c r="AI1413">
        <v>4.55</v>
      </c>
      <c r="AJ1413">
        <v>16.920000000000002</v>
      </c>
      <c r="AK1413">
        <v>0</v>
      </c>
      <c r="AL1413">
        <v>0</v>
      </c>
      <c r="AM1413">
        <v>0.1</v>
      </c>
      <c r="AN1413">
        <f t="shared" si="67"/>
        <v>5</v>
      </c>
      <c r="AO1413" t="str">
        <f t="shared" si="68"/>
        <v>Thursday</v>
      </c>
    </row>
    <row r="1414" spans="1:41" x14ac:dyDescent="0.2">
      <c r="B1414" s="1">
        <v>45708</v>
      </c>
      <c r="C1414" s="1">
        <f t="shared" si="66"/>
        <v>45716</v>
      </c>
      <c r="D1414">
        <v>811</v>
      </c>
      <c r="E1414">
        <v>0</v>
      </c>
      <c r="F1414">
        <v>0</v>
      </c>
      <c r="G1414">
        <v>0</v>
      </c>
      <c r="H1414">
        <v>0</v>
      </c>
      <c r="I1414">
        <v>0</v>
      </c>
      <c r="J1414">
        <v>0</v>
      </c>
      <c r="K1414">
        <v>0</v>
      </c>
      <c r="AN1414">
        <f t="shared" si="67"/>
        <v>5</v>
      </c>
      <c r="AO1414" t="str">
        <f t="shared" si="68"/>
        <v>Thursday</v>
      </c>
    </row>
    <row r="1415" spans="1:41" x14ac:dyDescent="0.2">
      <c r="A1415" t="s">
        <v>37</v>
      </c>
      <c r="B1415" s="1">
        <v>45707</v>
      </c>
      <c r="C1415" s="1">
        <f t="shared" si="66"/>
        <v>45716</v>
      </c>
      <c r="D1415">
        <v>51</v>
      </c>
      <c r="E1415">
        <v>117</v>
      </c>
      <c r="F1415">
        <v>1</v>
      </c>
      <c r="G1415">
        <v>11</v>
      </c>
      <c r="H1415">
        <v>10</v>
      </c>
      <c r="I1415">
        <v>1</v>
      </c>
      <c r="J1415">
        <v>1</v>
      </c>
      <c r="K1415">
        <v>64</v>
      </c>
      <c r="L1415" t="s">
        <v>37</v>
      </c>
      <c r="M1415" t="s">
        <v>38</v>
      </c>
      <c r="N1415" s="1">
        <v>45707</v>
      </c>
      <c r="O1415" s="2">
        <v>0.58297453703703705</v>
      </c>
      <c r="P1415" s="2">
        <v>0.95853009259259259</v>
      </c>
      <c r="Q1415">
        <v>9.02</v>
      </c>
      <c r="R1415">
        <v>8.07</v>
      </c>
      <c r="S1415">
        <v>1.41</v>
      </c>
      <c r="T1415">
        <v>0.06</v>
      </c>
      <c r="U1415">
        <v>0</v>
      </c>
      <c r="V1415">
        <v>0.32</v>
      </c>
      <c r="W1415">
        <v>5.12</v>
      </c>
      <c r="X1415">
        <v>0.08</v>
      </c>
      <c r="Y1415">
        <v>1.03</v>
      </c>
      <c r="Z1415">
        <v>0</v>
      </c>
      <c r="AA1415">
        <v>0</v>
      </c>
      <c r="AB1415">
        <v>0.03</v>
      </c>
      <c r="AC1415">
        <v>8.07</v>
      </c>
      <c r="AD1415">
        <v>17.5</v>
      </c>
      <c r="AE1415">
        <v>0.78</v>
      </c>
      <c r="AF1415">
        <v>0</v>
      </c>
      <c r="AG1415">
        <v>3.99</v>
      </c>
      <c r="AH1415">
        <v>63.47</v>
      </c>
      <c r="AI1415">
        <v>1.02</v>
      </c>
      <c r="AJ1415">
        <v>12.8</v>
      </c>
      <c r="AK1415">
        <v>0</v>
      </c>
      <c r="AL1415">
        <v>0</v>
      </c>
      <c r="AM1415">
        <v>0.43</v>
      </c>
      <c r="AN1415">
        <f t="shared" si="67"/>
        <v>4</v>
      </c>
      <c r="AO1415" t="str">
        <f t="shared" si="68"/>
        <v>Wednesday</v>
      </c>
    </row>
    <row r="1416" spans="1:41" x14ac:dyDescent="0.2">
      <c r="A1416" t="s">
        <v>39</v>
      </c>
      <c r="B1416" s="1">
        <v>45707</v>
      </c>
      <c r="C1416" s="1">
        <f t="shared" si="66"/>
        <v>45716</v>
      </c>
      <c r="D1416">
        <v>34</v>
      </c>
      <c r="E1416">
        <v>86</v>
      </c>
      <c r="F1416">
        <v>3</v>
      </c>
      <c r="G1416">
        <v>10</v>
      </c>
      <c r="H1416">
        <v>18</v>
      </c>
      <c r="I1416">
        <v>0</v>
      </c>
      <c r="J1416">
        <v>2</v>
      </c>
      <c r="K1416">
        <v>31</v>
      </c>
      <c r="L1416" t="s">
        <v>39</v>
      </c>
      <c r="M1416" t="s">
        <v>38</v>
      </c>
      <c r="N1416" s="1">
        <v>45707</v>
      </c>
      <c r="O1416" s="2">
        <v>0.58395833333333336</v>
      </c>
      <c r="P1416" s="2">
        <v>0.95837962962962964</v>
      </c>
      <c r="Q1416">
        <v>9</v>
      </c>
      <c r="R1416">
        <v>8.99</v>
      </c>
      <c r="S1416">
        <v>2.64</v>
      </c>
      <c r="T1416">
        <v>0.17</v>
      </c>
      <c r="U1416">
        <v>0</v>
      </c>
      <c r="V1416">
        <v>7.0000000000000007E-2</v>
      </c>
      <c r="W1416">
        <v>3.59</v>
      </c>
      <c r="X1416">
        <v>1.47</v>
      </c>
      <c r="Y1416">
        <v>1.03</v>
      </c>
      <c r="Z1416">
        <v>0</v>
      </c>
      <c r="AA1416">
        <v>0</v>
      </c>
      <c r="AB1416">
        <v>0</v>
      </c>
      <c r="AC1416">
        <v>8.99</v>
      </c>
      <c r="AD1416">
        <v>29.42</v>
      </c>
      <c r="AE1416">
        <v>1.92</v>
      </c>
      <c r="AF1416">
        <v>0</v>
      </c>
      <c r="AG1416">
        <v>0.83</v>
      </c>
      <c r="AH1416">
        <v>39.99</v>
      </c>
      <c r="AI1416">
        <v>16.36</v>
      </c>
      <c r="AJ1416">
        <v>11.43</v>
      </c>
      <c r="AK1416">
        <v>0</v>
      </c>
      <c r="AL1416">
        <v>0</v>
      </c>
      <c r="AM1416">
        <v>0.04</v>
      </c>
      <c r="AN1416">
        <f t="shared" si="67"/>
        <v>4</v>
      </c>
      <c r="AO1416" t="str">
        <f t="shared" si="68"/>
        <v>Wednesday</v>
      </c>
    </row>
    <row r="1417" spans="1:41" x14ac:dyDescent="0.2">
      <c r="A1417" t="s">
        <v>55</v>
      </c>
      <c r="B1417" s="1">
        <v>45707</v>
      </c>
      <c r="C1417" s="1">
        <f t="shared" si="66"/>
        <v>45716</v>
      </c>
      <c r="D1417">
        <v>1</v>
      </c>
      <c r="E1417">
        <v>3</v>
      </c>
      <c r="F1417">
        <v>0</v>
      </c>
      <c r="G1417">
        <v>0</v>
      </c>
      <c r="H1417">
        <v>3</v>
      </c>
      <c r="I1417">
        <v>0</v>
      </c>
      <c r="J1417">
        <v>0</v>
      </c>
      <c r="K1417">
        <v>0</v>
      </c>
      <c r="L1417" t="s">
        <v>55</v>
      </c>
      <c r="M1417" t="s">
        <v>38</v>
      </c>
      <c r="N1417" s="1">
        <v>45707</v>
      </c>
      <c r="O1417" s="2">
        <v>0.59339120370370368</v>
      </c>
      <c r="P1417" s="2">
        <v>0.79700231481481476</v>
      </c>
      <c r="Q1417">
        <v>4.88</v>
      </c>
      <c r="R1417">
        <v>4.8899999999999997</v>
      </c>
      <c r="S1417">
        <v>0.53</v>
      </c>
      <c r="T1417">
        <v>0</v>
      </c>
      <c r="U1417">
        <v>0</v>
      </c>
      <c r="V1417">
        <v>0.09</v>
      </c>
      <c r="W1417">
        <v>7.0000000000000007E-2</v>
      </c>
      <c r="X1417">
        <v>0</v>
      </c>
      <c r="Y1417">
        <v>0</v>
      </c>
      <c r="Z1417">
        <v>0</v>
      </c>
      <c r="AA1417">
        <v>4.1500000000000004</v>
      </c>
      <c r="AB1417">
        <v>0.05</v>
      </c>
      <c r="AC1417">
        <v>4.8899999999999997</v>
      </c>
      <c r="AD1417">
        <v>10.9</v>
      </c>
      <c r="AE1417">
        <v>0</v>
      </c>
      <c r="AF1417">
        <v>0</v>
      </c>
      <c r="AG1417">
        <v>1.76</v>
      </c>
      <c r="AH1417">
        <v>1.5</v>
      </c>
      <c r="AI1417">
        <v>0</v>
      </c>
      <c r="AJ1417">
        <v>0</v>
      </c>
      <c r="AK1417">
        <v>0</v>
      </c>
      <c r="AL1417">
        <v>84.87</v>
      </c>
      <c r="AM1417">
        <v>0.98</v>
      </c>
      <c r="AN1417">
        <f t="shared" si="67"/>
        <v>4</v>
      </c>
      <c r="AO1417" t="str">
        <f t="shared" si="68"/>
        <v>Wednesday</v>
      </c>
    </row>
    <row r="1418" spans="1:41" x14ac:dyDescent="0.2">
      <c r="A1418" t="s">
        <v>41</v>
      </c>
      <c r="B1418" s="1">
        <v>45707</v>
      </c>
      <c r="C1418" s="1">
        <f t="shared" si="66"/>
        <v>45716</v>
      </c>
      <c r="D1418">
        <v>45</v>
      </c>
      <c r="E1418">
        <v>134</v>
      </c>
      <c r="F1418">
        <v>2</v>
      </c>
      <c r="G1418">
        <v>10</v>
      </c>
      <c r="H1418">
        <v>11</v>
      </c>
      <c r="I1418">
        <v>2</v>
      </c>
      <c r="J1418">
        <v>1</v>
      </c>
      <c r="K1418">
        <v>91</v>
      </c>
      <c r="L1418" t="s">
        <v>41</v>
      </c>
      <c r="M1418" t="s">
        <v>38</v>
      </c>
      <c r="N1418" s="1">
        <v>45707</v>
      </c>
      <c r="O1418" s="2">
        <v>0.58447916666666666</v>
      </c>
      <c r="P1418" s="2">
        <v>0.95748842592592598</v>
      </c>
      <c r="Q1418">
        <v>8.9499999999999993</v>
      </c>
      <c r="R1418">
        <v>8.9499999999999993</v>
      </c>
      <c r="S1418">
        <v>1.57</v>
      </c>
      <c r="T1418">
        <v>0</v>
      </c>
      <c r="U1418">
        <v>0</v>
      </c>
      <c r="V1418">
        <v>0.18</v>
      </c>
      <c r="W1418">
        <v>4.41</v>
      </c>
      <c r="X1418">
        <v>1.45</v>
      </c>
      <c r="Y1418">
        <v>1.34</v>
      </c>
      <c r="Z1418">
        <v>0</v>
      </c>
      <c r="AA1418">
        <v>0</v>
      </c>
      <c r="AB1418">
        <v>0</v>
      </c>
      <c r="AC1418">
        <v>8.9499999999999993</v>
      </c>
      <c r="AD1418">
        <v>17.5</v>
      </c>
      <c r="AE1418">
        <v>0</v>
      </c>
      <c r="AF1418">
        <v>0</v>
      </c>
      <c r="AG1418">
        <v>2.0299999999999998</v>
      </c>
      <c r="AH1418">
        <v>49.28</v>
      </c>
      <c r="AI1418">
        <v>16.170000000000002</v>
      </c>
      <c r="AJ1418">
        <v>14.99</v>
      </c>
      <c r="AK1418">
        <v>0</v>
      </c>
      <c r="AL1418">
        <v>0</v>
      </c>
      <c r="AM1418">
        <v>0.05</v>
      </c>
      <c r="AN1418">
        <f t="shared" si="67"/>
        <v>4</v>
      </c>
      <c r="AO1418" t="str">
        <f t="shared" si="68"/>
        <v>Wednesday</v>
      </c>
    </row>
    <row r="1419" spans="1:41" x14ac:dyDescent="0.2">
      <c r="A1419" t="s">
        <v>42</v>
      </c>
      <c r="B1419" s="1">
        <v>45707</v>
      </c>
      <c r="C1419" s="1">
        <f t="shared" si="66"/>
        <v>45716</v>
      </c>
      <c r="D1419">
        <v>34</v>
      </c>
      <c r="E1419">
        <v>52</v>
      </c>
      <c r="F1419">
        <v>2</v>
      </c>
      <c r="G1419">
        <v>2</v>
      </c>
      <c r="H1419">
        <v>3</v>
      </c>
      <c r="I1419">
        <v>1</v>
      </c>
      <c r="J1419">
        <v>2</v>
      </c>
      <c r="K1419">
        <v>28</v>
      </c>
      <c r="L1419" t="s">
        <v>42</v>
      </c>
      <c r="M1419" t="s">
        <v>38</v>
      </c>
      <c r="N1419" s="1">
        <v>45707</v>
      </c>
      <c r="O1419" s="2">
        <v>0.5841898148148148</v>
      </c>
      <c r="P1419" s="2">
        <v>0.95834490740740741</v>
      </c>
      <c r="Q1419">
        <v>8.98</v>
      </c>
      <c r="R1419">
        <v>8.98</v>
      </c>
      <c r="S1419">
        <v>1.85</v>
      </c>
      <c r="T1419">
        <v>0.59</v>
      </c>
      <c r="U1419">
        <v>0</v>
      </c>
      <c r="V1419">
        <v>0.4</v>
      </c>
      <c r="W1419">
        <v>3.53</v>
      </c>
      <c r="X1419">
        <v>1.5</v>
      </c>
      <c r="Y1419">
        <v>1.1000000000000001</v>
      </c>
      <c r="Z1419">
        <v>0</v>
      </c>
      <c r="AA1419">
        <v>0</v>
      </c>
      <c r="AB1419">
        <v>0.01</v>
      </c>
      <c r="AC1419">
        <v>8.98</v>
      </c>
      <c r="AD1419">
        <v>20.64</v>
      </c>
      <c r="AE1419">
        <v>6.54</v>
      </c>
      <c r="AF1419">
        <v>0</v>
      </c>
      <c r="AG1419">
        <v>4.49</v>
      </c>
      <c r="AH1419">
        <v>39.29</v>
      </c>
      <c r="AI1419">
        <v>16.739999999999998</v>
      </c>
      <c r="AJ1419">
        <v>12.25</v>
      </c>
      <c r="AK1419">
        <v>0</v>
      </c>
      <c r="AL1419">
        <v>0</v>
      </c>
      <c r="AM1419">
        <v>0.06</v>
      </c>
      <c r="AN1419">
        <f t="shared" si="67"/>
        <v>4</v>
      </c>
      <c r="AO1419" t="str">
        <f t="shared" si="68"/>
        <v>Wednesday</v>
      </c>
    </row>
    <row r="1420" spans="1:41" x14ac:dyDescent="0.2">
      <c r="A1420" t="s">
        <v>43</v>
      </c>
      <c r="B1420" s="1">
        <v>45707</v>
      </c>
      <c r="C1420" s="1">
        <f t="shared" si="66"/>
        <v>45716</v>
      </c>
      <c r="D1420">
        <v>35</v>
      </c>
      <c r="E1420">
        <v>79</v>
      </c>
      <c r="F1420">
        <v>0</v>
      </c>
      <c r="G1420">
        <v>16</v>
      </c>
      <c r="H1420">
        <v>15</v>
      </c>
      <c r="I1420">
        <v>0</v>
      </c>
      <c r="J1420">
        <v>2</v>
      </c>
      <c r="K1420">
        <v>34</v>
      </c>
      <c r="L1420" t="s">
        <v>43</v>
      </c>
      <c r="M1420" t="s">
        <v>38</v>
      </c>
      <c r="N1420" s="1">
        <v>45707</v>
      </c>
      <c r="O1420" s="2">
        <v>0.58282407407407411</v>
      </c>
      <c r="P1420" s="2">
        <v>0.96564814814814814</v>
      </c>
      <c r="Q1420">
        <v>9.18</v>
      </c>
      <c r="R1420">
        <v>9.18</v>
      </c>
      <c r="S1420">
        <v>2.13</v>
      </c>
      <c r="T1420">
        <v>0</v>
      </c>
      <c r="U1420">
        <v>0</v>
      </c>
      <c r="V1420">
        <v>0.73</v>
      </c>
      <c r="W1420">
        <v>2.86</v>
      </c>
      <c r="X1420">
        <v>1.52</v>
      </c>
      <c r="Y1420">
        <v>1.92</v>
      </c>
      <c r="Z1420">
        <v>0</v>
      </c>
      <c r="AA1420">
        <v>0</v>
      </c>
      <c r="AB1420">
        <v>0.02</v>
      </c>
      <c r="AC1420">
        <v>9.18</v>
      </c>
      <c r="AD1420">
        <v>23.21</v>
      </c>
      <c r="AE1420">
        <v>0</v>
      </c>
      <c r="AF1420">
        <v>0</v>
      </c>
      <c r="AG1420">
        <v>7.97</v>
      </c>
      <c r="AH1420">
        <v>31.15</v>
      </c>
      <c r="AI1420">
        <v>16.53</v>
      </c>
      <c r="AJ1420">
        <v>20.97</v>
      </c>
      <c r="AK1420">
        <v>0</v>
      </c>
      <c r="AL1420">
        <v>0</v>
      </c>
      <c r="AM1420">
        <v>0.17</v>
      </c>
      <c r="AN1420">
        <f t="shared" si="67"/>
        <v>4</v>
      </c>
      <c r="AO1420" t="str">
        <f t="shared" si="68"/>
        <v>Wednesday</v>
      </c>
    </row>
    <row r="1421" spans="1:41" x14ac:dyDescent="0.2">
      <c r="B1421" s="1">
        <v>45707</v>
      </c>
      <c r="C1421" s="1">
        <f t="shared" si="66"/>
        <v>45716</v>
      </c>
      <c r="D1421">
        <v>829</v>
      </c>
      <c r="E1421">
        <v>0</v>
      </c>
      <c r="F1421">
        <v>0</v>
      </c>
      <c r="G1421">
        <v>0</v>
      </c>
      <c r="H1421">
        <v>0</v>
      </c>
      <c r="I1421">
        <v>0</v>
      </c>
      <c r="J1421">
        <v>0</v>
      </c>
      <c r="K1421">
        <v>0</v>
      </c>
      <c r="AN1421">
        <f t="shared" si="67"/>
        <v>4</v>
      </c>
      <c r="AO1421" t="str">
        <f t="shared" si="68"/>
        <v>Wednesday</v>
      </c>
    </row>
    <row r="1422" spans="1:41" x14ac:dyDescent="0.2">
      <c r="A1422" t="s">
        <v>37</v>
      </c>
      <c r="B1422" s="1">
        <v>45706</v>
      </c>
      <c r="C1422" s="1">
        <f t="shared" si="66"/>
        <v>45716</v>
      </c>
      <c r="D1422">
        <v>30</v>
      </c>
      <c r="E1422">
        <v>81</v>
      </c>
      <c r="F1422">
        <v>5</v>
      </c>
      <c r="G1422">
        <v>4</v>
      </c>
      <c r="H1422">
        <v>4</v>
      </c>
      <c r="I1422">
        <v>0</v>
      </c>
      <c r="J1422">
        <v>1</v>
      </c>
      <c r="K1422">
        <v>52</v>
      </c>
      <c r="L1422" t="s">
        <v>37</v>
      </c>
      <c r="M1422" t="s">
        <v>38</v>
      </c>
      <c r="N1422" s="1">
        <v>45706</v>
      </c>
      <c r="O1422" s="2">
        <v>0.58364583333333331</v>
      </c>
      <c r="P1422" s="2">
        <v>0.95840277777777783</v>
      </c>
      <c r="Q1422">
        <v>9</v>
      </c>
      <c r="R1422">
        <v>9</v>
      </c>
      <c r="S1422">
        <v>1.37</v>
      </c>
      <c r="T1422">
        <v>0.14000000000000001</v>
      </c>
      <c r="U1422">
        <v>0</v>
      </c>
      <c r="V1422">
        <v>0.19</v>
      </c>
      <c r="W1422">
        <v>5.55</v>
      </c>
      <c r="X1422">
        <v>1.29</v>
      </c>
      <c r="Y1422">
        <v>0.36</v>
      </c>
      <c r="Z1422">
        <v>0</v>
      </c>
      <c r="AA1422">
        <v>0</v>
      </c>
      <c r="AB1422">
        <v>0.1</v>
      </c>
      <c r="AC1422">
        <v>9</v>
      </c>
      <c r="AD1422">
        <v>15.27</v>
      </c>
      <c r="AE1422">
        <v>1.57</v>
      </c>
      <c r="AF1422">
        <v>0</v>
      </c>
      <c r="AG1422">
        <v>2.08</v>
      </c>
      <c r="AH1422">
        <v>61.64</v>
      </c>
      <c r="AI1422">
        <v>14.37</v>
      </c>
      <c r="AJ1422">
        <v>3.99</v>
      </c>
      <c r="AK1422">
        <v>0</v>
      </c>
      <c r="AL1422">
        <v>0</v>
      </c>
      <c r="AM1422">
        <v>1.08</v>
      </c>
      <c r="AN1422">
        <f t="shared" si="67"/>
        <v>3</v>
      </c>
      <c r="AO1422" t="str">
        <f t="shared" si="68"/>
        <v>Tuesday</v>
      </c>
    </row>
    <row r="1423" spans="1:41" x14ac:dyDescent="0.2">
      <c r="A1423" t="s">
        <v>39</v>
      </c>
      <c r="B1423" s="1">
        <v>45706</v>
      </c>
      <c r="C1423" s="1">
        <f t="shared" si="66"/>
        <v>45716</v>
      </c>
      <c r="D1423">
        <v>40</v>
      </c>
      <c r="E1423">
        <v>100</v>
      </c>
      <c r="F1423">
        <v>7</v>
      </c>
      <c r="G1423">
        <v>8</v>
      </c>
      <c r="H1423">
        <v>8</v>
      </c>
      <c r="I1423">
        <v>0</v>
      </c>
      <c r="J1423">
        <v>3</v>
      </c>
      <c r="K1423">
        <v>52</v>
      </c>
      <c r="L1423" t="s">
        <v>39</v>
      </c>
      <c r="M1423" t="s">
        <v>38</v>
      </c>
      <c r="N1423" s="1">
        <v>45706</v>
      </c>
      <c r="O1423" s="2">
        <v>0.58369212962962957</v>
      </c>
      <c r="P1423" s="2">
        <v>0.9585069444444444</v>
      </c>
      <c r="Q1423">
        <v>9</v>
      </c>
      <c r="R1423">
        <v>8.99</v>
      </c>
      <c r="S1423">
        <v>1.47</v>
      </c>
      <c r="T1423">
        <v>0.05</v>
      </c>
      <c r="U1423">
        <v>0</v>
      </c>
      <c r="V1423">
        <v>0.04</v>
      </c>
      <c r="W1423">
        <v>5.78</v>
      </c>
      <c r="X1423">
        <v>1.49</v>
      </c>
      <c r="Y1423">
        <v>0.16</v>
      </c>
      <c r="Z1423">
        <v>0</v>
      </c>
      <c r="AA1423">
        <v>0</v>
      </c>
      <c r="AB1423">
        <v>0</v>
      </c>
      <c r="AC1423">
        <v>8.99</v>
      </c>
      <c r="AD1423">
        <v>16.309999999999999</v>
      </c>
      <c r="AE1423">
        <v>0.53</v>
      </c>
      <c r="AF1423">
        <v>0</v>
      </c>
      <c r="AG1423">
        <v>0.48</v>
      </c>
      <c r="AH1423">
        <v>64.319999999999993</v>
      </c>
      <c r="AI1423">
        <v>16.57</v>
      </c>
      <c r="AJ1423">
        <v>1.75</v>
      </c>
      <c r="AK1423">
        <v>0</v>
      </c>
      <c r="AL1423">
        <v>0</v>
      </c>
      <c r="AM1423">
        <v>0.04</v>
      </c>
      <c r="AN1423">
        <f t="shared" si="67"/>
        <v>3</v>
      </c>
      <c r="AO1423" t="str">
        <f t="shared" si="68"/>
        <v>Tuesday</v>
      </c>
    </row>
    <row r="1424" spans="1:41" x14ac:dyDescent="0.2">
      <c r="A1424" t="s">
        <v>41</v>
      </c>
      <c r="B1424" s="1">
        <v>45706</v>
      </c>
      <c r="C1424" s="1">
        <f t="shared" si="66"/>
        <v>45716</v>
      </c>
      <c r="D1424">
        <v>44</v>
      </c>
      <c r="E1424">
        <v>107</v>
      </c>
      <c r="F1424">
        <v>4</v>
      </c>
      <c r="G1424">
        <v>8</v>
      </c>
      <c r="H1424">
        <v>8</v>
      </c>
      <c r="I1424">
        <v>0</v>
      </c>
      <c r="J1424">
        <v>1</v>
      </c>
      <c r="K1424">
        <v>62</v>
      </c>
      <c r="L1424" t="s">
        <v>41</v>
      </c>
      <c r="M1424" t="s">
        <v>38</v>
      </c>
      <c r="N1424" s="1">
        <v>45706</v>
      </c>
      <c r="O1424" s="2">
        <v>0.58439814814814817</v>
      </c>
      <c r="P1424" s="2">
        <v>0.95810185185185182</v>
      </c>
      <c r="Q1424">
        <v>8.9700000000000006</v>
      </c>
      <c r="R1424">
        <v>8.9700000000000006</v>
      </c>
      <c r="S1424">
        <v>1.03</v>
      </c>
      <c r="T1424">
        <v>0.04</v>
      </c>
      <c r="U1424">
        <v>0</v>
      </c>
      <c r="V1424">
        <v>0.19</v>
      </c>
      <c r="W1424">
        <v>6.25</v>
      </c>
      <c r="X1424">
        <v>1.46</v>
      </c>
      <c r="Y1424">
        <v>0</v>
      </c>
      <c r="Z1424">
        <v>0</v>
      </c>
      <c r="AA1424">
        <v>0</v>
      </c>
      <c r="AB1424">
        <v>0</v>
      </c>
      <c r="AC1424">
        <v>8.9700000000000006</v>
      </c>
      <c r="AD1424">
        <v>11.43</v>
      </c>
      <c r="AE1424">
        <v>0.42</v>
      </c>
      <c r="AF1424">
        <v>0</v>
      </c>
      <c r="AG1424">
        <v>2.08</v>
      </c>
      <c r="AH1424">
        <v>69.709999999999994</v>
      </c>
      <c r="AI1424">
        <v>16.309999999999999</v>
      </c>
      <c r="AJ1424">
        <v>0</v>
      </c>
      <c r="AK1424">
        <v>0</v>
      </c>
      <c r="AL1424">
        <v>0</v>
      </c>
      <c r="AM1424">
        <v>0.04</v>
      </c>
      <c r="AN1424">
        <f t="shared" si="67"/>
        <v>3</v>
      </c>
      <c r="AO1424" t="str">
        <f t="shared" si="68"/>
        <v>Tuesday</v>
      </c>
    </row>
    <row r="1425" spans="1:41" x14ac:dyDescent="0.2">
      <c r="A1425" t="s">
        <v>42</v>
      </c>
      <c r="B1425" s="1">
        <v>45706</v>
      </c>
      <c r="C1425" s="1">
        <f t="shared" si="66"/>
        <v>45716</v>
      </c>
      <c r="D1425">
        <v>26</v>
      </c>
      <c r="E1425">
        <v>41</v>
      </c>
      <c r="F1425">
        <v>2</v>
      </c>
      <c r="G1425">
        <v>4</v>
      </c>
      <c r="H1425">
        <v>5</v>
      </c>
      <c r="I1425">
        <v>0</v>
      </c>
      <c r="J1425">
        <v>0</v>
      </c>
      <c r="K1425">
        <v>22</v>
      </c>
      <c r="L1425" t="s">
        <v>42</v>
      </c>
      <c r="M1425" t="s">
        <v>38</v>
      </c>
      <c r="N1425" s="1">
        <v>45706</v>
      </c>
      <c r="O1425" s="2">
        <v>0.58438657407407413</v>
      </c>
      <c r="P1425" s="2">
        <v>0.96387731481481487</v>
      </c>
      <c r="Q1425">
        <v>9.1</v>
      </c>
      <c r="R1425">
        <v>9.11</v>
      </c>
      <c r="S1425">
        <v>2.15</v>
      </c>
      <c r="T1425">
        <v>0.46</v>
      </c>
      <c r="U1425">
        <v>0</v>
      </c>
      <c r="V1425">
        <v>0.4</v>
      </c>
      <c r="W1425">
        <v>4.6100000000000003</v>
      </c>
      <c r="X1425">
        <v>1.48</v>
      </c>
      <c r="Y1425">
        <v>0</v>
      </c>
      <c r="Z1425">
        <v>0</v>
      </c>
      <c r="AA1425">
        <v>0</v>
      </c>
      <c r="AB1425">
        <v>0.01</v>
      </c>
      <c r="AC1425">
        <v>9.11</v>
      </c>
      <c r="AD1425">
        <v>23.6</v>
      </c>
      <c r="AE1425">
        <v>5.03</v>
      </c>
      <c r="AF1425">
        <v>0</v>
      </c>
      <c r="AG1425">
        <v>4.3899999999999997</v>
      </c>
      <c r="AH1425">
        <v>50.63</v>
      </c>
      <c r="AI1425">
        <v>16.28</v>
      </c>
      <c r="AJ1425">
        <v>0</v>
      </c>
      <c r="AK1425">
        <v>0</v>
      </c>
      <c r="AL1425">
        <v>0</v>
      </c>
      <c r="AM1425">
        <v>0.06</v>
      </c>
      <c r="AN1425">
        <f t="shared" si="67"/>
        <v>3</v>
      </c>
      <c r="AO1425" t="str">
        <f t="shared" si="68"/>
        <v>Tuesday</v>
      </c>
    </row>
    <row r="1426" spans="1:41" x14ac:dyDescent="0.2">
      <c r="A1426" t="s">
        <v>43</v>
      </c>
      <c r="B1426" s="1">
        <v>45706</v>
      </c>
      <c r="C1426" s="1">
        <f t="shared" si="66"/>
        <v>45716</v>
      </c>
      <c r="D1426">
        <v>39</v>
      </c>
      <c r="E1426">
        <v>105</v>
      </c>
      <c r="F1426">
        <v>3</v>
      </c>
      <c r="G1426">
        <v>5</v>
      </c>
      <c r="H1426">
        <v>9</v>
      </c>
      <c r="I1426">
        <v>0</v>
      </c>
      <c r="J1426">
        <v>1</v>
      </c>
      <c r="K1426">
        <v>60</v>
      </c>
      <c r="L1426" t="s">
        <v>43</v>
      </c>
      <c r="M1426" t="s">
        <v>38</v>
      </c>
      <c r="N1426" s="1">
        <v>45706</v>
      </c>
      <c r="O1426" s="2">
        <v>0.58322916666666669</v>
      </c>
      <c r="P1426" s="2">
        <v>0.96031250000000001</v>
      </c>
      <c r="Q1426">
        <v>9.0500000000000007</v>
      </c>
      <c r="R1426">
        <v>9.0500000000000007</v>
      </c>
      <c r="S1426">
        <v>1.82</v>
      </c>
      <c r="T1426">
        <v>0.17</v>
      </c>
      <c r="U1426">
        <v>0</v>
      </c>
      <c r="V1426">
        <v>0.36</v>
      </c>
      <c r="W1426">
        <v>4.97</v>
      </c>
      <c r="X1426">
        <v>1.49</v>
      </c>
      <c r="Y1426">
        <v>0.23</v>
      </c>
      <c r="Z1426">
        <v>0</v>
      </c>
      <c r="AA1426">
        <v>0</v>
      </c>
      <c r="AB1426">
        <v>0</v>
      </c>
      <c r="AC1426">
        <v>9.0500000000000007</v>
      </c>
      <c r="AD1426">
        <v>20.12</v>
      </c>
      <c r="AE1426">
        <v>1.9</v>
      </c>
      <c r="AF1426">
        <v>0</v>
      </c>
      <c r="AG1426">
        <v>3.99</v>
      </c>
      <c r="AH1426">
        <v>54.92</v>
      </c>
      <c r="AI1426">
        <v>16.47</v>
      </c>
      <c r="AJ1426">
        <v>2.56</v>
      </c>
      <c r="AK1426">
        <v>0</v>
      </c>
      <c r="AL1426">
        <v>0</v>
      </c>
      <c r="AM1426">
        <v>0.04</v>
      </c>
      <c r="AN1426">
        <f t="shared" si="67"/>
        <v>3</v>
      </c>
      <c r="AO1426" t="str">
        <f t="shared" si="68"/>
        <v>Tuesday</v>
      </c>
    </row>
    <row r="1427" spans="1:41" x14ac:dyDescent="0.2">
      <c r="B1427" s="1">
        <v>45706</v>
      </c>
      <c r="C1427" s="1">
        <f t="shared" si="66"/>
        <v>45716</v>
      </c>
      <c r="D1427">
        <v>773</v>
      </c>
      <c r="E1427">
        <v>0</v>
      </c>
      <c r="F1427">
        <v>0</v>
      </c>
      <c r="G1427">
        <v>0</v>
      </c>
      <c r="H1427">
        <v>0</v>
      </c>
      <c r="I1427">
        <v>0</v>
      </c>
      <c r="J1427">
        <v>0</v>
      </c>
      <c r="K1427">
        <v>0</v>
      </c>
      <c r="AN1427">
        <f t="shared" si="67"/>
        <v>3</v>
      </c>
      <c r="AO1427" t="str">
        <f t="shared" si="68"/>
        <v>Tuesday</v>
      </c>
    </row>
    <row r="1428" spans="1:41" x14ac:dyDescent="0.2">
      <c r="A1428" t="s">
        <v>37</v>
      </c>
      <c r="B1428" s="1">
        <v>45702</v>
      </c>
      <c r="C1428" s="1">
        <f t="shared" si="66"/>
        <v>45716</v>
      </c>
      <c r="D1428">
        <v>28</v>
      </c>
      <c r="E1428">
        <v>58</v>
      </c>
      <c r="F1428">
        <v>4</v>
      </c>
      <c r="G1428">
        <v>6</v>
      </c>
      <c r="H1428">
        <v>0</v>
      </c>
      <c r="I1428">
        <v>0</v>
      </c>
      <c r="J1428">
        <v>0</v>
      </c>
      <c r="K1428">
        <v>35</v>
      </c>
      <c r="L1428" t="s">
        <v>37</v>
      </c>
      <c r="M1428" t="s">
        <v>38</v>
      </c>
      <c r="N1428" s="1">
        <v>45702</v>
      </c>
      <c r="O1428" s="2">
        <v>0.58391203703703709</v>
      </c>
      <c r="P1428" s="2">
        <v>0.95863425925925927</v>
      </c>
      <c r="Q1428">
        <v>9</v>
      </c>
      <c r="R1428">
        <v>8.08</v>
      </c>
      <c r="S1428">
        <v>1.36</v>
      </c>
      <c r="T1428">
        <v>0</v>
      </c>
      <c r="U1428">
        <v>0</v>
      </c>
      <c r="V1428">
        <v>0.18</v>
      </c>
      <c r="W1428">
        <v>6.4</v>
      </c>
      <c r="X1428">
        <v>0.08</v>
      </c>
      <c r="Y1428">
        <v>0</v>
      </c>
      <c r="Z1428">
        <v>0</v>
      </c>
      <c r="AA1428">
        <v>0</v>
      </c>
      <c r="AB1428">
        <v>0.05</v>
      </c>
      <c r="AC1428">
        <v>8.08</v>
      </c>
      <c r="AD1428">
        <v>16.87</v>
      </c>
      <c r="AE1428">
        <v>0</v>
      </c>
      <c r="AF1428">
        <v>0</v>
      </c>
      <c r="AG1428">
        <v>2.21</v>
      </c>
      <c r="AH1428">
        <v>79.3</v>
      </c>
      <c r="AI1428">
        <v>0.99</v>
      </c>
      <c r="AJ1428">
        <v>0</v>
      </c>
      <c r="AK1428">
        <v>0</v>
      </c>
      <c r="AL1428">
        <v>0</v>
      </c>
      <c r="AM1428">
        <v>0.63</v>
      </c>
      <c r="AN1428">
        <f t="shared" si="67"/>
        <v>6</v>
      </c>
      <c r="AO1428" t="str">
        <f t="shared" si="68"/>
        <v>Friday</v>
      </c>
    </row>
    <row r="1429" spans="1:41" x14ac:dyDescent="0.2">
      <c r="A1429" t="s">
        <v>39</v>
      </c>
      <c r="B1429" s="1">
        <v>45702</v>
      </c>
      <c r="C1429" s="1">
        <f t="shared" si="66"/>
        <v>45716</v>
      </c>
      <c r="D1429">
        <v>31</v>
      </c>
      <c r="E1429">
        <v>70</v>
      </c>
      <c r="F1429">
        <v>4</v>
      </c>
      <c r="G1429">
        <v>2</v>
      </c>
      <c r="H1429">
        <v>4</v>
      </c>
      <c r="I1429">
        <v>0</v>
      </c>
      <c r="J1429">
        <v>0</v>
      </c>
      <c r="K1429">
        <v>45</v>
      </c>
      <c r="L1429" t="s">
        <v>39</v>
      </c>
      <c r="M1429" t="s">
        <v>38</v>
      </c>
      <c r="N1429" s="1">
        <v>45702</v>
      </c>
      <c r="O1429" s="2">
        <v>0.58337962962962964</v>
      </c>
      <c r="P1429" s="2">
        <v>0.95835648148148145</v>
      </c>
      <c r="Q1429">
        <v>9</v>
      </c>
      <c r="R1429">
        <v>9</v>
      </c>
      <c r="S1429">
        <v>1.44</v>
      </c>
      <c r="T1429">
        <v>0</v>
      </c>
      <c r="U1429">
        <v>0</v>
      </c>
      <c r="V1429">
        <v>0.05</v>
      </c>
      <c r="W1429">
        <v>6.03</v>
      </c>
      <c r="X1429">
        <v>1.47</v>
      </c>
      <c r="Y1429">
        <v>0</v>
      </c>
      <c r="Z1429">
        <v>0</v>
      </c>
      <c r="AA1429">
        <v>0</v>
      </c>
      <c r="AB1429">
        <v>0</v>
      </c>
      <c r="AC1429">
        <v>9</v>
      </c>
      <c r="AD1429">
        <v>16.03</v>
      </c>
      <c r="AE1429">
        <v>0</v>
      </c>
      <c r="AF1429">
        <v>0</v>
      </c>
      <c r="AG1429">
        <v>0.56000000000000005</v>
      </c>
      <c r="AH1429">
        <v>67.02</v>
      </c>
      <c r="AI1429">
        <v>16.350000000000001</v>
      </c>
      <c r="AJ1429">
        <v>0</v>
      </c>
      <c r="AK1429">
        <v>0</v>
      </c>
      <c r="AL1429">
        <v>0</v>
      </c>
      <c r="AM1429">
        <v>0.05</v>
      </c>
      <c r="AN1429">
        <f t="shared" si="67"/>
        <v>6</v>
      </c>
      <c r="AO1429" t="str">
        <f t="shared" si="68"/>
        <v>Friday</v>
      </c>
    </row>
    <row r="1430" spans="1:41" x14ac:dyDescent="0.2">
      <c r="A1430" t="s">
        <v>41</v>
      </c>
      <c r="B1430" s="1">
        <v>45702</v>
      </c>
      <c r="C1430" s="1">
        <f t="shared" si="66"/>
        <v>45716</v>
      </c>
      <c r="D1430">
        <v>28</v>
      </c>
      <c r="E1430">
        <v>73</v>
      </c>
      <c r="F1430">
        <v>2</v>
      </c>
      <c r="G1430">
        <v>2</v>
      </c>
      <c r="H1430">
        <v>1</v>
      </c>
      <c r="I1430">
        <v>0</v>
      </c>
      <c r="J1430">
        <v>1</v>
      </c>
      <c r="K1430">
        <v>54</v>
      </c>
      <c r="L1430" t="s">
        <v>41</v>
      </c>
      <c r="M1430" t="s">
        <v>38</v>
      </c>
      <c r="N1430" s="1">
        <v>45702</v>
      </c>
      <c r="O1430" s="2">
        <v>0.58628472222222228</v>
      </c>
      <c r="P1430" s="2">
        <v>0.83216435185185189</v>
      </c>
      <c r="Q1430">
        <v>5.9</v>
      </c>
      <c r="R1430">
        <v>5.9</v>
      </c>
      <c r="S1430">
        <v>0.59</v>
      </c>
      <c r="T1430">
        <v>0</v>
      </c>
      <c r="U1430">
        <v>0</v>
      </c>
      <c r="V1430">
        <v>0.08</v>
      </c>
      <c r="W1430">
        <v>4.4800000000000004</v>
      </c>
      <c r="X1430">
        <v>0.74</v>
      </c>
      <c r="Y1430">
        <v>0</v>
      </c>
      <c r="Z1430">
        <v>0</v>
      </c>
      <c r="AA1430">
        <v>0</v>
      </c>
      <c r="AB1430">
        <v>0.01</v>
      </c>
      <c r="AC1430">
        <v>5.9</v>
      </c>
      <c r="AD1430">
        <v>10.050000000000001</v>
      </c>
      <c r="AE1430">
        <v>0</v>
      </c>
      <c r="AF1430">
        <v>0</v>
      </c>
      <c r="AG1430">
        <v>1.42</v>
      </c>
      <c r="AH1430">
        <v>75.87</v>
      </c>
      <c r="AI1430">
        <v>12.5</v>
      </c>
      <c r="AJ1430">
        <v>0</v>
      </c>
      <c r="AK1430">
        <v>0</v>
      </c>
      <c r="AL1430">
        <v>0</v>
      </c>
      <c r="AM1430">
        <v>0.16</v>
      </c>
      <c r="AN1430">
        <f t="shared" si="67"/>
        <v>6</v>
      </c>
      <c r="AO1430" t="str">
        <f t="shared" si="68"/>
        <v>Friday</v>
      </c>
    </row>
    <row r="1431" spans="1:41" x14ac:dyDescent="0.2">
      <c r="A1431" t="s">
        <v>42</v>
      </c>
      <c r="B1431" s="1">
        <v>45702</v>
      </c>
      <c r="C1431" s="1">
        <f t="shared" si="66"/>
        <v>45716</v>
      </c>
      <c r="D1431">
        <v>5</v>
      </c>
      <c r="E1431">
        <v>6</v>
      </c>
      <c r="F1431">
        <v>2</v>
      </c>
      <c r="G1431">
        <v>0</v>
      </c>
      <c r="H1431">
        <v>0</v>
      </c>
      <c r="I1431">
        <v>0</v>
      </c>
      <c r="J1431">
        <v>0</v>
      </c>
      <c r="K1431">
        <v>3</v>
      </c>
      <c r="L1431" t="s">
        <v>42</v>
      </c>
      <c r="M1431" t="s">
        <v>38</v>
      </c>
      <c r="N1431" s="1">
        <v>45702</v>
      </c>
      <c r="O1431" s="2">
        <v>0.58331018518518518</v>
      </c>
      <c r="P1431" s="2">
        <v>0.70879629629629626</v>
      </c>
      <c r="Q1431">
        <v>3.02</v>
      </c>
      <c r="R1431">
        <v>3.01</v>
      </c>
      <c r="S1431">
        <v>0.56000000000000005</v>
      </c>
      <c r="T1431">
        <v>0.46</v>
      </c>
      <c r="U1431">
        <v>0</v>
      </c>
      <c r="V1431">
        <v>0.1</v>
      </c>
      <c r="W1431">
        <v>1.88</v>
      </c>
      <c r="X1431">
        <v>0</v>
      </c>
      <c r="Y1431">
        <v>0</v>
      </c>
      <c r="Z1431">
        <v>0</v>
      </c>
      <c r="AA1431">
        <v>0</v>
      </c>
      <c r="AB1431">
        <v>0</v>
      </c>
      <c r="AC1431">
        <v>3.01</v>
      </c>
      <c r="AD1431">
        <v>18.53</v>
      </c>
      <c r="AE1431">
        <v>15.43</v>
      </c>
      <c r="AF1431">
        <v>0</v>
      </c>
      <c r="AG1431">
        <v>3.41</v>
      </c>
      <c r="AH1431">
        <v>62.47</v>
      </c>
      <c r="AI1431">
        <v>0</v>
      </c>
      <c r="AJ1431">
        <v>0</v>
      </c>
      <c r="AK1431">
        <v>0</v>
      </c>
      <c r="AL1431">
        <v>0</v>
      </c>
      <c r="AM1431">
        <v>0.16</v>
      </c>
      <c r="AN1431">
        <f t="shared" si="67"/>
        <v>6</v>
      </c>
      <c r="AO1431" t="str">
        <f t="shared" si="68"/>
        <v>Friday</v>
      </c>
    </row>
    <row r="1432" spans="1:41" x14ac:dyDescent="0.2">
      <c r="A1432" t="s">
        <v>43</v>
      </c>
      <c r="B1432" s="1">
        <v>45702</v>
      </c>
      <c r="C1432" s="1">
        <f t="shared" si="66"/>
        <v>45716</v>
      </c>
      <c r="D1432">
        <v>20</v>
      </c>
      <c r="E1432">
        <v>48</v>
      </c>
      <c r="F1432">
        <v>6</v>
      </c>
      <c r="G1432">
        <v>1</v>
      </c>
      <c r="H1432">
        <v>9</v>
      </c>
      <c r="I1432">
        <v>0</v>
      </c>
      <c r="J1432">
        <v>0</v>
      </c>
      <c r="K1432">
        <v>19</v>
      </c>
      <c r="L1432" t="s">
        <v>43</v>
      </c>
      <c r="M1432" t="s">
        <v>38</v>
      </c>
      <c r="N1432" s="1">
        <v>45702</v>
      </c>
      <c r="O1432" s="2">
        <v>0.58307870370370374</v>
      </c>
      <c r="P1432" s="2">
        <v>0.9591319444444445</v>
      </c>
      <c r="Q1432">
        <v>9.0299999999999994</v>
      </c>
      <c r="R1432">
        <v>9.0299999999999994</v>
      </c>
      <c r="S1432">
        <v>1.1499999999999999</v>
      </c>
      <c r="T1432">
        <v>0.23</v>
      </c>
      <c r="U1432">
        <v>0</v>
      </c>
      <c r="V1432">
        <v>0.38</v>
      </c>
      <c r="W1432">
        <v>5.05</v>
      </c>
      <c r="X1432">
        <v>1.93</v>
      </c>
      <c r="Y1432">
        <v>0.28000000000000003</v>
      </c>
      <c r="Z1432">
        <v>0</v>
      </c>
      <c r="AA1432">
        <v>0.01</v>
      </c>
      <c r="AB1432">
        <v>0</v>
      </c>
      <c r="AC1432">
        <v>9.0299999999999994</v>
      </c>
      <c r="AD1432">
        <v>12.74</v>
      </c>
      <c r="AE1432">
        <v>2.5299999999999998</v>
      </c>
      <c r="AF1432">
        <v>0</v>
      </c>
      <c r="AG1432">
        <v>4.17</v>
      </c>
      <c r="AH1432">
        <v>55.97</v>
      </c>
      <c r="AI1432">
        <v>21.39</v>
      </c>
      <c r="AJ1432">
        <v>3.11</v>
      </c>
      <c r="AK1432">
        <v>0</v>
      </c>
      <c r="AL1432">
        <v>0.06</v>
      </c>
      <c r="AM1432">
        <v>0.04</v>
      </c>
      <c r="AN1432">
        <f t="shared" si="67"/>
        <v>6</v>
      </c>
      <c r="AO1432" t="str">
        <f t="shared" si="68"/>
        <v>Friday</v>
      </c>
    </row>
    <row r="1433" spans="1:41" x14ac:dyDescent="0.2">
      <c r="B1433" s="1">
        <v>45702</v>
      </c>
      <c r="C1433" s="1">
        <f t="shared" si="66"/>
        <v>45716</v>
      </c>
      <c r="D1433">
        <v>786</v>
      </c>
      <c r="E1433">
        <v>0</v>
      </c>
      <c r="F1433">
        <v>0</v>
      </c>
      <c r="G1433">
        <v>0</v>
      </c>
      <c r="H1433">
        <v>0</v>
      </c>
      <c r="I1433">
        <v>0</v>
      </c>
      <c r="J1433">
        <v>0</v>
      </c>
      <c r="K1433">
        <v>0</v>
      </c>
      <c r="AN1433">
        <f t="shared" si="67"/>
        <v>6</v>
      </c>
      <c r="AO1433" t="str">
        <f t="shared" si="68"/>
        <v>Friday</v>
      </c>
    </row>
    <row r="1434" spans="1:41" x14ac:dyDescent="0.2">
      <c r="A1434" t="s">
        <v>37</v>
      </c>
      <c r="B1434" s="1">
        <v>45701</v>
      </c>
      <c r="C1434" s="1">
        <f t="shared" si="66"/>
        <v>45716</v>
      </c>
      <c r="D1434">
        <v>34</v>
      </c>
      <c r="E1434">
        <v>91</v>
      </c>
      <c r="F1434">
        <v>5</v>
      </c>
      <c r="G1434">
        <v>2</v>
      </c>
      <c r="H1434">
        <v>9</v>
      </c>
      <c r="I1434">
        <v>0</v>
      </c>
      <c r="J1434">
        <v>2</v>
      </c>
      <c r="K1434">
        <v>54</v>
      </c>
      <c r="L1434" t="s">
        <v>37</v>
      </c>
      <c r="M1434" t="s">
        <v>38</v>
      </c>
      <c r="N1434" s="1">
        <v>45701</v>
      </c>
      <c r="O1434" s="2">
        <v>0.58354166666666663</v>
      </c>
      <c r="P1434" s="2">
        <v>0.95855324074074078</v>
      </c>
      <c r="Q1434">
        <v>9</v>
      </c>
      <c r="R1434">
        <v>8.08</v>
      </c>
      <c r="S1434">
        <v>1.1499999999999999</v>
      </c>
      <c r="T1434">
        <v>0.03</v>
      </c>
      <c r="U1434">
        <v>0</v>
      </c>
      <c r="V1434">
        <v>0.26</v>
      </c>
      <c r="W1434">
        <v>5.97</v>
      </c>
      <c r="X1434">
        <v>0.32</v>
      </c>
      <c r="Y1434">
        <v>0.35</v>
      </c>
      <c r="Z1434">
        <v>0</v>
      </c>
      <c r="AA1434">
        <v>0</v>
      </c>
      <c r="AB1434">
        <v>0.01</v>
      </c>
      <c r="AC1434">
        <v>8.08</v>
      </c>
      <c r="AD1434">
        <v>14.2</v>
      </c>
      <c r="AE1434">
        <v>0.38</v>
      </c>
      <c r="AF1434">
        <v>0</v>
      </c>
      <c r="AG1434">
        <v>3.17</v>
      </c>
      <c r="AH1434">
        <v>73.84</v>
      </c>
      <c r="AI1434">
        <v>3.92</v>
      </c>
      <c r="AJ1434">
        <v>4.3600000000000003</v>
      </c>
      <c r="AK1434">
        <v>0</v>
      </c>
      <c r="AL1434">
        <v>0</v>
      </c>
      <c r="AM1434">
        <v>0.14000000000000001</v>
      </c>
      <c r="AN1434">
        <f t="shared" si="67"/>
        <v>5</v>
      </c>
      <c r="AO1434" t="str">
        <f t="shared" si="68"/>
        <v>Thursday</v>
      </c>
    </row>
    <row r="1435" spans="1:41" x14ac:dyDescent="0.2">
      <c r="A1435" t="s">
        <v>39</v>
      </c>
      <c r="B1435" s="1">
        <v>45701</v>
      </c>
      <c r="C1435" s="1">
        <f t="shared" si="66"/>
        <v>45716</v>
      </c>
      <c r="D1435">
        <v>30</v>
      </c>
      <c r="E1435">
        <v>56</v>
      </c>
      <c r="F1435">
        <v>3</v>
      </c>
      <c r="G1435">
        <v>1</v>
      </c>
      <c r="H1435">
        <v>7</v>
      </c>
      <c r="I1435">
        <v>0</v>
      </c>
      <c r="J1435">
        <v>1</v>
      </c>
      <c r="K1435">
        <v>30</v>
      </c>
      <c r="L1435" t="s">
        <v>39</v>
      </c>
      <c r="M1435" t="s">
        <v>38</v>
      </c>
      <c r="N1435" s="1">
        <v>45701</v>
      </c>
      <c r="O1435" s="2">
        <v>0.58344907407407409</v>
      </c>
      <c r="P1435" s="2">
        <v>0.95844907407407409</v>
      </c>
      <c r="Q1435">
        <v>9</v>
      </c>
      <c r="R1435">
        <v>9.0399999999999991</v>
      </c>
      <c r="S1435">
        <v>0.85</v>
      </c>
      <c r="T1435">
        <v>0.13</v>
      </c>
      <c r="U1435">
        <v>0</v>
      </c>
      <c r="V1435">
        <v>0.04</v>
      </c>
      <c r="W1435">
        <v>6.18</v>
      </c>
      <c r="X1435">
        <v>1.48</v>
      </c>
      <c r="Y1435">
        <v>0.34</v>
      </c>
      <c r="Z1435">
        <v>0</v>
      </c>
      <c r="AA1435">
        <v>0</v>
      </c>
      <c r="AB1435">
        <v>0</v>
      </c>
      <c r="AC1435">
        <v>9.0399999999999991</v>
      </c>
      <c r="AD1435">
        <v>9.4499999999999993</v>
      </c>
      <c r="AE1435">
        <v>1.42</v>
      </c>
      <c r="AF1435">
        <v>0</v>
      </c>
      <c r="AG1435">
        <v>0.45</v>
      </c>
      <c r="AH1435">
        <v>68.430000000000007</v>
      </c>
      <c r="AI1435">
        <v>16.43</v>
      </c>
      <c r="AJ1435">
        <v>3.78</v>
      </c>
      <c r="AK1435">
        <v>0</v>
      </c>
      <c r="AL1435">
        <v>0</v>
      </c>
      <c r="AM1435">
        <v>0.05</v>
      </c>
      <c r="AN1435">
        <f t="shared" si="67"/>
        <v>5</v>
      </c>
      <c r="AO1435" t="str">
        <f t="shared" si="68"/>
        <v>Thursday</v>
      </c>
    </row>
    <row r="1436" spans="1:41" x14ac:dyDescent="0.2">
      <c r="A1436" t="s">
        <v>41</v>
      </c>
      <c r="B1436" s="1">
        <v>45701</v>
      </c>
      <c r="C1436" s="1">
        <f t="shared" si="66"/>
        <v>45716</v>
      </c>
      <c r="D1436">
        <v>40</v>
      </c>
      <c r="E1436">
        <v>87</v>
      </c>
      <c r="F1436">
        <v>3</v>
      </c>
      <c r="G1436">
        <v>8</v>
      </c>
      <c r="H1436">
        <v>1</v>
      </c>
      <c r="I1436">
        <v>0</v>
      </c>
      <c r="J1436">
        <v>3</v>
      </c>
      <c r="K1436">
        <v>46</v>
      </c>
      <c r="L1436" t="s">
        <v>41</v>
      </c>
      <c r="M1436" t="s">
        <v>38</v>
      </c>
      <c r="N1436" s="1">
        <v>45701</v>
      </c>
      <c r="O1436" s="2">
        <v>0.58436342592592594</v>
      </c>
      <c r="P1436" s="2">
        <v>0.95711805555555551</v>
      </c>
      <c r="Q1436">
        <v>8.9499999999999993</v>
      </c>
      <c r="R1436">
        <v>8.9499999999999993</v>
      </c>
      <c r="S1436">
        <v>1.07</v>
      </c>
      <c r="T1436">
        <v>0</v>
      </c>
      <c r="U1436">
        <v>0</v>
      </c>
      <c r="V1436">
        <v>0.17</v>
      </c>
      <c r="W1436">
        <v>5.88</v>
      </c>
      <c r="X1436">
        <v>1.47</v>
      </c>
      <c r="Y1436">
        <v>0.34</v>
      </c>
      <c r="Z1436">
        <v>0</v>
      </c>
      <c r="AA1436">
        <v>0</v>
      </c>
      <c r="AB1436">
        <v>0.01</v>
      </c>
      <c r="AC1436">
        <v>8.9499999999999993</v>
      </c>
      <c r="AD1436">
        <v>11.99</v>
      </c>
      <c r="AE1436">
        <v>0</v>
      </c>
      <c r="AF1436">
        <v>0</v>
      </c>
      <c r="AG1436">
        <v>1.91</v>
      </c>
      <c r="AH1436">
        <v>65.680000000000007</v>
      </c>
      <c r="AI1436">
        <v>16.43</v>
      </c>
      <c r="AJ1436">
        <v>3.83</v>
      </c>
      <c r="AK1436">
        <v>0</v>
      </c>
      <c r="AL1436">
        <v>0</v>
      </c>
      <c r="AM1436">
        <v>0.16</v>
      </c>
      <c r="AN1436">
        <f t="shared" si="67"/>
        <v>5</v>
      </c>
      <c r="AO1436" t="str">
        <f t="shared" si="68"/>
        <v>Thursday</v>
      </c>
    </row>
    <row r="1437" spans="1:41" x14ac:dyDescent="0.2">
      <c r="A1437" t="s">
        <v>42</v>
      </c>
      <c r="B1437" s="1">
        <v>45701</v>
      </c>
      <c r="C1437" s="1">
        <f t="shared" si="66"/>
        <v>45716</v>
      </c>
      <c r="D1437">
        <v>21</v>
      </c>
      <c r="E1437">
        <v>28</v>
      </c>
      <c r="F1437">
        <v>4</v>
      </c>
      <c r="G1437">
        <v>2</v>
      </c>
      <c r="H1437">
        <v>1</v>
      </c>
      <c r="I1437">
        <v>0</v>
      </c>
      <c r="J1437">
        <v>0</v>
      </c>
      <c r="K1437">
        <v>14</v>
      </c>
      <c r="L1437" t="s">
        <v>42</v>
      </c>
      <c r="M1437" t="s">
        <v>38</v>
      </c>
      <c r="N1437" s="1">
        <v>45701</v>
      </c>
      <c r="O1437" s="2">
        <v>0.58408564814814812</v>
      </c>
      <c r="P1437" s="2">
        <v>0.95961805555555557</v>
      </c>
      <c r="Q1437">
        <v>9</v>
      </c>
      <c r="R1437">
        <v>9.01</v>
      </c>
      <c r="S1437">
        <v>1.1000000000000001</v>
      </c>
      <c r="T1437">
        <v>0.25</v>
      </c>
      <c r="U1437">
        <v>0</v>
      </c>
      <c r="V1437">
        <v>0.2</v>
      </c>
      <c r="W1437">
        <v>5.25</v>
      </c>
      <c r="X1437">
        <v>1.46</v>
      </c>
      <c r="Y1437">
        <v>0.75</v>
      </c>
      <c r="Z1437">
        <v>0</v>
      </c>
      <c r="AA1437">
        <v>0</v>
      </c>
      <c r="AB1437">
        <v>0.01</v>
      </c>
      <c r="AC1437">
        <v>9.01</v>
      </c>
      <c r="AD1437">
        <v>12.2</v>
      </c>
      <c r="AE1437">
        <v>2.78</v>
      </c>
      <c r="AF1437">
        <v>0</v>
      </c>
      <c r="AG1437">
        <v>2.19</v>
      </c>
      <c r="AH1437">
        <v>58.27</v>
      </c>
      <c r="AI1437">
        <v>16.2</v>
      </c>
      <c r="AJ1437">
        <v>8.3000000000000007</v>
      </c>
      <c r="AK1437">
        <v>0</v>
      </c>
      <c r="AL1437">
        <v>0</v>
      </c>
      <c r="AM1437">
        <v>0.06</v>
      </c>
      <c r="AN1437">
        <f t="shared" si="67"/>
        <v>5</v>
      </c>
      <c r="AO1437" t="str">
        <f t="shared" si="68"/>
        <v>Thursday</v>
      </c>
    </row>
    <row r="1438" spans="1:41" x14ac:dyDescent="0.2">
      <c r="A1438" t="s">
        <v>43</v>
      </c>
      <c r="B1438" s="1">
        <v>45701</v>
      </c>
      <c r="C1438" s="1">
        <f t="shared" si="66"/>
        <v>45716</v>
      </c>
      <c r="D1438">
        <v>24</v>
      </c>
      <c r="E1438">
        <v>52</v>
      </c>
      <c r="F1438">
        <v>4</v>
      </c>
      <c r="G1438">
        <v>6</v>
      </c>
      <c r="H1438">
        <v>4</v>
      </c>
      <c r="I1438">
        <v>0</v>
      </c>
      <c r="J1438">
        <v>0</v>
      </c>
      <c r="K1438">
        <v>30</v>
      </c>
      <c r="L1438" t="s">
        <v>43</v>
      </c>
      <c r="M1438" t="s">
        <v>38</v>
      </c>
      <c r="N1438" s="1">
        <v>45701</v>
      </c>
      <c r="O1438" s="2">
        <v>0.58282407407407411</v>
      </c>
      <c r="P1438" s="2">
        <v>0.95960648148148153</v>
      </c>
      <c r="Q1438">
        <v>9.0299999999999994</v>
      </c>
      <c r="R1438">
        <v>8.99</v>
      </c>
      <c r="S1438">
        <v>1.67</v>
      </c>
      <c r="T1438">
        <v>0.18</v>
      </c>
      <c r="U1438">
        <v>0</v>
      </c>
      <c r="V1438">
        <v>0.4</v>
      </c>
      <c r="W1438">
        <v>4.01</v>
      </c>
      <c r="X1438">
        <v>1.46</v>
      </c>
      <c r="Y1438">
        <v>0.76</v>
      </c>
      <c r="Z1438">
        <v>0</v>
      </c>
      <c r="AA1438">
        <v>0.48</v>
      </c>
      <c r="AB1438">
        <v>0.04</v>
      </c>
      <c r="AC1438">
        <v>8.99</v>
      </c>
      <c r="AD1438">
        <v>18.600000000000001</v>
      </c>
      <c r="AE1438">
        <v>1.95</v>
      </c>
      <c r="AF1438">
        <v>0</v>
      </c>
      <c r="AG1438">
        <v>4.5</v>
      </c>
      <c r="AH1438">
        <v>44.58</v>
      </c>
      <c r="AI1438">
        <v>16.25</v>
      </c>
      <c r="AJ1438">
        <v>8.43</v>
      </c>
      <c r="AK1438">
        <v>0</v>
      </c>
      <c r="AL1438">
        <v>5.29</v>
      </c>
      <c r="AM1438">
        <v>0.4</v>
      </c>
      <c r="AN1438">
        <f t="shared" si="67"/>
        <v>5</v>
      </c>
      <c r="AO1438" t="str">
        <f t="shared" si="68"/>
        <v>Thursday</v>
      </c>
    </row>
    <row r="1439" spans="1:41" x14ac:dyDescent="0.2">
      <c r="A1439" t="s">
        <v>49</v>
      </c>
      <c r="B1439" s="1">
        <v>45701</v>
      </c>
      <c r="C1439" s="1">
        <f t="shared" si="66"/>
        <v>45716</v>
      </c>
      <c r="D1439">
        <v>1</v>
      </c>
      <c r="E1439">
        <v>1</v>
      </c>
      <c r="F1439">
        <v>0</v>
      </c>
      <c r="G1439">
        <v>0</v>
      </c>
      <c r="H1439">
        <v>0</v>
      </c>
      <c r="I1439">
        <v>0</v>
      </c>
      <c r="J1439">
        <v>0</v>
      </c>
      <c r="K1439">
        <v>0</v>
      </c>
      <c r="L1439" t="s">
        <v>49</v>
      </c>
      <c r="M1439" t="s">
        <v>38</v>
      </c>
      <c r="N1439" s="1">
        <v>45701</v>
      </c>
      <c r="O1439" s="2">
        <v>0.82103009259259263</v>
      </c>
      <c r="P1439" s="2">
        <v>0.82201388888888893</v>
      </c>
      <c r="Q1439">
        <v>0.02</v>
      </c>
      <c r="R1439">
        <v>0.02</v>
      </c>
      <c r="S1439">
        <v>0.01</v>
      </c>
      <c r="T1439">
        <v>0</v>
      </c>
      <c r="U1439">
        <v>0</v>
      </c>
      <c r="V1439">
        <v>0.01</v>
      </c>
      <c r="W1439">
        <v>0</v>
      </c>
      <c r="X1439">
        <v>0</v>
      </c>
      <c r="Y1439">
        <v>0</v>
      </c>
      <c r="Z1439">
        <v>0</v>
      </c>
      <c r="AA1439">
        <v>0</v>
      </c>
      <c r="AB1439">
        <v>0.01</v>
      </c>
      <c r="AC1439">
        <v>0.02</v>
      </c>
      <c r="AD1439">
        <v>35.29</v>
      </c>
      <c r="AE1439">
        <v>0</v>
      </c>
      <c r="AF1439">
        <v>0</v>
      </c>
      <c r="AG1439">
        <v>37.65</v>
      </c>
      <c r="AH1439">
        <v>0</v>
      </c>
      <c r="AI1439">
        <v>0</v>
      </c>
      <c r="AJ1439">
        <v>0</v>
      </c>
      <c r="AK1439">
        <v>0</v>
      </c>
      <c r="AL1439">
        <v>0</v>
      </c>
      <c r="AM1439">
        <v>27.06</v>
      </c>
      <c r="AN1439">
        <f t="shared" si="67"/>
        <v>5</v>
      </c>
      <c r="AO1439" t="str">
        <f t="shared" si="68"/>
        <v>Thursday</v>
      </c>
    </row>
    <row r="1440" spans="1:41" x14ac:dyDescent="0.2">
      <c r="B1440" s="1">
        <v>45701</v>
      </c>
      <c r="C1440" s="1">
        <f t="shared" si="66"/>
        <v>45716</v>
      </c>
      <c r="D1440">
        <v>796</v>
      </c>
      <c r="E1440">
        <v>0</v>
      </c>
      <c r="F1440">
        <v>0</v>
      </c>
      <c r="G1440">
        <v>0</v>
      </c>
      <c r="H1440">
        <v>0</v>
      </c>
      <c r="I1440">
        <v>0</v>
      </c>
      <c r="J1440">
        <v>0</v>
      </c>
      <c r="K1440">
        <v>0</v>
      </c>
      <c r="AN1440">
        <f t="shared" si="67"/>
        <v>5</v>
      </c>
      <c r="AO1440" t="str">
        <f t="shared" si="68"/>
        <v>Thursday</v>
      </c>
    </row>
    <row r="1441" spans="1:41" x14ac:dyDescent="0.2">
      <c r="A1441" t="s">
        <v>37</v>
      </c>
      <c r="B1441" s="1">
        <v>45700</v>
      </c>
      <c r="C1441" s="1">
        <f t="shared" si="66"/>
        <v>45716</v>
      </c>
      <c r="D1441">
        <v>31</v>
      </c>
      <c r="E1441">
        <v>64</v>
      </c>
      <c r="F1441">
        <v>6</v>
      </c>
      <c r="G1441">
        <v>8</v>
      </c>
      <c r="H1441">
        <v>3</v>
      </c>
      <c r="I1441">
        <v>0</v>
      </c>
      <c r="J1441">
        <v>4</v>
      </c>
      <c r="K1441">
        <v>24</v>
      </c>
      <c r="L1441" t="s">
        <v>37</v>
      </c>
      <c r="M1441" t="s">
        <v>38</v>
      </c>
      <c r="N1441" s="1">
        <v>45700</v>
      </c>
      <c r="O1441" s="2">
        <v>0.58518518518518514</v>
      </c>
      <c r="P1441" s="2">
        <v>0.95839120370370368</v>
      </c>
      <c r="Q1441">
        <v>8.9700000000000006</v>
      </c>
      <c r="R1441">
        <v>8.82</v>
      </c>
      <c r="S1441">
        <v>1.93</v>
      </c>
      <c r="T1441">
        <v>0.08</v>
      </c>
      <c r="U1441">
        <v>0</v>
      </c>
      <c r="V1441">
        <v>0.32</v>
      </c>
      <c r="W1441">
        <v>5.31</v>
      </c>
      <c r="X1441">
        <v>1.17</v>
      </c>
      <c r="Y1441">
        <v>0</v>
      </c>
      <c r="Z1441">
        <v>0</v>
      </c>
      <c r="AA1441">
        <v>0</v>
      </c>
      <c r="AB1441">
        <v>0.01</v>
      </c>
      <c r="AC1441">
        <v>8.82</v>
      </c>
      <c r="AD1441">
        <v>21.82</v>
      </c>
      <c r="AE1441">
        <v>0.93</v>
      </c>
      <c r="AF1441">
        <v>0</v>
      </c>
      <c r="AG1441">
        <v>3.65</v>
      </c>
      <c r="AH1441">
        <v>60.22</v>
      </c>
      <c r="AI1441">
        <v>13.25</v>
      </c>
      <c r="AJ1441">
        <v>0</v>
      </c>
      <c r="AK1441">
        <v>0</v>
      </c>
      <c r="AL1441">
        <v>0</v>
      </c>
      <c r="AM1441">
        <v>0.13</v>
      </c>
      <c r="AN1441">
        <f t="shared" si="67"/>
        <v>4</v>
      </c>
      <c r="AO1441" t="str">
        <f t="shared" si="68"/>
        <v>Wednesday</v>
      </c>
    </row>
    <row r="1442" spans="1:41" x14ac:dyDescent="0.2">
      <c r="A1442" t="s">
        <v>39</v>
      </c>
      <c r="B1442" s="1">
        <v>45700</v>
      </c>
      <c r="C1442" s="1">
        <f t="shared" si="66"/>
        <v>45716</v>
      </c>
      <c r="D1442">
        <v>30</v>
      </c>
      <c r="E1442">
        <v>86</v>
      </c>
      <c r="F1442">
        <v>3</v>
      </c>
      <c r="G1442">
        <v>6</v>
      </c>
      <c r="H1442">
        <v>6</v>
      </c>
      <c r="I1442">
        <v>0</v>
      </c>
      <c r="J1442">
        <v>0</v>
      </c>
      <c r="K1442">
        <v>50</v>
      </c>
      <c r="L1442" t="s">
        <v>39</v>
      </c>
      <c r="M1442" t="s">
        <v>38</v>
      </c>
      <c r="N1442" s="1">
        <v>45700</v>
      </c>
      <c r="O1442" s="2">
        <v>0.58337962962962964</v>
      </c>
      <c r="P1442" s="2">
        <v>0.96113425925925922</v>
      </c>
      <c r="Q1442">
        <v>9.07</v>
      </c>
      <c r="R1442">
        <v>8.9600000000000009</v>
      </c>
      <c r="S1442">
        <v>1.27</v>
      </c>
      <c r="T1442">
        <v>0.03</v>
      </c>
      <c r="U1442">
        <v>0</v>
      </c>
      <c r="V1442">
        <v>0.06</v>
      </c>
      <c r="W1442">
        <v>6.1</v>
      </c>
      <c r="X1442">
        <v>1.5</v>
      </c>
      <c r="Y1442">
        <v>0</v>
      </c>
      <c r="Z1442">
        <v>0</v>
      </c>
      <c r="AA1442">
        <v>0</v>
      </c>
      <c r="AB1442">
        <v>0.01</v>
      </c>
      <c r="AC1442">
        <v>8.9600000000000009</v>
      </c>
      <c r="AD1442">
        <v>14.14</v>
      </c>
      <c r="AE1442">
        <v>0.35</v>
      </c>
      <c r="AF1442">
        <v>0</v>
      </c>
      <c r="AG1442">
        <v>0.63</v>
      </c>
      <c r="AH1442">
        <v>68.040000000000006</v>
      </c>
      <c r="AI1442">
        <v>16.739999999999998</v>
      </c>
      <c r="AJ1442">
        <v>0</v>
      </c>
      <c r="AK1442">
        <v>0</v>
      </c>
      <c r="AL1442">
        <v>0</v>
      </c>
      <c r="AM1442">
        <v>0.1</v>
      </c>
      <c r="AN1442">
        <f t="shared" si="67"/>
        <v>4</v>
      </c>
      <c r="AO1442" t="str">
        <f t="shared" si="68"/>
        <v>Wednesday</v>
      </c>
    </row>
    <row r="1443" spans="1:41" x14ac:dyDescent="0.2">
      <c r="A1443" t="s">
        <v>41</v>
      </c>
      <c r="B1443" s="1">
        <v>45700</v>
      </c>
      <c r="C1443" s="1">
        <f t="shared" si="66"/>
        <v>45716</v>
      </c>
      <c r="D1443">
        <v>30</v>
      </c>
      <c r="E1443">
        <v>78</v>
      </c>
      <c r="F1443">
        <v>0</v>
      </c>
      <c r="G1443">
        <v>12</v>
      </c>
      <c r="H1443">
        <v>2</v>
      </c>
      <c r="I1443">
        <v>2</v>
      </c>
      <c r="J1443">
        <v>3</v>
      </c>
      <c r="K1443">
        <v>43</v>
      </c>
      <c r="L1443" t="s">
        <v>41</v>
      </c>
      <c r="M1443" t="s">
        <v>38</v>
      </c>
      <c r="N1443" s="1">
        <v>45700</v>
      </c>
      <c r="O1443" s="2">
        <v>0.58512731481481484</v>
      </c>
      <c r="P1443" s="2">
        <v>0.95789351851851856</v>
      </c>
      <c r="Q1443">
        <v>8.9499999999999993</v>
      </c>
      <c r="R1443">
        <v>8.94</v>
      </c>
      <c r="S1443">
        <v>1.17</v>
      </c>
      <c r="T1443">
        <v>0.1</v>
      </c>
      <c r="U1443">
        <v>0</v>
      </c>
      <c r="V1443">
        <v>0.2</v>
      </c>
      <c r="W1443">
        <v>5.57</v>
      </c>
      <c r="X1443">
        <v>1.43</v>
      </c>
      <c r="Y1443">
        <v>0.48</v>
      </c>
      <c r="Z1443">
        <v>0</v>
      </c>
      <c r="AA1443">
        <v>0</v>
      </c>
      <c r="AB1443">
        <v>0.01</v>
      </c>
      <c r="AC1443">
        <v>8.94</v>
      </c>
      <c r="AD1443">
        <v>13.06</v>
      </c>
      <c r="AE1443">
        <v>1.1000000000000001</v>
      </c>
      <c r="AF1443">
        <v>0</v>
      </c>
      <c r="AG1443">
        <v>2.2000000000000002</v>
      </c>
      <c r="AH1443">
        <v>62.23</v>
      </c>
      <c r="AI1443">
        <v>15.96</v>
      </c>
      <c r="AJ1443">
        <v>5.4</v>
      </c>
      <c r="AK1443">
        <v>0</v>
      </c>
      <c r="AL1443">
        <v>0</v>
      </c>
      <c r="AM1443">
        <v>0.06</v>
      </c>
      <c r="AN1443">
        <f t="shared" si="67"/>
        <v>4</v>
      </c>
      <c r="AO1443" t="str">
        <f t="shared" si="68"/>
        <v>Wednesday</v>
      </c>
    </row>
    <row r="1444" spans="1:41" x14ac:dyDescent="0.2">
      <c r="A1444" t="s">
        <v>51</v>
      </c>
      <c r="B1444" s="1">
        <v>45700</v>
      </c>
      <c r="C1444" s="1">
        <f t="shared" si="66"/>
        <v>45716</v>
      </c>
      <c r="D1444">
        <v>1</v>
      </c>
      <c r="E1444">
        <v>1</v>
      </c>
      <c r="F1444">
        <v>0</v>
      </c>
      <c r="G1444">
        <v>0</v>
      </c>
      <c r="H1444">
        <v>0</v>
      </c>
      <c r="I1444">
        <v>0</v>
      </c>
      <c r="J1444">
        <v>0</v>
      </c>
      <c r="K1444">
        <v>0</v>
      </c>
      <c r="AN1444">
        <f t="shared" si="67"/>
        <v>4</v>
      </c>
      <c r="AO1444" t="str">
        <f t="shared" si="68"/>
        <v>Wednesday</v>
      </c>
    </row>
    <row r="1445" spans="1:41" x14ac:dyDescent="0.2">
      <c r="A1445" t="s">
        <v>42</v>
      </c>
      <c r="B1445" s="1">
        <v>45700</v>
      </c>
      <c r="C1445" s="1">
        <f t="shared" si="66"/>
        <v>45716</v>
      </c>
      <c r="D1445">
        <v>19</v>
      </c>
      <c r="E1445">
        <v>27</v>
      </c>
      <c r="F1445">
        <v>1</v>
      </c>
      <c r="G1445">
        <v>3</v>
      </c>
      <c r="H1445">
        <v>3</v>
      </c>
      <c r="I1445">
        <v>0</v>
      </c>
      <c r="J1445">
        <v>0</v>
      </c>
      <c r="K1445">
        <v>16</v>
      </c>
      <c r="L1445" t="s">
        <v>42</v>
      </c>
      <c r="M1445" t="s">
        <v>38</v>
      </c>
      <c r="N1445" s="1">
        <v>45700</v>
      </c>
      <c r="O1445" s="2">
        <v>0.58438657407407413</v>
      </c>
      <c r="P1445" s="2">
        <v>0.95959490740740738</v>
      </c>
      <c r="Q1445">
        <v>9</v>
      </c>
      <c r="R1445">
        <v>9.01</v>
      </c>
      <c r="S1445">
        <v>1.99</v>
      </c>
      <c r="T1445">
        <v>0.3</v>
      </c>
      <c r="U1445">
        <v>0</v>
      </c>
      <c r="V1445">
        <v>0.23</v>
      </c>
      <c r="W1445">
        <v>4.6100000000000003</v>
      </c>
      <c r="X1445">
        <v>1.47</v>
      </c>
      <c r="Y1445">
        <v>0.4</v>
      </c>
      <c r="Z1445">
        <v>0</v>
      </c>
      <c r="AA1445">
        <v>0</v>
      </c>
      <c r="AB1445">
        <v>0.01</v>
      </c>
      <c r="AC1445">
        <v>9.01</v>
      </c>
      <c r="AD1445">
        <v>22.11</v>
      </c>
      <c r="AE1445">
        <v>3.29</v>
      </c>
      <c r="AF1445">
        <v>0</v>
      </c>
      <c r="AG1445">
        <v>2.5499999999999998</v>
      </c>
      <c r="AH1445">
        <v>51.2</v>
      </c>
      <c r="AI1445">
        <v>16.309999999999999</v>
      </c>
      <c r="AJ1445">
        <v>4.4800000000000004</v>
      </c>
      <c r="AK1445">
        <v>0</v>
      </c>
      <c r="AL1445">
        <v>0</v>
      </c>
      <c r="AM1445">
        <v>0.06</v>
      </c>
      <c r="AN1445">
        <f t="shared" si="67"/>
        <v>4</v>
      </c>
      <c r="AO1445" t="str">
        <f t="shared" si="68"/>
        <v>Wednesday</v>
      </c>
    </row>
    <row r="1446" spans="1:41" x14ac:dyDescent="0.2">
      <c r="A1446" t="s">
        <v>43</v>
      </c>
      <c r="B1446" s="1">
        <v>45700</v>
      </c>
      <c r="C1446" s="1">
        <f t="shared" si="66"/>
        <v>45716</v>
      </c>
      <c r="D1446">
        <v>31</v>
      </c>
      <c r="E1446">
        <v>104</v>
      </c>
      <c r="F1446">
        <v>0</v>
      </c>
      <c r="G1446">
        <v>5</v>
      </c>
      <c r="H1446">
        <v>16</v>
      </c>
      <c r="I1446">
        <v>0</v>
      </c>
      <c r="J1446">
        <v>0</v>
      </c>
      <c r="K1446">
        <v>69</v>
      </c>
      <c r="L1446" t="s">
        <v>43</v>
      </c>
      <c r="M1446" t="s">
        <v>38</v>
      </c>
      <c r="N1446" s="1">
        <v>45700</v>
      </c>
      <c r="O1446" s="2">
        <v>0.58207175925925925</v>
      </c>
      <c r="P1446" s="2">
        <v>0.96039351851851851</v>
      </c>
      <c r="Q1446">
        <v>9.07</v>
      </c>
      <c r="R1446">
        <v>9.08</v>
      </c>
      <c r="S1446">
        <v>0.95</v>
      </c>
      <c r="T1446">
        <v>0.15</v>
      </c>
      <c r="U1446">
        <v>0</v>
      </c>
      <c r="V1446">
        <v>0.39</v>
      </c>
      <c r="W1446">
        <v>5.85</v>
      </c>
      <c r="X1446">
        <v>1.5</v>
      </c>
      <c r="Y1446">
        <v>0.23</v>
      </c>
      <c r="Z1446">
        <v>0</v>
      </c>
      <c r="AA1446">
        <v>0</v>
      </c>
      <c r="AB1446">
        <v>0</v>
      </c>
      <c r="AC1446">
        <v>9.08</v>
      </c>
      <c r="AD1446">
        <v>10.42</v>
      </c>
      <c r="AE1446">
        <v>1.69</v>
      </c>
      <c r="AF1446">
        <v>0</v>
      </c>
      <c r="AG1446">
        <v>4.3099999999999996</v>
      </c>
      <c r="AH1446">
        <v>64.489999999999995</v>
      </c>
      <c r="AI1446">
        <v>16.489999999999998</v>
      </c>
      <c r="AJ1446">
        <v>2.56</v>
      </c>
      <c r="AK1446">
        <v>0</v>
      </c>
      <c r="AL1446">
        <v>0</v>
      </c>
      <c r="AM1446">
        <v>0.04</v>
      </c>
      <c r="AN1446">
        <f t="shared" si="67"/>
        <v>4</v>
      </c>
      <c r="AO1446" t="str">
        <f t="shared" si="68"/>
        <v>Wednesday</v>
      </c>
    </row>
    <row r="1447" spans="1:41" x14ac:dyDescent="0.2">
      <c r="B1447" s="1">
        <v>45700</v>
      </c>
      <c r="C1447" s="1">
        <f t="shared" si="66"/>
        <v>45716</v>
      </c>
      <c r="D1447">
        <v>833</v>
      </c>
      <c r="E1447">
        <v>0</v>
      </c>
      <c r="F1447">
        <v>0</v>
      </c>
      <c r="G1447">
        <v>0</v>
      </c>
      <c r="H1447">
        <v>0</v>
      </c>
      <c r="I1447">
        <v>0</v>
      </c>
      <c r="J1447">
        <v>0</v>
      </c>
      <c r="K1447">
        <v>0</v>
      </c>
      <c r="AN1447">
        <f t="shared" si="67"/>
        <v>4</v>
      </c>
      <c r="AO1447" t="str">
        <f t="shared" si="68"/>
        <v>Wednesday</v>
      </c>
    </row>
    <row r="1448" spans="1:41" x14ac:dyDescent="0.2">
      <c r="A1448" t="s">
        <v>37</v>
      </c>
      <c r="B1448" s="1">
        <v>45699</v>
      </c>
      <c r="C1448" s="1">
        <f t="shared" si="66"/>
        <v>45716</v>
      </c>
      <c r="D1448">
        <v>33</v>
      </c>
      <c r="E1448">
        <v>83</v>
      </c>
      <c r="F1448">
        <v>10</v>
      </c>
      <c r="G1448">
        <v>9</v>
      </c>
      <c r="H1448">
        <v>4</v>
      </c>
      <c r="I1448">
        <v>0</v>
      </c>
      <c r="J1448">
        <v>0</v>
      </c>
      <c r="K1448">
        <v>43</v>
      </c>
      <c r="L1448" t="s">
        <v>37</v>
      </c>
      <c r="M1448" t="s">
        <v>38</v>
      </c>
      <c r="N1448" s="1">
        <v>45699</v>
      </c>
      <c r="O1448" s="2">
        <v>0.58315972222222223</v>
      </c>
      <c r="P1448" s="2">
        <v>0.95864583333333331</v>
      </c>
      <c r="Q1448">
        <v>9.02</v>
      </c>
      <c r="R1448">
        <v>7.72</v>
      </c>
      <c r="S1448">
        <v>1.97</v>
      </c>
      <c r="T1448">
        <v>0.41</v>
      </c>
      <c r="U1448">
        <v>0</v>
      </c>
      <c r="V1448">
        <v>0.42</v>
      </c>
      <c r="W1448">
        <v>4.74</v>
      </c>
      <c r="X1448">
        <v>0.14000000000000001</v>
      </c>
      <c r="Y1448">
        <v>0</v>
      </c>
      <c r="Z1448">
        <v>0</v>
      </c>
      <c r="AA1448">
        <v>0</v>
      </c>
      <c r="AB1448">
        <v>0.05</v>
      </c>
      <c r="AC1448">
        <v>7.72</v>
      </c>
      <c r="AD1448">
        <v>25.46</v>
      </c>
      <c r="AE1448">
        <v>5.34</v>
      </c>
      <c r="AF1448">
        <v>0</v>
      </c>
      <c r="AG1448">
        <v>5.39</v>
      </c>
      <c r="AH1448">
        <v>61.38</v>
      </c>
      <c r="AI1448">
        <v>1.78</v>
      </c>
      <c r="AJ1448">
        <v>0</v>
      </c>
      <c r="AK1448">
        <v>0</v>
      </c>
      <c r="AL1448">
        <v>0</v>
      </c>
      <c r="AM1448">
        <v>0.65</v>
      </c>
      <c r="AN1448">
        <f t="shared" si="67"/>
        <v>3</v>
      </c>
      <c r="AO1448" t="str">
        <f t="shared" si="68"/>
        <v>Tuesday</v>
      </c>
    </row>
    <row r="1449" spans="1:41" x14ac:dyDescent="0.2">
      <c r="A1449" t="s">
        <v>39</v>
      </c>
      <c r="B1449" s="1">
        <v>45699</v>
      </c>
      <c r="C1449" s="1">
        <f t="shared" si="66"/>
        <v>45716</v>
      </c>
      <c r="D1449">
        <v>36</v>
      </c>
      <c r="E1449">
        <v>100</v>
      </c>
      <c r="F1449">
        <v>10</v>
      </c>
      <c r="G1449">
        <v>4</v>
      </c>
      <c r="H1449">
        <v>22</v>
      </c>
      <c r="I1449">
        <v>0</v>
      </c>
      <c r="J1449">
        <v>0</v>
      </c>
      <c r="K1449">
        <v>42</v>
      </c>
      <c r="L1449" t="s">
        <v>39</v>
      </c>
      <c r="M1449" t="s">
        <v>38</v>
      </c>
      <c r="N1449" s="1">
        <v>45699</v>
      </c>
      <c r="O1449" s="2">
        <v>0.58364583333333331</v>
      </c>
      <c r="P1449" s="2">
        <v>0.95899305555555558</v>
      </c>
      <c r="Q1449">
        <v>9</v>
      </c>
      <c r="R1449">
        <v>9.01</v>
      </c>
      <c r="S1449">
        <v>1.83</v>
      </c>
      <c r="T1449">
        <v>0.15</v>
      </c>
      <c r="U1449">
        <v>0</v>
      </c>
      <c r="V1449">
        <v>0.05</v>
      </c>
      <c r="W1449">
        <v>5.49</v>
      </c>
      <c r="X1449">
        <v>1.48</v>
      </c>
      <c r="Y1449">
        <v>0</v>
      </c>
      <c r="Z1449">
        <v>0</v>
      </c>
      <c r="AA1449">
        <v>0</v>
      </c>
      <c r="AB1449">
        <v>0</v>
      </c>
      <c r="AC1449">
        <v>9.01</v>
      </c>
      <c r="AD1449">
        <v>20.37</v>
      </c>
      <c r="AE1449">
        <v>1.72</v>
      </c>
      <c r="AF1449">
        <v>0</v>
      </c>
      <c r="AG1449">
        <v>0.51</v>
      </c>
      <c r="AH1449">
        <v>60.91</v>
      </c>
      <c r="AI1449">
        <v>16.45</v>
      </c>
      <c r="AJ1449">
        <v>0</v>
      </c>
      <c r="AK1449">
        <v>0</v>
      </c>
      <c r="AL1449">
        <v>0</v>
      </c>
      <c r="AM1449">
        <v>0.05</v>
      </c>
      <c r="AN1449">
        <f t="shared" si="67"/>
        <v>3</v>
      </c>
      <c r="AO1449" t="str">
        <f t="shared" si="68"/>
        <v>Tuesday</v>
      </c>
    </row>
    <row r="1450" spans="1:41" x14ac:dyDescent="0.2">
      <c r="A1450" t="s">
        <v>41</v>
      </c>
      <c r="B1450" s="1">
        <v>45699</v>
      </c>
      <c r="C1450" s="1">
        <f t="shared" si="66"/>
        <v>45716</v>
      </c>
      <c r="D1450">
        <v>54</v>
      </c>
      <c r="E1450">
        <v>118</v>
      </c>
      <c r="F1450">
        <v>4</v>
      </c>
      <c r="G1450">
        <v>5</v>
      </c>
      <c r="H1450">
        <v>10</v>
      </c>
      <c r="I1450">
        <v>0</v>
      </c>
      <c r="J1450">
        <v>0</v>
      </c>
      <c r="K1450">
        <v>60</v>
      </c>
      <c r="L1450" t="s">
        <v>41</v>
      </c>
      <c r="M1450" t="s">
        <v>38</v>
      </c>
      <c r="N1450" s="1">
        <v>45699</v>
      </c>
      <c r="O1450" s="2">
        <v>0.58481481481481479</v>
      </c>
      <c r="P1450" s="2">
        <v>0.95785879629629633</v>
      </c>
      <c r="Q1450">
        <v>8.9499999999999993</v>
      </c>
      <c r="R1450">
        <v>8.9499999999999993</v>
      </c>
      <c r="S1450">
        <v>0.99</v>
      </c>
      <c r="T1450">
        <v>0</v>
      </c>
      <c r="U1450">
        <v>0</v>
      </c>
      <c r="V1450">
        <v>0.2</v>
      </c>
      <c r="W1450">
        <v>6.27</v>
      </c>
      <c r="X1450">
        <v>1.49</v>
      </c>
      <c r="Y1450">
        <v>0</v>
      </c>
      <c r="Z1450">
        <v>0</v>
      </c>
      <c r="AA1450">
        <v>0</v>
      </c>
      <c r="AB1450">
        <v>0</v>
      </c>
      <c r="AC1450">
        <v>8.9499999999999993</v>
      </c>
      <c r="AD1450">
        <v>11.09</v>
      </c>
      <c r="AE1450">
        <v>0</v>
      </c>
      <c r="AF1450">
        <v>0</v>
      </c>
      <c r="AG1450">
        <v>2.2400000000000002</v>
      </c>
      <c r="AH1450">
        <v>69.989999999999995</v>
      </c>
      <c r="AI1450">
        <v>16.63</v>
      </c>
      <c r="AJ1450">
        <v>0</v>
      </c>
      <c r="AK1450">
        <v>0</v>
      </c>
      <c r="AL1450">
        <v>0</v>
      </c>
      <c r="AM1450">
        <v>0.05</v>
      </c>
      <c r="AN1450">
        <f t="shared" si="67"/>
        <v>3</v>
      </c>
      <c r="AO1450" t="str">
        <f t="shared" si="68"/>
        <v>Tuesday</v>
      </c>
    </row>
    <row r="1451" spans="1:41" x14ac:dyDescent="0.2">
      <c r="A1451" t="s">
        <v>42</v>
      </c>
      <c r="B1451" s="1">
        <v>45699</v>
      </c>
      <c r="C1451" s="1">
        <f t="shared" si="66"/>
        <v>45716</v>
      </c>
      <c r="D1451">
        <v>33</v>
      </c>
      <c r="E1451">
        <v>48</v>
      </c>
      <c r="F1451">
        <v>6</v>
      </c>
      <c r="G1451">
        <v>5</v>
      </c>
      <c r="H1451">
        <v>2</v>
      </c>
      <c r="I1451">
        <v>0</v>
      </c>
      <c r="J1451">
        <v>0</v>
      </c>
      <c r="K1451">
        <v>27</v>
      </c>
      <c r="L1451" t="s">
        <v>42</v>
      </c>
      <c r="M1451" t="s">
        <v>38</v>
      </c>
      <c r="N1451" s="1">
        <v>45699</v>
      </c>
      <c r="O1451" s="2">
        <v>0.58376157407407403</v>
      </c>
      <c r="P1451" s="2">
        <v>0.96040509259259255</v>
      </c>
      <c r="Q1451">
        <v>9.0299999999999994</v>
      </c>
      <c r="R1451">
        <v>9.0399999999999991</v>
      </c>
      <c r="S1451">
        <v>1.95</v>
      </c>
      <c r="T1451">
        <v>0.68</v>
      </c>
      <c r="U1451">
        <v>0</v>
      </c>
      <c r="V1451">
        <v>0.49</v>
      </c>
      <c r="W1451">
        <v>4.45</v>
      </c>
      <c r="X1451">
        <v>1.48</v>
      </c>
      <c r="Y1451">
        <v>0</v>
      </c>
      <c r="Z1451">
        <v>0</v>
      </c>
      <c r="AA1451">
        <v>0</v>
      </c>
      <c r="AB1451">
        <v>0</v>
      </c>
      <c r="AC1451">
        <v>9.0399999999999991</v>
      </c>
      <c r="AD1451">
        <v>21.53</v>
      </c>
      <c r="AE1451">
        <v>7.47</v>
      </c>
      <c r="AF1451">
        <v>0</v>
      </c>
      <c r="AG1451">
        <v>5.4</v>
      </c>
      <c r="AH1451">
        <v>49.19</v>
      </c>
      <c r="AI1451">
        <v>16.36</v>
      </c>
      <c r="AJ1451">
        <v>0</v>
      </c>
      <c r="AK1451">
        <v>0</v>
      </c>
      <c r="AL1451">
        <v>0</v>
      </c>
      <c r="AM1451">
        <v>0.05</v>
      </c>
      <c r="AN1451">
        <f t="shared" si="67"/>
        <v>3</v>
      </c>
      <c r="AO1451" t="str">
        <f t="shared" si="68"/>
        <v>Tuesday</v>
      </c>
    </row>
    <row r="1452" spans="1:41" x14ac:dyDescent="0.2">
      <c r="A1452" t="s">
        <v>43</v>
      </c>
      <c r="B1452" s="1">
        <v>45699</v>
      </c>
      <c r="C1452" s="1">
        <f t="shared" si="66"/>
        <v>45716</v>
      </c>
      <c r="D1452">
        <v>45</v>
      </c>
      <c r="E1452">
        <v>119</v>
      </c>
      <c r="F1452">
        <v>4</v>
      </c>
      <c r="G1452">
        <v>5</v>
      </c>
      <c r="H1452">
        <v>16</v>
      </c>
      <c r="I1452">
        <v>0</v>
      </c>
      <c r="J1452">
        <v>1</v>
      </c>
      <c r="K1452">
        <v>65</v>
      </c>
      <c r="L1452" t="s">
        <v>43</v>
      </c>
      <c r="M1452" t="s">
        <v>38</v>
      </c>
      <c r="N1452" s="1">
        <v>45699</v>
      </c>
      <c r="O1452" s="2">
        <v>0.58262731481481478</v>
      </c>
      <c r="P1452" s="2">
        <v>0.96032407407407405</v>
      </c>
      <c r="Q1452">
        <v>9.07</v>
      </c>
      <c r="R1452">
        <v>9.07</v>
      </c>
      <c r="S1452">
        <v>1.33</v>
      </c>
      <c r="T1452">
        <v>0.25</v>
      </c>
      <c r="U1452">
        <v>0</v>
      </c>
      <c r="V1452">
        <v>0.6</v>
      </c>
      <c r="W1452">
        <v>5.14</v>
      </c>
      <c r="X1452">
        <v>1.49</v>
      </c>
      <c r="Y1452">
        <v>0.26</v>
      </c>
      <c r="Z1452">
        <v>0</v>
      </c>
      <c r="AA1452">
        <v>0</v>
      </c>
      <c r="AB1452">
        <v>0</v>
      </c>
      <c r="AC1452">
        <v>9.07</v>
      </c>
      <c r="AD1452">
        <v>14.62</v>
      </c>
      <c r="AE1452">
        <v>2.71</v>
      </c>
      <c r="AF1452">
        <v>0</v>
      </c>
      <c r="AG1452">
        <v>6.65</v>
      </c>
      <c r="AH1452">
        <v>56.7</v>
      </c>
      <c r="AI1452">
        <v>16.39</v>
      </c>
      <c r="AJ1452">
        <v>2.9</v>
      </c>
      <c r="AK1452">
        <v>0</v>
      </c>
      <c r="AL1452">
        <v>0</v>
      </c>
      <c r="AM1452">
        <v>0.04</v>
      </c>
      <c r="AN1452">
        <f t="shared" si="67"/>
        <v>3</v>
      </c>
      <c r="AO1452" t="str">
        <f t="shared" si="68"/>
        <v>Tuesday</v>
      </c>
    </row>
    <row r="1453" spans="1:41" x14ac:dyDescent="0.2">
      <c r="B1453" s="1">
        <v>45699</v>
      </c>
      <c r="C1453" s="1">
        <f t="shared" si="66"/>
        <v>45716</v>
      </c>
      <c r="D1453">
        <v>845</v>
      </c>
      <c r="E1453">
        <v>0</v>
      </c>
      <c r="F1453">
        <v>0</v>
      </c>
      <c r="G1453">
        <v>0</v>
      </c>
      <c r="H1453">
        <v>0</v>
      </c>
      <c r="I1453">
        <v>0</v>
      </c>
      <c r="J1453">
        <v>0</v>
      </c>
      <c r="K1453">
        <v>0</v>
      </c>
      <c r="AN1453">
        <f t="shared" si="67"/>
        <v>3</v>
      </c>
      <c r="AO1453" t="str">
        <f t="shared" si="68"/>
        <v>Tuesday</v>
      </c>
    </row>
    <row r="1454" spans="1:41" x14ac:dyDescent="0.2">
      <c r="A1454" t="s">
        <v>37</v>
      </c>
      <c r="B1454" s="1">
        <v>45698</v>
      </c>
      <c r="C1454" s="1">
        <f t="shared" si="66"/>
        <v>45716</v>
      </c>
      <c r="D1454">
        <v>31</v>
      </c>
      <c r="E1454">
        <v>65</v>
      </c>
      <c r="F1454">
        <v>5</v>
      </c>
      <c r="G1454">
        <v>8</v>
      </c>
      <c r="H1454">
        <v>4</v>
      </c>
      <c r="I1454">
        <v>0</v>
      </c>
      <c r="J1454">
        <v>0</v>
      </c>
      <c r="K1454">
        <v>37</v>
      </c>
      <c r="L1454" t="s">
        <v>37</v>
      </c>
      <c r="M1454" t="s">
        <v>38</v>
      </c>
      <c r="N1454" s="1">
        <v>45698</v>
      </c>
      <c r="O1454" s="2">
        <v>0.58429398148148148</v>
      </c>
      <c r="P1454" s="2">
        <v>0.95862268518518523</v>
      </c>
      <c r="Q1454">
        <v>8.98</v>
      </c>
      <c r="R1454">
        <v>8.02</v>
      </c>
      <c r="S1454">
        <v>0.93</v>
      </c>
      <c r="T1454">
        <v>0</v>
      </c>
      <c r="U1454">
        <v>0</v>
      </c>
      <c r="V1454">
        <v>0.32</v>
      </c>
      <c r="W1454">
        <v>6.22</v>
      </c>
      <c r="X1454">
        <v>0.55000000000000004</v>
      </c>
      <c r="Y1454">
        <v>0</v>
      </c>
      <c r="Z1454">
        <v>0</v>
      </c>
      <c r="AA1454">
        <v>0</v>
      </c>
      <c r="AB1454">
        <v>0.01</v>
      </c>
      <c r="AC1454">
        <v>8.02</v>
      </c>
      <c r="AD1454">
        <v>11.61</v>
      </c>
      <c r="AE1454">
        <v>0</v>
      </c>
      <c r="AF1454">
        <v>0</v>
      </c>
      <c r="AG1454">
        <v>3.93</v>
      </c>
      <c r="AH1454">
        <v>77.459999999999994</v>
      </c>
      <c r="AI1454">
        <v>6.83</v>
      </c>
      <c r="AJ1454">
        <v>0</v>
      </c>
      <c r="AK1454">
        <v>0</v>
      </c>
      <c r="AL1454">
        <v>0</v>
      </c>
      <c r="AM1454">
        <v>0.16</v>
      </c>
      <c r="AN1454">
        <f t="shared" si="67"/>
        <v>2</v>
      </c>
      <c r="AO1454" t="str">
        <f t="shared" si="68"/>
        <v>Monday</v>
      </c>
    </row>
    <row r="1455" spans="1:41" x14ac:dyDescent="0.2">
      <c r="A1455" t="s">
        <v>39</v>
      </c>
      <c r="B1455" s="1">
        <v>45698</v>
      </c>
      <c r="C1455" s="1">
        <f t="shared" si="66"/>
        <v>45716</v>
      </c>
      <c r="D1455">
        <v>31</v>
      </c>
      <c r="E1455">
        <v>64</v>
      </c>
      <c r="F1455">
        <v>3</v>
      </c>
      <c r="G1455">
        <v>10</v>
      </c>
      <c r="H1455">
        <v>8</v>
      </c>
      <c r="I1455">
        <v>0</v>
      </c>
      <c r="J1455">
        <v>2</v>
      </c>
      <c r="K1455">
        <v>30</v>
      </c>
      <c r="L1455" t="s">
        <v>39</v>
      </c>
      <c r="M1455" t="s">
        <v>38</v>
      </c>
      <c r="N1455" s="1">
        <v>45698</v>
      </c>
      <c r="O1455" s="2">
        <v>0.58341435185185186</v>
      </c>
      <c r="P1455" s="2">
        <v>0.95848379629629632</v>
      </c>
      <c r="Q1455">
        <v>9</v>
      </c>
      <c r="R1455">
        <v>9</v>
      </c>
      <c r="S1455">
        <v>1.58</v>
      </c>
      <c r="T1455">
        <v>0.19</v>
      </c>
      <c r="U1455">
        <v>0</v>
      </c>
      <c r="V1455">
        <v>0.05</v>
      </c>
      <c r="W1455">
        <v>5.2</v>
      </c>
      <c r="X1455">
        <v>1.49</v>
      </c>
      <c r="Y1455">
        <v>0.49</v>
      </c>
      <c r="Z1455">
        <v>0</v>
      </c>
      <c r="AA1455">
        <v>0</v>
      </c>
      <c r="AB1455">
        <v>0</v>
      </c>
      <c r="AC1455">
        <v>9</v>
      </c>
      <c r="AD1455">
        <v>17.510000000000002</v>
      </c>
      <c r="AE1455">
        <v>2.14</v>
      </c>
      <c r="AF1455">
        <v>0</v>
      </c>
      <c r="AG1455">
        <v>0.5</v>
      </c>
      <c r="AH1455">
        <v>57.76</v>
      </c>
      <c r="AI1455">
        <v>16.559999999999999</v>
      </c>
      <c r="AJ1455">
        <v>5.49</v>
      </c>
      <c r="AK1455">
        <v>0</v>
      </c>
      <c r="AL1455">
        <v>0</v>
      </c>
      <c r="AM1455">
        <v>0.04</v>
      </c>
      <c r="AN1455">
        <f t="shared" si="67"/>
        <v>2</v>
      </c>
      <c r="AO1455" t="str">
        <f t="shared" si="68"/>
        <v>Monday</v>
      </c>
    </row>
    <row r="1456" spans="1:41" x14ac:dyDescent="0.2">
      <c r="A1456" t="s">
        <v>41</v>
      </c>
      <c r="B1456" s="1">
        <v>45698</v>
      </c>
      <c r="C1456" s="1">
        <f t="shared" si="66"/>
        <v>45716</v>
      </c>
      <c r="D1456">
        <v>46</v>
      </c>
      <c r="E1456">
        <v>102</v>
      </c>
      <c r="F1456">
        <v>4</v>
      </c>
      <c r="G1456">
        <v>8</v>
      </c>
      <c r="H1456">
        <v>18</v>
      </c>
      <c r="I1456">
        <v>0</v>
      </c>
      <c r="J1456">
        <v>2</v>
      </c>
      <c r="K1456">
        <v>48</v>
      </c>
      <c r="L1456" t="s">
        <v>41</v>
      </c>
      <c r="M1456" t="s">
        <v>38</v>
      </c>
      <c r="N1456" s="1">
        <v>45698</v>
      </c>
      <c r="O1456" s="2">
        <v>0.58406250000000004</v>
      </c>
      <c r="P1456" s="2">
        <v>0.95768518518518519</v>
      </c>
      <c r="Q1456">
        <v>8.9700000000000006</v>
      </c>
      <c r="R1456">
        <v>8.9700000000000006</v>
      </c>
      <c r="S1456">
        <v>1.36</v>
      </c>
      <c r="T1456">
        <v>0.11</v>
      </c>
      <c r="U1456">
        <v>0</v>
      </c>
      <c r="V1456">
        <v>0.39</v>
      </c>
      <c r="W1456">
        <v>5.62</v>
      </c>
      <c r="X1456">
        <v>1.48</v>
      </c>
      <c r="Y1456">
        <v>0</v>
      </c>
      <c r="Z1456">
        <v>0</v>
      </c>
      <c r="AA1456">
        <v>0</v>
      </c>
      <c r="AB1456">
        <v>0</v>
      </c>
      <c r="AC1456">
        <v>8.9700000000000006</v>
      </c>
      <c r="AD1456">
        <v>15.13</v>
      </c>
      <c r="AE1456">
        <v>1.25</v>
      </c>
      <c r="AF1456">
        <v>0</v>
      </c>
      <c r="AG1456">
        <v>4.41</v>
      </c>
      <c r="AH1456">
        <v>62.71</v>
      </c>
      <c r="AI1456">
        <v>16.46</v>
      </c>
      <c r="AJ1456">
        <v>0</v>
      </c>
      <c r="AK1456">
        <v>0</v>
      </c>
      <c r="AL1456">
        <v>0</v>
      </c>
      <c r="AM1456">
        <v>0.04</v>
      </c>
      <c r="AN1456">
        <f t="shared" si="67"/>
        <v>2</v>
      </c>
      <c r="AO1456" t="str">
        <f t="shared" si="68"/>
        <v>Monday</v>
      </c>
    </row>
    <row r="1457" spans="1:41" x14ac:dyDescent="0.2">
      <c r="A1457" t="s">
        <v>50</v>
      </c>
      <c r="B1457" s="1">
        <v>45698</v>
      </c>
      <c r="C1457" s="1">
        <f t="shared" si="66"/>
        <v>45716</v>
      </c>
      <c r="D1457">
        <v>1</v>
      </c>
      <c r="E1457">
        <v>1</v>
      </c>
      <c r="F1457">
        <v>0</v>
      </c>
      <c r="G1457">
        <v>0</v>
      </c>
      <c r="H1457">
        <v>0</v>
      </c>
      <c r="I1457">
        <v>0</v>
      </c>
      <c r="J1457">
        <v>0</v>
      </c>
      <c r="K1457">
        <v>0</v>
      </c>
      <c r="AN1457">
        <f t="shared" si="67"/>
        <v>2</v>
      </c>
      <c r="AO1457" t="str">
        <f t="shared" si="68"/>
        <v>Monday</v>
      </c>
    </row>
    <row r="1458" spans="1:41" x14ac:dyDescent="0.2">
      <c r="A1458" t="s">
        <v>42</v>
      </c>
      <c r="B1458" s="1">
        <v>45698</v>
      </c>
      <c r="C1458" s="1">
        <f t="shared" si="66"/>
        <v>45716</v>
      </c>
      <c r="D1458">
        <v>36</v>
      </c>
      <c r="E1458">
        <v>51</v>
      </c>
      <c r="F1458">
        <v>2</v>
      </c>
      <c r="G1458">
        <v>7</v>
      </c>
      <c r="H1458">
        <v>2</v>
      </c>
      <c r="I1458">
        <v>0</v>
      </c>
      <c r="J1458">
        <v>0</v>
      </c>
      <c r="K1458">
        <v>29</v>
      </c>
      <c r="L1458" t="s">
        <v>42</v>
      </c>
      <c r="M1458" t="s">
        <v>38</v>
      </c>
      <c r="N1458" s="1">
        <v>45698</v>
      </c>
      <c r="O1458" s="2">
        <v>0.58317129629629627</v>
      </c>
      <c r="P1458" s="2">
        <v>0.96018518518518514</v>
      </c>
      <c r="Q1458">
        <v>9.0500000000000007</v>
      </c>
      <c r="R1458">
        <v>9.0500000000000007</v>
      </c>
      <c r="S1458">
        <v>1.19</v>
      </c>
      <c r="T1458">
        <v>0.71</v>
      </c>
      <c r="U1458">
        <v>0</v>
      </c>
      <c r="V1458">
        <v>0.28999999999999998</v>
      </c>
      <c r="W1458">
        <v>4.57</v>
      </c>
      <c r="X1458">
        <v>1.47</v>
      </c>
      <c r="Y1458">
        <v>0.81</v>
      </c>
      <c r="Z1458">
        <v>0</v>
      </c>
      <c r="AA1458">
        <v>0</v>
      </c>
      <c r="AB1458">
        <v>0.01</v>
      </c>
      <c r="AC1458">
        <v>9.0500000000000007</v>
      </c>
      <c r="AD1458">
        <v>13.15</v>
      </c>
      <c r="AE1458">
        <v>7.82</v>
      </c>
      <c r="AF1458">
        <v>0</v>
      </c>
      <c r="AG1458">
        <v>3.21</v>
      </c>
      <c r="AH1458">
        <v>50.5</v>
      </c>
      <c r="AI1458">
        <v>16.3</v>
      </c>
      <c r="AJ1458">
        <v>8.9499999999999993</v>
      </c>
      <c r="AK1458">
        <v>0</v>
      </c>
      <c r="AL1458">
        <v>0</v>
      </c>
      <c r="AM1458">
        <v>0.08</v>
      </c>
      <c r="AN1458">
        <f t="shared" si="67"/>
        <v>2</v>
      </c>
      <c r="AO1458" t="str">
        <f t="shared" si="68"/>
        <v>Monday</v>
      </c>
    </row>
    <row r="1459" spans="1:41" x14ac:dyDescent="0.2">
      <c r="A1459" t="s">
        <v>43</v>
      </c>
      <c r="B1459" s="1">
        <v>45698</v>
      </c>
      <c r="C1459" s="1">
        <f t="shared" si="66"/>
        <v>45716</v>
      </c>
      <c r="D1459">
        <v>31</v>
      </c>
      <c r="E1459">
        <v>86</v>
      </c>
      <c r="F1459">
        <v>4</v>
      </c>
      <c r="G1459">
        <v>8</v>
      </c>
      <c r="H1459">
        <v>8</v>
      </c>
      <c r="I1459">
        <v>1</v>
      </c>
      <c r="J1459">
        <v>1</v>
      </c>
      <c r="K1459">
        <v>51</v>
      </c>
      <c r="L1459" t="s">
        <v>43</v>
      </c>
      <c r="M1459" t="s">
        <v>38</v>
      </c>
      <c r="N1459" s="1">
        <v>45698</v>
      </c>
      <c r="O1459" s="2">
        <v>0.58355324074074078</v>
      </c>
      <c r="P1459" s="2">
        <v>0.9586689814814815</v>
      </c>
      <c r="Q1459">
        <v>9</v>
      </c>
      <c r="R1459">
        <v>9</v>
      </c>
      <c r="S1459">
        <v>1.67</v>
      </c>
      <c r="T1459">
        <v>0.13</v>
      </c>
      <c r="U1459">
        <v>0</v>
      </c>
      <c r="V1459">
        <v>0.55000000000000004</v>
      </c>
      <c r="W1459">
        <v>4.99</v>
      </c>
      <c r="X1459">
        <v>1.51</v>
      </c>
      <c r="Y1459">
        <v>0.13</v>
      </c>
      <c r="Z1459">
        <v>0</v>
      </c>
      <c r="AA1459">
        <v>0.03</v>
      </c>
      <c r="AB1459">
        <v>0</v>
      </c>
      <c r="AC1459">
        <v>9</v>
      </c>
      <c r="AD1459">
        <v>18.55</v>
      </c>
      <c r="AE1459">
        <v>1.44</v>
      </c>
      <c r="AF1459">
        <v>0</v>
      </c>
      <c r="AG1459">
        <v>6.06</v>
      </c>
      <c r="AH1459">
        <v>55.39</v>
      </c>
      <c r="AI1459">
        <v>16.78</v>
      </c>
      <c r="AJ1459">
        <v>1.46</v>
      </c>
      <c r="AK1459">
        <v>0</v>
      </c>
      <c r="AL1459">
        <v>0.28999999999999998</v>
      </c>
      <c r="AM1459">
        <v>0.04</v>
      </c>
      <c r="AN1459">
        <f t="shared" si="67"/>
        <v>2</v>
      </c>
      <c r="AO1459" t="str">
        <f t="shared" si="68"/>
        <v>Monday</v>
      </c>
    </row>
    <row r="1460" spans="1:41" x14ac:dyDescent="0.2">
      <c r="A1460" t="s">
        <v>49</v>
      </c>
      <c r="B1460" s="1">
        <v>45698</v>
      </c>
      <c r="C1460" s="1">
        <f t="shared" si="66"/>
        <v>45716</v>
      </c>
      <c r="D1460">
        <v>1</v>
      </c>
      <c r="E1460">
        <v>1</v>
      </c>
      <c r="F1460">
        <v>0</v>
      </c>
      <c r="G1460">
        <v>0</v>
      </c>
      <c r="H1460">
        <v>0</v>
      </c>
      <c r="I1460">
        <v>0</v>
      </c>
      <c r="J1460">
        <v>0</v>
      </c>
      <c r="K1460">
        <v>0</v>
      </c>
      <c r="L1460" t="s">
        <v>49</v>
      </c>
      <c r="M1460" t="s">
        <v>38</v>
      </c>
      <c r="N1460" s="1">
        <v>45698</v>
      </c>
      <c r="O1460" s="2">
        <v>0.85797453703703708</v>
      </c>
      <c r="P1460" s="2">
        <v>0.86303240740740739</v>
      </c>
      <c r="Q1460">
        <v>0.12</v>
      </c>
      <c r="R1460">
        <v>0.05</v>
      </c>
      <c r="S1460">
        <v>0.02</v>
      </c>
      <c r="T1460">
        <v>0</v>
      </c>
      <c r="U1460">
        <v>0</v>
      </c>
      <c r="V1460">
        <v>0.01</v>
      </c>
      <c r="W1460">
        <v>0</v>
      </c>
      <c r="X1460">
        <v>0</v>
      </c>
      <c r="Y1460">
        <v>0</v>
      </c>
      <c r="Z1460">
        <v>0</v>
      </c>
      <c r="AA1460">
        <v>0</v>
      </c>
      <c r="AB1460">
        <v>0.02</v>
      </c>
      <c r="AC1460">
        <v>0.05</v>
      </c>
      <c r="AD1460">
        <v>43.24</v>
      </c>
      <c r="AE1460">
        <v>0</v>
      </c>
      <c r="AF1460">
        <v>0</v>
      </c>
      <c r="AG1460">
        <v>26.49</v>
      </c>
      <c r="AH1460">
        <v>0</v>
      </c>
      <c r="AI1460">
        <v>0</v>
      </c>
      <c r="AJ1460">
        <v>0</v>
      </c>
      <c r="AK1460">
        <v>0</v>
      </c>
      <c r="AL1460">
        <v>0</v>
      </c>
      <c r="AM1460">
        <v>30.27</v>
      </c>
      <c r="AN1460">
        <f t="shared" si="67"/>
        <v>2</v>
      </c>
      <c r="AO1460" t="str">
        <f t="shared" si="68"/>
        <v>Monday</v>
      </c>
    </row>
    <row r="1461" spans="1:41" x14ac:dyDescent="0.2">
      <c r="B1461" s="1">
        <v>45698</v>
      </c>
      <c r="C1461" s="1">
        <f t="shared" si="66"/>
        <v>45716</v>
      </c>
      <c r="D1461">
        <v>852</v>
      </c>
      <c r="E1461">
        <v>0</v>
      </c>
      <c r="F1461">
        <v>0</v>
      </c>
      <c r="G1461">
        <v>0</v>
      </c>
      <c r="H1461">
        <v>0</v>
      </c>
      <c r="I1461">
        <v>0</v>
      </c>
      <c r="J1461">
        <v>0</v>
      </c>
      <c r="K1461">
        <v>0</v>
      </c>
      <c r="AN1461">
        <f t="shared" si="67"/>
        <v>2</v>
      </c>
      <c r="AO1461" t="str">
        <f t="shared" si="68"/>
        <v>Monday</v>
      </c>
    </row>
    <row r="1462" spans="1:41" x14ac:dyDescent="0.2">
      <c r="A1462" t="s">
        <v>37</v>
      </c>
      <c r="B1462" s="1">
        <v>45695</v>
      </c>
      <c r="C1462" s="1">
        <f t="shared" si="66"/>
        <v>45716</v>
      </c>
      <c r="D1462">
        <v>37</v>
      </c>
      <c r="E1462">
        <v>104</v>
      </c>
      <c r="F1462">
        <v>4</v>
      </c>
      <c r="G1462">
        <v>2</v>
      </c>
      <c r="H1462">
        <v>2</v>
      </c>
      <c r="I1462">
        <v>0</v>
      </c>
      <c r="J1462">
        <v>1</v>
      </c>
      <c r="K1462">
        <v>75</v>
      </c>
      <c r="L1462" t="s">
        <v>37</v>
      </c>
      <c r="M1462" t="s">
        <v>38</v>
      </c>
      <c r="N1462" s="1">
        <v>45695</v>
      </c>
      <c r="O1462" s="2">
        <v>0.58453703703703708</v>
      </c>
      <c r="P1462" s="2">
        <v>0.95890046296296294</v>
      </c>
      <c r="Q1462">
        <v>8.98</v>
      </c>
      <c r="R1462">
        <v>8.02</v>
      </c>
      <c r="S1462">
        <v>0.89</v>
      </c>
      <c r="T1462">
        <v>0.2</v>
      </c>
      <c r="U1462">
        <v>0</v>
      </c>
      <c r="V1462">
        <v>0.35</v>
      </c>
      <c r="W1462">
        <v>5.08</v>
      </c>
      <c r="X1462">
        <v>0.3</v>
      </c>
      <c r="Y1462">
        <v>1.2</v>
      </c>
      <c r="Z1462">
        <v>0</v>
      </c>
      <c r="AA1462">
        <v>0</v>
      </c>
      <c r="AB1462">
        <v>0.01</v>
      </c>
      <c r="AC1462">
        <v>8.02</v>
      </c>
      <c r="AD1462">
        <v>11.12</v>
      </c>
      <c r="AE1462">
        <v>2.4500000000000002</v>
      </c>
      <c r="AF1462">
        <v>0</v>
      </c>
      <c r="AG1462">
        <v>4.33</v>
      </c>
      <c r="AH1462">
        <v>63.29</v>
      </c>
      <c r="AI1462">
        <v>3.7</v>
      </c>
      <c r="AJ1462">
        <v>14.97</v>
      </c>
      <c r="AK1462">
        <v>0</v>
      </c>
      <c r="AL1462">
        <v>0</v>
      </c>
      <c r="AM1462">
        <v>0.14000000000000001</v>
      </c>
      <c r="AN1462">
        <f t="shared" si="67"/>
        <v>6</v>
      </c>
      <c r="AO1462" t="str">
        <f t="shared" si="68"/>
        <v>Friday</v>
      </c>
    </row>
    <row r="1463" spans="1:41" x14ac:dyDescent="0.2">
      <c r="A1463" t="s">
        <v>39</v>
      </c>
      <c r="B1463" s="1">
        <v>45695</v>
      </c>
      <c r="C1463" s="1">
        <f t="shared" si="66"/>
        <v>45716</v>
      </c>
      <c r="D1463">
        <v>44</v>
      </c>
      <c r="E1463">
        <v>108</v>
      </c>
      <c r="F1463">
        <v>10</v>
      </c>
      <c r="G1463">
        <v>3</v>
      </c>
      <c r="H1463">
        <v>5</v>
      </c>
      <c r="I1463">
        <v>0</v>
      </c>
      <c r="J1463">
        <v>0</v>
      </c>
      <c r="K1463">
        <v>78</v>
      </c>
      <c r="L1463" t="s">
        <v>39</v>
      </c>
      <c r="M1463" t="s">
        <v>38</v>
      </c>
      <c r="N1463" s="1">
        <v>45695</v>
      </c>
      <c r="O1463" s="2">
        <v>0.58354166666666663</v>
      </c>
      <c r="P1463" s="2">
        <v>0.95912037037037035</v>
      </c>
      <c r="Q1463">
        <v>9.02</v>
      </c>
      <c r="R1463">
        <v>9.01</v>
      </c>
      <c r="S1463">
        <v>1.69</v>
      </c>
      <c r="T1463">
        <v>0.18</v>
      </c>
      <c r="U1463">
        <v>0</v>
      </c>
      <c r="V1463">
        <v>7.0000000000000007E-2</v>
      </c>
      <c r="W1463">
        <v>4.0599999999999996</v>
      </c>
      <c r="X1463">
        <v>1.49</v>
      </c>
      <c r="Y1463">
        <v>1.51</v>
      </c>
      <c r="Z1463">
        <v>0</v>
      </c>
      <c r="AA1463">
        <v>0</v>
      </c>
      <c r="AB1463">
        <v>0</v>
      </c>
      <c r="AC1463">
        <v>9.01</v>
      </c>
      <c r="AD1463">
        <v>18.739999999999998</v>
      </c>
      <c r="AE1463">
        <v>2.0499999999999998</v>
      </c>
      <c r="AF1463">
        <v>0</v>
      </c>
      <c r="AG1463">
        <v>0.75</v>
      </c>
      <c r="AH1463">
        <v>45.07</v>
      </c>
      <c r="AI1463">
        <v>16.579999999999998</v>
      </c>
      <c r="AJ1463">
        <v>16.77</v>
      </c>
      <c r="AK1463">
        <v>0</v>
      </c>
      <c r="AL1463">
        <v>0</v>
      </c>
      <c r="AM1463">
        <v>0.05</v>
      </c>
      <c r="AN1463">
        <f t="shared" si="67"/>
        <v>6</v>
      </c>
      <c r="AO1463" t="str">
        <f t="shared" si="68"/>
        <v>Friday</v>
      </c>
    </row>
    <row r="1464" spans="1:41" x14ac:dyDescent="0.2">
      <c r="A1464" t="s">
        <v>41</v>
      </c>
      <c r="B1464" s="1">
        <v>45695</v>
      </c>
      <c r="C1464" s="1">
        <f t="shared" si="66"/>
        <v>45716</v>
      </c>
      <c r="D1464">
        <v>46</v>
      </c>
      <c r="E1464">
        <v>107</v>
      </c>
      <c r="F1464">
        <v>2</v>
      </c>
      <c r="G1464">
        <v>5</v>
      </c>
      <c r="H1464">
        <v>3</v>
      </c>
      <c r="I1464">
        <v>0</v>
      </c>
      <c r="J1464">
        <v>0</v>
      </c>
      <c r="K1464">
        <v>74</v>
      </c>
      <c r="L1464" t="s">
        <v>41</v>
      </c>
      <c r="M1464" t="s">
        <v>38</v>
      </c>
      <c r="N1464" s="1">
        <v>45695</v>
      </c>
      <c r="O1464" s="2">
        <v>0.58383101851851849</v>
      </c>
      <c r="P1464" s="2">
        <v>0.95788194444444441</v>
      </c>
      <c r="Q1464">
        <v>8.98</v>
      </c>
      <c r="R1464">
        <v>8.84</v>
      </c>
      <c r="S1464">
        <v>1.21</v>
      </c>
      <c r="T1464">
        <v>7.0000000000000007E-2</v>
      </c>
      <c r="U1464">
        <v>0</v>
      </c>
      <c r="V1464">
        <v>0.24</v>
      </c>
      <c r="W1464">
        <v>4.63</v>
      </c>
      <c r="X1464">
        <v>1.48</v>
      </c>
      <c r="Y1464">
        <v>1.19</v>
      </c>
      <c r="Z1464">
        <v>0</v>
      </c>
      <c r="AA1464">
        <v>0</v>
      </c>
      <c r="AB1464">
        <v>0.01</v>
      </c>
      <c r="AC1464">
        <v>8.84</v>
      </c>
      <c r="AD1464">
        <v>13.69</v>
      </c>
      <c r="AE1464">
        <v>0.81</v>
      </c>
      <c r="AF1464">
        <v>0</v>
      </c>
      <c r="AG1464">
        <v>2.76</v>
      </c>
      <c r="AH1464">
        <v>52.39</v>
      </c>
      <c r="AI1464">
        <v>16.75</v>
      </c>
      <c r="AJ1464">
        <v>13.49</v>
      </c>
      <c r="AK1464">
        <v>0</v>
      </c>
      <c r="AL1464">
        <v>0</v>
      </c>
      <c r="AM1464">
        <v>0.1</v>
      </c>
      <c r="AN1464">
        <f t="shared" si="67"/>
        <v>6</v>
      </c>
      <c r="AO1464" t="str">
        <f t="shared" si="68"/>
        <v>Friday</v>
      </c>
    </row>
    <row r="1465" spans="1:41" x14ac:dyDescent="0.2">
      <c r="A1465" t="s">
        <v>43</v>
      </c>
      <c r="B1465" s="1">
        <v>45695</v>
      </c>
      <c r="C1465" s="1">
        <f t="shared" si="66"/>
        <v>45716</v>
      </c>
      <c r="D1465">
        <v>27</v>
      </c>
      <c r="E1465">
        <v>60</v>
      </c>
      <c r="F1465">
        <v>5</v>
      </c>
      <c r="G1465">
        <v>4</v>
      </c>
      <c r="H1465">
        <v>2</v>
      </c>
      <c r="I1465">
        <v>0</v>
      </c>
      <c r="J1465">
        <v>0</v>
      </c>
      <c r="K1465">
        <v>35</v>
      </c>
      <c r="L1465" t="s">
        <v>43</v>
      </c>
      <c r="M1465" t="s">
        <v>38</v>
      </c>
      <c r="N1465" s="1">
        <v>45695</v>
      </c>
      <c r="O1465" s="2">
        <v>0.58251157407407406</v>
      </c>
      <c r="P1465" s="2">
        <v>0.95920138888888884</v>
      </c>
      <c r="Q1465">
        <v>9.0500000000000007</v>
      </c>
      <c r="R1465">
        <v>9.0399999999999991</v>
      </c>
      <c r="S1465">
        <v>1.43</v>
      </c>
      <c r="T1465">
        <v>0</v>
      </c>
      <c r="U1465">
        <v>0</v>
      </c>
      <c r="V1465">
        <v>0.77</v>
      </c>
      <c r="W1465">
        <v>3.16</v>
      </c>
      <c r="X1465">
        <v>1.87</v>
      </c>
      <c r="Y1465">
        <v>1.81</v>
      </c>
      <c r="Z1465">
        <v>0</v>
      </c>
      <c r="AA1465">
        <v>0</v>
      </c>
      <c r="AB1465">
        <v>0</v>
      </c>
      <c r="AC1465">
        <v>9.0399999999999991</v>
      </c>
      <c r="AD1465">
        <v>15.84</v>
      </c>
      <c r="AE1465">
        <v>0</v>
      </c>
      <c r="AF1465">
        <v>0</v>
      </c>
      <c r="AG1465">
        <v>8.5399999999999991</v>
      </c>
      <c r="AH1465">
        <v>34.92</v>
      </c>
      <c r="AI1465">
        <v>20.67</v>
      </c>
      <c r="AJ1465">
        <v>20</v>
      </c>
      <c r="AK1465">
        <v>0</v>
      </c>
      <c r="AL1465">
        <v>0</v>
      </c>
      <c r="AM1465">
        <v>0.04</v>
      </c>
      <c r="AN1465">
        <f t="shared" si="67"/>
        <v>6</v>
      </c>
      <c r="AO1465" t="str">
        <f t="shared" si="68"/>
        <v>Friday</v>
      </c>
    </row>
    <row r="1466" spans="1:41" x14ac:dyDescent="0.2">
      <c r="B1466" s="1">
        <v>45695</v>
      </c>
      <c r="C1466" s="1">
        <f t="shared" si="66"/>
        <v>45716</v>
      </c>
      <c r="D1466">
        <v>797</v>
      </c>
      <c r="E1466">
        <v>0</v>
      </c>
      <c r="F1466">
        <v>0</v>
      </c>
      <c r="G1466">
        <v>0</v>
      </c>
      <c r="H1466">
        <v>0</v>
      </c>
      <c r="I1466">
        <v>0</v>
      </c>
      <c r="J1466">
        <v>0</v>
      </c>
      <c r="K1466">
        <v>0</v>
      </c>
      <c r="AN1466">
        <f t="shared" si="67"/>
        <v>6</v>
      </c>
      <c r="AO1466" t="str">
        <f t="shared" si="68"/>
        <v>Friday</v>
      </c>
    </row>
    <row r="1467" spans="1:41" x14ac:dyDescent="0.2">
      <c r="A1467" t="s">
        <v>37</v>
      </c>
      <c r="B1467" s="1">
        <v>45694</v>
      </c>
      <c r="C1467" s="1">
        <f t="shared" si="66"/>
        <v>45716</v>
      </c>
      <c r="D1467">
        <v>20</v>
      </c>
      <c r="E1467">
        <v>45</v>
      </c>
      <c r="F1467">
        <v>5</v>
      </c>
      <c r="G1467">
        <v>1</v>
      </c>
      <c r="H1467">
        <v>2</v>
      </c>
      <c r="I1467">
        <v>0</v>
      </c>
      <c r="J1467">
        <v>1</v>
      </c>
      <c r="K1467">
        <v>29</v>
      </c>
      <c r="L1467" t="s">
        <v>37</v>
      </c>
      <c r="M1467" t="s">
        <v>38</v>
      </c>
      <c r="N1467" s="1">
        <v>45694</v>
      </c>
      <c r="O1467" s="2">
        <v>0.58520833333333333</v>
      </c>
      <c r="P1467" s="2">
        <v>0.95937499999999998</v>
      </c>
      <c r="Q1467">
        <v>8.98</v>
      </c>
      <c r="R1467">
        <v>7.96</v>
      </c>
      <c r="S1467">
        <v>1.22</v>
      </c>
      <c r="T1467">
        <v>0.19</v>
      </c>
      <c r="U1467">
        <v>0</v>
      </c>
      <c r="V1467">
        <v>0.25</v>
      </c>
      <c r="W1467">
        <v>5.85</v>
      </c>
      <c r="X1467">
        <v>0.35</v>
      </c>
      <c r="Y1467">
        <v>0</v>
      </c>
      <c r="Z1467">
        <v>0</v>
      </c>
      <c r="AA1467">
        <v>0</v>
      </c>
      <c r="AB1467">
        <v>0.11</v>
      </c>
      <c r="AC1467">
        <v>7.96</v>
      </c>
      <c r="AD1467">
        <v>15.28</v>
      </c>
      <c r="AE1467">
        <v>2.36</v>
      </c>
      <c r="AF1467">
        <v>0</v>
      </c>
      <c r="AG1467">
        <v>3.18</v>
      </c>
      <c r="AH1467">
        <v>73.489999999999995</v>
      </c>
      <c r="AI1467">
        <v>4.3600000000000003</v>
      </c>
      <c r="AJ1467">
        <v>0</v>
      </c>
      <c r="AK1467">
        <v>0</v>
      </c>
      <c r="AL1467">
        <v>0</v>
      </c>
      <c r="AM1467">
        <v>1.32</v>
      </c>
      <c r="AN1467">
        <f t="shared" si="67"/>
        <v>5</v>
      </c>
      <c r="AO1467" t="str">
        <f t="shared" si="68"/>
        <v>Thursday</v>
      </c>
    </row>
    <row r="1468" spans="1:41" x14ac:dyDescent="0.2">
      <c r="A1468" t="s">
        <v>39</v>
      </c>
      <c r="B1468" s="1">
        <v>45694</v>
      </c>
      <c r="C1468" s="1">
        <f t="shared" si="66"/>
        <v>45716</v>
      </c>
      <c r="D1468">
        <v>25</v>
      </c>
      <c r="E1468">
        <v>77</v>
      </c>
      <c r="F1468">
        <v>2</v>
      </c>
      <c r="G1468">
        <v>14</v>
      </c>
      <c r="H1468">
        <v>2</v>
      </c>
      <c r="I1468">
        <v>0</v>
      </c>
      <c r="J1468">
        <v>0</v>
      </c>
      <c r="K1468">
        <v>41</v>
      </c>
      <c r="L1468" t="s">
        <v>39</v>
      </c>
      <c r="M1468" t="s">
        <v>38</v>
      </c>
      <c r="N1468" s="1">
        <v>45694</v>
      </c>
      <c r="O1468" s="2">
        <v>0.58348379629629632</v>
      </c>
      <c r="P1468" s="2">
        <v>0.95865740740740746</v>
      </c>
      <c r="Q1468">
        <v>9</v>
      </c>
      <c r="R1468">
        <v>9</v>
      </c>
      <c r="S1468">
        <v>0.74</v>
      </c>
      <c r="T1468">
        <v>0.24</v>
      </c>
      <c r="U1468">
        <v>0</v>
      </c>
      <c r="V1468">
        <v>0.05</v>
      </c>
      <c r="W1468">
        <v>6.47</v>
      </c>
      <c r="X1468">
        <v>1.49</v>
      </c>
      <c r="Y1468">
        <v>0</v>
      </c>
      <c r="Z1468">
        <v>0</v>
      </c>
      <c r="AA1468">
        <v>0</v>
      </c>
      <c r="AB1468">
        <v>0</v>
      </c>
      <c r="AC1468">
        <v>9</v>
      </c>
      <c r="AD1468">
        <v>8.25</v>
      </c>
      <c r="AE1468">
        <v>2.65</v>
      </c>
      <c r="AF1468">
        <v>0</v>
      </c>
      <c r="AG1468">
        <v>0.56000000000000005</v>
      </c>
      <c r="AH1468">
        <v>71.900000000000006</v>
      </c>
      <c r="AI1468">
        <v>16.600000000000001</v>
      </c>
      <c r="AJ1468">
        <v>0</v>
      </c>
      <c r="AK1468">
        <v>0</v>
      </c>
      <c r="AL1468">
        <v>0</v>
      </c>
      <c r="AM1468">
        <v>0.04</v>
      </c>
      <c r="AN1468">
        <f t="shared" si="67"/>
        <v>5</v>
      </c>
      <c r="AO1468" t="str">
        <f t="shared" si="68"/>
        <v>Thursday</v>
      </c>
    </row>
    <row r="1469" spans="1:41" x14ac:dyDescent="0.2">
      <c r="A1469" t="s">
        <v>41</v>
      </c>
      <c r="B1469" s="1">
        <v>45694</v>
      </c>
      <c r="C1469" s="1">
        <f t="shared" si="66"/>
        <v>45716</v>
      </c>
      <c r="D1469">
        <v>29</v>
      </c>
      <c r="E1469">
        <v>72</v>
      </c>
      <c r="F1469">
        <v>5</v>
      </c>
      <c r="G1469">
        <v>2</v>
      </c>
      <c r="H1469">
        <v>4</v>
      </c>
      <c r="I1469">
        <v>1</v>
      </c>
      <c r="J1469">
        <v>1</v>
      </c>
      <c r="K1469">
        <v>44</v>
      </c>
      <c r="L1469" t="s">
        <v>41</v>
      </c>
      <c r="M1469" t="s">
        <v>38</v>
      </c>
      <c r="N1469" s="1">
        <v>45694</v>
      </c>
      <c r="O1469" s="2">
        <v>0.58634259259259258</v>
      </c>
      <c r="P1469" s="2">
        <v>0.95898148148148143</v>
      </c>
      <c r="Q1469">
        <v>8.93</v>
      </c>
      <c r="R1469">
        <v>8.94</v>
      </c>
      <c r="S1469">
        <v>0.83</v>
      </c>
      <c r="T1469">
        <v>0</v>
      </c>
      <c r="U1469">
        <v>0</v>
      </c>
      <c r="V1469">
        <v>0.3</v>
      </c>
      <c r="W1469">
        <v>6.24</v>
      </c>
      <c r="X1469">
        <v>1.56</v>
      </c>
      <c r="Y1469">
        <v>0</v>
      </c>
      <c r="Z1469">
        <v>0</v>
      </c>
      <c r="AA1469">
        <v>0</v>
      </c>
      <c r="AB1469">
        <v>0.01</v>
      </c>
      <c r="AC1469">
        <v>8.94</v>
      </c>
      <c r="AD1469">
        <v>9.33</v>
      </c>
      <c r="AE1469">
        <v>0</v>
      </c>
      <c r="AF1469">
        <v>0</v>
      </c>
      <c r="AG1469">
        <v>3.31</v>
      </c>
      <c r="AH1469">
        <v>69.8</v>
      </c>
      <c r="AI1469">
        <v>17.46</v>
      </c>
      <c r="AJ1469">
        <v>0</v>
      </c>
      <c r="AK1469">
        <v>0</v>
      </c>
      <c r="AL1469">
        <v>0</v>
      </c>
      <c r="AM1469">
        <v>0.1</v>
      </c>
      <c r="AN1469">
        <f t="shared" si="67"/>
        <v>5</v>
      </c>
      <c r="AO1469" t="str">
        <f t="shared" si="68"/>
        <v>Thursday</v>
      </c>
    </row>
    <row r="1470" spans="1:41" x14ac:dyDescent="0.2">
      <c r="A1470" t="s">
        <v>42</v>
      </c>
      <c r="B1470" s="1">
        <v>45694</v>
      </c>
      <c r="C1470" s="1">
        <f t="shared" si="66"/>
        <v>45716</v>
      </c>
      <c r="D1470">
        <v>21</v>
      </c>
      <c r="E1470">
        <v>29</v>
      </c>
      <c r="F1470">
        <v>2</v>
      </c>
      <c r="G1470">
        <v>1</v>
      </c>
      <c r="H1470">
        <v>2</v>
      </c>
      <c r="I1470">
        <v>0</v>
      </c>
      <c r="J1470">
        <v>3</v>
      </c>
      <c r="K1470">
        <v>17</v>
      </c>
      <c r="L1470" t="s">
        <v>42</v>
      </c>
      <c r="M1470" t="s">
        <v>38</v>
      </c>
      <c r="N1470" s="1">
        <v>45694</v>
      </c>
      <c r="O1470" s="2">
        <v>0.58436342592592594</v>
      </c>
      <c r="P1470" s="2">
        <v>0.75085648148148143</v>
      </c>
      <c r="Q1470">
        <v>4</v>
      </c>
      <c r="R1470">
        <v>4</v>
      </c>
      <c r="S1470">
        <v>0.79</v>
      </c>
      <c r="T1470">
        <v>0.16</v>
      </c>
      <c r="U1470">
        <v>0</v>
      </c>
      <c r="V1470">
        <v>0.19</v>
      </c>
      <c r="W1470">
        <v>2.44</v>
      </c>
      <c r="X1470">
        <v>0.27</v>
      </c>
      <c r="Y1470">
        <v>0</v>
      </c>
      <c r="Z1470">
        <v>0</v>
      </c>
      <c r="AA1470">
        <v>0.13</v>
      </c>
      <c r="AB1470">
        <v>0.02</v>
      </c>
      <c r="AC1470">
        <v>4</v>
      </c>
      <c r="AD1470">
        <v>19.829999999999998</v>
      </c>
      <c r="AE1470">
        <v>4.0599999999999996</v>
      </c>
      <c r="AF1470">
        <v>0</v>
      </c>
      <c r="AG1470">
        <v>4.67</v>
      </c>
      <c r="AH1470">
        <v>61.17</v>
      </c>
      <c r="AI1470">
        <v>6.7</v>
      </c>
      <c r="AJ1470">
        <v>0</v>
      </c>
      <c r="AK1470">
        <v>0</v>
      </c>
      <c r="AL1470">
        <v>3.2</v>
      </c>
      <c r="AM1470">
        <v>0.38</v>
      </c>
      <c r="AN1470">
        <f t="shared" si="67"/>
        <v>5</v>
      </c>
      <c r="AO1470" t="str">
        <f t="shared" si="68"/>
        <v>Thursday</v>
      </c>
    </row>
    <row r="1471" spans="1:41" x14ac:dyDescent="0.2">
      <c r="A1471" t="s">
        <v>43</v>
      </c>
      <c r="B1471" s="1">
        <v>45694</v>
      </c>
      <c r="C1471" s="1">
        <f t="shared" si="66"/>
        <v>45716</v>
      </c>
      <c r="D1471">
        <v>29</v>
      </c>
      <c r="E1471">
        <v>85</v>
      </c>
      <c r="F1471">
        <v>11</v>
      </c>
      <c r="G1471">
        <v>4</v>
      </c>
      <c r="H1471">
        <v>12</v>
      </c>
      <c r="I1471">
        <v>0</v>
      </c>
      <c r="J1471">
        <v>0</v>
      </c>
      <c r="K1471">
        <v>45</v>
      </c>
      <c r="L1471" t="s">
        <v>43</v>
      </c>
      <c r="M1471" t="s">
        <v>38</v>
      </c>
      <c r="N1471" s="1">
        <v>45694</v>
      </c>
      <c r="O1471" s="2">
        <v>0.58190972222222226</v>
      </c>
      <c r="P1471" s="2">
        <v>0.95920138888888884</v>
      </c>
      <c r="Q1471">
        <v>9.07</v>
      </c>
      <c r="R1471">
        <v>9.0500000000000007</v>
      </c>
      <c r="S1471">
        <v>0.94</v>
      </c>
      <c r="T1471">
        <v>0.33</v>
      </c>
      <c r="U1471">
        <v>0</v>
      </c>
      <c r="V1471">
        <v>0.39</v>
      </c>
      <c r="W1471">
        <v>5.51</v>
      </c>
      <c r="X1471">
        <v>1.45</v>
      </c>
      <c r="Y1471">
        <v>0.24</v>
      </c>
      <c r="Z1471">
        <v>0</v>
      </c>
      <c r="AA1471">
        <v>0.2</v>
      </c>
      <c r="AB1471">
        <v>0</v>
      </c>
      <c r="AC1471">
        <v>9.0500000000000007</v>
      </c>
      <c r="AD1471">
        <v>10.36</v>
      </c>
      <c r="AE1471">
        <v>3.65</v>
      </c>
      <c r="AF1471">
        <v>0</v>
      </c>
      <c r="AG1471">
        <v>4.3099999999999996</v>
      </c>
      <c r="AH1471">
        <v>60.83</v>
      </c>
      <c r="AI1471">
        <v>15.98</v>
      </c>
      <c r="AJ1471">
        <v>2.62</v>
      </c>
      <c r="AK1471">
        <v>0</v>
      </c>
      <c r="AL1471">
        <v>2.2000000000000002</v>
      </c>
      <c r="AM1471">
        <v>0.05</v>
      </c>
      <c r="AN1471">
        <f t="shared" si="67"/>
        <v>5</v>
      </c>
      <c r="AO1471" t="str">
        <f t="shared" si="68"/>
        <v>Thursday</v>
      </c>
    </row>
    <row r="1472" spans="1:41" x14ac:dyDescent="0.2">
      <c r="A1472" t="s">
        <v>46</v>
      </c>
      <c r="B1472" s="1">
        <v>45694</v>
      </c>
      <c r="C1472" s="1">
        <f t="shared" si="66"/>
        <v>45716</v>
      </c>
      <c r="D1472">
        <v>1</v>
      </c>
      <c r="E1472">
        <v>2</v>
      </c>
      <c r="F1472">
        <v>0</v>
      </c>
      <c r="G1472">
        <v>1</v>
      </c>
      <c r="H1472">
        <v>0</v>
      </c>
      <c r="I1472">
        <v>0</v>
      </c>
      <c r="J1472">
        <v>0</v>
      </c>
      <c r="K1472">
        <v>0</v>
      </c>
      <c r="AN1472">
        <f t="shared" si="67"/>
        <v>5</v>
      </c>
      <c r="AO1472" t="str">
        <f t="shared" si="68"/>
        <v>Thursday</v>
      </c>
    </row>
    <row r="1473" spans="1:41" x14ac:dyDescent="0.2">
      <c r="B1473" s="1">
        <v>45694</v>
      </c>
      <c r="C1473" s="1">
        <f t="shared" si="66"/>
        <v>45716</v>
      </c>
      <c r="D1473">
        <v>834</v>
      </c>
      <c r="E1473">
        <v>0</v>
      </c>
      <c r="F1473">
        <v>0</v>
      </c>
      <c r="G1473">
        <v>0</v>
      </c>
      <c r="H1473">
        <v>0</v>
      </c>
      <c r="I1473">
        <v>0</v>
      </c>
      <c r="J1473">
        <v>0</v>
      </c>
      <c r="K1473">
        <v>0</v>
      </c>
      <c r="AN1473">
        <f t="shared" si="67"/>
        <v>5</v>
      </c>
      <c r="AO1473" t="str">
        <f t="shared" si="68"/>
        <v>Thursday</v>
      </c>
    </row>
    <row r="1474" spans="1:41" x14ac:dyDescent="0.2">
      <c r="A1474" t="s">
        <v>37</v>
      </c>
      <c r="B1474" s="1">
        <v>45693</v>
      </c>
      <c r="C1474" s="1">
        <f t="shared" si="66"/>
        <v>45716</v>
      </c>
      <c r="D1474">
        <v>33</v>
      </c>
      <c r="E1474">
        <v>72</v>
      </c>
      <c r="F1474">
        <v>2</v>
      </c>
      <c r="G1474">
        <v>3</v>
      </c>
      <c r="H1474">
        <v>3</v>
      </c>
      <c r="I1474">
        <v>0</v>
      </c>
      <c r="J1474">
        <v>0</v>
      </c>
      <c r="K1474">
        <v>47</v>
      </c>
      <c r="L1474" t="s">
        <v>37</v>
      </c>
      <c r="M1474" t="s">
        <v>38</v>
      </c>
      <c r="N1474" s="1">
        <v>45693</v>
      </c>
      <c r="O1474" s="2">
        <v>0.5848726851851852</v>
      </c>
      <c r="P1474" s="2">
        <v>0.958587962962963</v>
      </c>
      <c r="Q1474">
        <v>8.9700000000000006</v>
      </c>
      <c r="R1474">
        <v>7.99</v>
      </c>
      <c r="S1474">
        <v>0.57999999999999996</v>
      </c>
      <c r="T1474">
        <v>0.33</v>
      </c>
      <c r="U1474">
        <v>0</v>
      </c>
      <c r="V1474">
        <v>0.26</v>
      </c>
      <c r="W1474">
        <v>6.57</v>
      </c>
      <c r="X1474">
        <v>0.24</v>
      </c>
      <c r="Y1474">
        <v>0</v>
      </c>
      <c r="Z1474">
        <v>0</v>
      </c>
      <c r="AA1474">
        <v>0</v>
      </c>
      <c r="AB1474">
        <v>0.02</v>
      </c>
      <c r="AC1474">
        <v>7.99</v>
      </c>
      <c r="AD1474">
        <v>7.21</v>
      </c>
      <c r="AE1474">
        <v>4.08</v>
      </c>
      <c r="AF1474">
        <v>0</v>
      </c>
      <c r="AG1474">
        <v>3.22</v>
      </c>
      <c r="AH1474">
        <v>82.25</v>
      </c>
      <c r="AI1474">
        <v>3.02</v>
      </c>
      <c r="AJ1474">
        <v>0</v>
      </c>
      <c r="AK1474">
        <v>0</v>
      </c>
      <c r="AL1474">
        <v>0</v>
      </c>
      <c r="AM1474">
        <v>0.21</v>
      </c>
      <c r="AN1474">
        <f t="shared" si="67"/>
        <v>4</v>
      </c>
      <c r="AO1474" t="str">
        <f t="shared" si="68"/>
        <v>Wednesday</v>
      </c>
    </row>
    <row r="1475" spans="1:41" x14ac:dyDescent="0.2">
      <c r="A1475" t="s">
        <v>39</v>
      </c>
      <c r="B1475" s="1">
        <v>45693</v>
      </c>
      <c r="C1475" s="1">
        <f t="shared" ref="C1475:C1538" si="69">EOMONTH(B1475,0)</f>
        <v>45716</v>
      </c>
      <c r="D1475">
        <v>32</v>
      </c>
      <c r="E1475">
        <v>87</v>
      </c>
      <c r="F1475">
        <v>4</v>
      </c>
      <c r="G1475">
        <v>12</v>
      </c>
      <c r="H1475">
        <v>7</v>
      </c>
      <c r="I1475">
        <v>0</v>
      </c>
      <c r="J1475">
        <v>1</v>
      </c>
      <c r="K1475">
        <v>44</v>
      </c>
      <c r="L1475" t="s">
        <v>39</v>
      </c>
      <c r="M1475" t="s">
        <v>38</v>
      </c>
      <c r="N1475" s="1">
        <v>45693</v>
      </c>
      <c r="O1475" s="2">
        <v>0.58348379629629632</v>
      </c>
      <c r="P1475" s="2">
        <v>0.95841435185185186</v>
      </c>
      <c r="Q1475">
        <v>9</v>
      </c>
      <c r="R1475">
        <v>9.02</v>
      </c>
      <c r="S1475">
        <v>1.69</v>
      </c>
      <c r="T1475">
        <v>0.17</v>
      </c>
      <c r="U1475">
        <v>0</v>
      </c>
      <c r="V1475">
        <v>0.05</v>
      </c>
      <c r="W1475">
        <v>5.62</v>
      </c>
      <c r="X1475">
        <v>1.47</v>
      </c>
      <c r="Y1475">
        <v>0</v>
      </c>
      <c r="Z1475">
        <v>0</v>
      </c>
      <c r="AA1475">
        <v>0</v>
      </c>
      <c r="AB1475">
        <v>0.01</v>
      </c>
      <c r="AC1475">
        <v>9.02</v>
      </c>
      <c r="AD1475">
        <v>18.75</v>
      </c>
      <c r="AE1475">
        <v>1.9</v>
      </c>
      <c r="AF1475">
        <v>0</v>
      </c>
      <c r="AG1475">
        <v>0.61</v>
      </c>
      <c r="AH1475">
        <v>62.27</v>
      </c>
      <c r="AI1475">
        <v>16.329999999999998</v>
      </c>
      <c r="AJ1475">
        <v>0</v>
      </c>
      <c r="AK1475">
        <v>0</v>
      </c>
      <c r="AL1475">
        <v>0</v>
      </c>
      <c r="AM1475">
        <v>0.15</v>
      </c>
      <c r="AN1475">
        <f t="shared" ref="AN1475:AN1538" si="70">WEEKDAY(B1475,1)</f>
        <v>4</v>
      </c>
      <c r="AO1475" t="str">
        <f t="shared" ref="AO1475:AO1538" si="71">VLOOKUP(AN1475,$AY$2:$AZ$8,2,FALSE)</f>
        <v>Wednesday</v>
      </c>
    </row>
    <row r="1476" spans="1:41" x14ac:dyDescent="0.2">
      <c r="A1476" t="s">
        <v>41</v>
      </c>
      <c r="B1476" s="1">
        <v>45693</v>
      </c>
      <c r="C1476" s="1">
        <f t="shared" si="69"/>
        <v>45716</v>
      </c>
      <c r="D1476">
        <v>40</v>
      </c>
      <c r="E1476">
        <v>89</v>
      </c>
      <c r="F1476">
        <v>3</v>
      </c>
      <c r="G1476">
        <v>12</v>
      </c>
      <c r="H1476">
        <v>12</v>
      </c>
      <c r="I1476">
        <v>0</v>
      </c>
      <c r="J1476">
        <v>0</v>
      </c>
      <c r="K1476">
        <v>41</v>
      </c>
      <c r="L1476" t="s">
        <v>41</v>
      </c>
      <c r="M1476" t="s">
        <v>38</v>
      </c>
      <c r="N1476" s="1">
        <v>45693</v>
      </c>
      <c r="O1476" s="2">
        <v>0.58618055555555559</v>
      </c>
      <c r="P1476" s="2">
        <v>0.95841435185185186</v>
      </c>
      <c r="Q1476">
        <v>8.93</v>
      </c>
      <c r="R1476">
        <v>8.93</v>
      </c>
      <c r="S1476">
        <v>1.1000000000000001</v>
      </c>
      <c r="T1476">
        <v>0</v>
      </c>
      <c r="U1476">
        <v>0</v>
      </c>
      <c r="V1476">
        <v>0.56999999999999995</v>
      </c>
      <c r="W1476">
        <v>5.76</v>
      </c>
      <c r="X1476">
        <v>1.49</v>
      </c>
      <c r="Y1476">
        <v>0</v>
      </c>
      <c r="Z1476">
        <v>0</v>
      </c>
      <c r="AA1476">
        <v>0</v>
      </c>
      <c r="AB1476">
        <v>0</v>
      </c>
      <c r="AC1476">
        <v>8.93</v>
      </c>
      <c r="AD1476">
        <v>12.36</v>
      </c>
      <c r="AE1476">
        <v>0</v>
      </c>
      <c r="AF1476">
        <v>0</v>
      </c>
      <c r="AG1476">
        <v>6.41</v>
      </c>
      <c r="AH1476">
        <v>64.5</v>
      </c>
      <c r="AI1476">
        <v>16.690000000000001</v>
      </c>
      <c r="AJ1476">
        <v>0</v>
      </c>
      <c r="AK1476">
        <v>0</v>
      </c>
      <c r="AL1476">
        <v>0</v>
      </c>
      <c r="AM1476">
        <v>0.03</v>
      </c>
      <c r="AN1476">
        <f t="shared" si="70"/>
        <v>4</v>
      </c>
      <c r="AO1476" t="str">
        <f t="shared" si="71"/>
        <v>Wednesday</v>
      </c>
    </row>
    <row r="1477" spans="1:41" x14ac:dyDescent="0.2">
      <c r="A1477" t="s">
        <v>42</v>
      </c>
      <c r="B1477" s="1">
        <v>45693</v>
      </c>
      <c r="C1477" s="1">
        <f t="shared" si="69"/>
        <v>45716</v>
      </c>
      <c r="D1477">
        <v>27</v>
      </c>
      <c r="E1477">
        <v>39</v>
      </c>
      <c r="F1477">
        <v>5</v>
      </c>
      <c r="G1477">
        <v>2</v>
      </c>
      <c r="H1477">
        <v>8</v>
      </c>
      <c r="I1477">
        <v>0</v>
      </c>
      <c r="J1477">
        <v>0</v>
      </c>
      <c r="K1477">
        <v>21</v>
      </c>
      <c r="L1477" t="s">
        <v>42</v>
      </c>
      <c r="M1477" t="s">
        <v>38</v>
      </c>
      <c r="N1477" s="1">
        <v>45693</v>
      </c>
      <c r="O1477" s="2">
        <v>0.58432870370370371</v>
      </c>
      <c r="P1477" s="2">
        <v>0.95936342592592594</v>
      </c>
      <c r="Q1477">
        <v>9</v>
      </c>
      <c r="R1477">
        <v>9</v>
      </c>
      <c r="S1477">
        <v>1.64</v>
      </c>
      <c r="T1477">
        <v>0.41</v>
      </c>
      <c r="U1477">
        <v>0</v>
      </c>
      <c r="V1477">
        <v>0.3</v>
      </c>
      <c r="W1477">
        <v>4.0199999999999996</v>
      </c>
      <c r="X1477">
        <v>1.81</v>
      </c>
      <c r="Y1477">
        <v>0.81</v>
      </c>
      <c r="Z1477">
        <v>0</v>
      </c>
      <c r="AA1477">
        <v>0</v>
      </c>
      <c r="AB1477">
        <v>0.01</v>
      </c>
      <c r="AC1477">
        <v>9</v>
      </c>
      <c r="AD1477">
        <v>18.27</v>
      </c>
      <c r="AE1477">
        <v>4.57</v>
      </c>
      <c r="AF1477">
        <v>0</v>
      </c>
      <c r="AG1477">
        <v>3.35</v>
      </c>
      <c r="AH1477">
        <v>44.62</v>
      </c>
      <c r="AI1477">
        <v>20.11</v>
      </c>
      <c r="AJ1477">
        <v>9.01</v>
      </c>
      <c r="AK1477">
        <v>0</v>
      </c>
      <c r="AL1477">
        <v>0</v>
      </c>
      <c r="AM1477">
        <v>7.0000000000000007E-2</v>
      </c>
      <c r="AN1477">
        <f t="shared" si="70"/>
        <v>4</v>
      </c>
      <c r="AO1477" t="str">
        <f t="shared" si="71"/>
        <v>Wednesday</v>
      </c>
    </row>
    <row r="1478" spans="1:41" x14ac:dyDescent="0.2">
      <c r="A1478" t="s">
        <v>43</v>
      </c>
      <c r="B1478" s="1">
        <v>45693</v>
      </c>
      <c r="C1478" s="1">
        <f t="shared" si="69"/>
        <v>45716</v>
      </c>
      <c r="D1478">
        <v>32</v>
      </c>
      <c r="E1478">
        <v>85</v>
      </c>
      <c r="F1478">
        <v>3</v>
      </c>
      <c r="G1478">
        <v>0</v>
      </c>
      <c r="H1478">
        <v>5</v>
      </c>
      <c r="I1478">
        <v>1</v>
      </c>
      <c r="J1478">
        <v>0</v>
      </c>
      <c r="K1478">
        <v>47</v>
      </c>
      <c r="L1478" t="s">
        <v>43</v>
      </c>
      <c r="M1478" t="s">
        <v>38</v>
      </c>
      <c r="N1478" s="1">
        <v>45693</v>
      </c>
      <c r="O1478" s="2">
        <v>0.58518518518518514</v>
      </c>
      <c r="P1478" s="2">
        <v>0.95900462962962962</v>
      </c>
      <c r="Q1478">
        <v>8.9700000000000006</v>
      </c>
      <c r="R1478">
        <v>8.9700000000000006</v>
      </c>
      <c r="S1478">
        <v>1.22</v>
      </c>
      <c r="T1478">
        <v>0.34</v>
      </c>
      <c r="U1478">
        <v>0</v>
      </c>
      <c r="V1478">
        <v>0.41</v>
      </c>
      <c r="W1478">
        <v>5.32</v>
      </c>
      <c r="X1478">
        <v>1.44</v>
      </c>
      <c r="Y1478">
        <v>0.24</v>
      </c>
      <c r="Z1478">
        <v>0</v>
      </c>
      <c r="AA1478">
        <v>0</v>
      </c>
      <c r="AB1478">
        <v>0</v>
      </c>
      <c r="AC1478">
        <v>8.9700000000000006</v>
      </c>
      <c r="AD1478">
        <v>13.57</v>
      </c>
      <c r="AE1478">
        <v>3.76</v>
      </c>
      <c r="AF1478">
        <v>0</v>
      </c>
      <c r="AG1478">
        <v>4.6100000000000003</v>
      </c>
      <c r="AH1478">
        <v>59.28</v>
      </c>
      <c r="AI1478">
        <v>16.100000000000001</v>
      </c>
      <c r="AJ1478">
        <v>2.65</v>
      </c>
      <c r="AK1478">
        <v>0</v>
      </c>
      <c r="AL1478">
        <v>0</v>
      </c>
      <c r="AM1478">
        <v>0.04</v>
      </c>
      <c r="AN1478">
        <f t="shared" si="70"/>
        <v>4</v>
      </c>
      <c r="AO1478" t="str">
        <f t="shared" si="71"/>
        <v>Wednesday</v>
      </c>
    </row>
    <row r="1479" spans="1:41" x14ac:dyDescent="0.2">
      <c r="B1479" s="1">
        <v>45693</v>
      </c>
      <c r="C1479" s="1">
        <f t="shared" si="69"/>
        <v>45716</v>
      </c>
      <c r="D1479">
        <v>841</v>
      </c>
      <c r="E1479">
        <v>0</v>
      </c>
      <c r="F1479">
        <v>0</v>
      </c>
      <c r="G1479">
        <v>0</v>
      </c>
      <c r="H1479">
        <v>0</v>
      </c>
      <c r="I1479">
        <v>0</v>
      </c>
      <c r="J1479">
        <v>0</v>
      </c>
      <c r="K1479">
        <v>0</v>
      </c>
      <c r="AN1479">
        <f t="shared" si="70"/>
        <v>4</v>
      </c>
      <c r="AO1479" t="str">
        <f t="shared" si="71"/>
        <v>Wednesday</v>
      </c>
    </row>
    <row r="1480" spans="1:41" x14ac:dyDescent="0.2">
      <c r="A1480" t="s">
        <v>37</v>
      </c>
      <c r="B1480" s="1">
        <v>45692</v>
      </c>
      <c r="C1480" s="1">
        <f t="shared" si="69"/>
        <v>45716</v>
      </c>
      <c r="D1480">
        <v>40</v>
      </c>
      <c r="E1480">
        <v>99</v>
      </c>
      <c r="F1480">
        <v>11</v>
      </c>
      <c r="G1480">
        <v>11</v>
      </c>
      <c r="H1480">
        <v>2</v>
      </c>
      <c r="I1480">
        <v>0</v>
      </c>
      <c r="J1480">
        <v>1</v>
      </c>
      <c r="K1480">
        <v>57</v>
      </c>
      <c r="L1480" t="s">
        <v>37</v>
      </c>
      <c r="M1480" t="s">
        <v>38</v>
      </c>
      <c r="N1480" s="1">
        <v>45692</v>
      </c>
      <c r="O1480" s="2">
        <v>0.58351851851851855</v>
      </c>
      <c r="P1480" s="2">
        <v>0.95839120370370368</v>
      </c>
      <c r="Q1480">
        <v>9</v>
      </c>
      <c r="R1480">
        <v>8.0399999999999991</v>
      </c>
      <c r="S1480">
        <v>1.77</v>
      </c>
      <c r="T1480">
        <v>0</v>
      </c>
      <c r="U1480">
        <v>0</v>
      </c>
      <c r="V1480">
        <v>0.56000000000000005</v>
      </c>
      <c r="W1480">
        <v>5.16</v>
      </c>
      <c r="X1480">
        <v>0.51</v>
      </c>
      <c r="Y1480">
        <v>0</v>
      </c>
      <c r="Z1480">
        <v>0</v>
      </c>
      <c r="AA1480">
        <v>0</v>
      </c>
      <c r="AB1480">
        <v>0.04</v>
      </c>
      <c r="AC1480">
        <v>8.0399999999999991</v>
      </c>
      <c r="AD1480">
        <v>22.03</v>
      </c>
      <c r="AE1480">
        <v>0</v>
      </c>
      <c r="AF1480">
        <v>0</v>
      </c>
      <c r="AG1480">
        <v>6.97</v>
      </c>
      <c r="AH1480">
        <v>64.17</v>
      </c>
      <c r="AI1480">
        <v>6.31</v>
      </c>
      <c r="AJ1480">
        <v>0</v>
      </c>
      <c r="AK1480">
        <v>0</v>
      </c>
      <c r="AL1480">
        <v>0</v>
      </c>
      <c r="AM1480">
        <v>0.53</v>
      </c>
      <c r="AN1480">
        <f t="shared" si="70"/>
        <v>3</v>
      </c>
      <c r="AO1480" t="str">
        <f t="shared" si="71"/>
        <v>Tuesday</v>
      </c>
    </row>
    <row r="1481" spans="1:41" x14ac:dyDescent="0.2">
      <c r="A1481" t="s">
        <v>39</v>
      </c>
      <c r="B1481" s="1">
        <v>45692</v>
      </c>
      <c r="C1481" s="1">
        <f t="shared" si="69"/>
        <v>45716</v>
      </c>
      <c r="D1481">
        <v>39</v>
      </c>
      <c r="E1481">
        <v>83</v>
      </c>
      <c r="F1481">
        <v>11</v>
      </c>
      <c r="G1481">
        <v>1</v>
      </c>
      <c r="H1481">
        <v>9</v>
      </c>
      <c r="I1481">
        <v>0</v>
      </c>
      <c r="J1481">
        <v>1</v>
      </c>
      <c r="K1481">
        <v>30</v>
      </c>
      <c r="L1481" t="s">
        <v>39</v>
      </c>
      <c r="M1481" t="s">
        <v>38</v>
      </c>
      <c r="N1481" s="1">
        <v>45692</v>
      </c>
      <c r="O1481" s="2">
        <v>0.58339120370370368</v>
      </c>
      <c r="P1481" s="2">
        <v>0.95856481481481481</v>
      </c>
      <c r="Q1481">
        <v>9</v>
      </c>
      <c r="R1481">
        <v>9</v>
      </c>
      <c r="S1481">
        <v>1.99</v>
      </c>
      <c r="T1481">
        <v>0.31</v>
      </c>
      <c r="U1481">
        <v>0</v>
      </c>
      <c r="V1481">
        <v>0.06</v>
      </c>
      <c r="W1481">
        <v>4.79</v>
      </c>
      <c r="X1481">
        <v>1.47</v>
      </c>
      <c r="Y1481">
        <v>0.38</v>
      </c>
      <c r="Z1481">
        <v>0</v>
      </c>
      <c r="AA1481">
        <v>0</v>
      </c>
      <c r="AB1481">
        <v>0.01</v>
      </c>
      <c r="AC1481">
        <v>9</v>
      </c>
      <c r="AD1481">
        <v>22.15</v>
      </c>
      <c r="AE1481">
        <v>3.47</v>
      </c>
      <c r="AF1481">
        <v>0</v>
      </c>
      <c r="AG1481">
        <v>0.65</v>
      </c>
      <c r="AH1481">
        <v>53.18</v>
      </c>
      <c r="AI1481">
        <v>16.329999999999998</v>
      </c>
      <c r="AJ1481">
        <v>4.16</v>
      </c>
      <c r="AK1481">
        <v>0</v>
      </c>
      <c r="AL1481">
        <v>0</v>
      </c>
      <c r="AM1481">
        <v>0.06</v>
      </c>
      <c r="AN1481">
        <f t="shared" si="70"/>
        <v>3</v>
      </c>
      <c r="AO1481" t="str">
        <f t="shared" si="71"/>
        <v>Tuesday</v>
      </c>
    </row>
    <row r="1482" spans="1:41" x14ac:dyDescent="0.2">
      <c r="A1482" t="s">
        <v>41</v>
      </c>
      <c r="B1482" s="1">
        <v>45692</v>
      </c>
      <c r="C1482" s="1">
        <f t="shared" si="69"/>
        <v>45716</v>
      </c>
      <c r="D1482">
        <v>47</v>
      </c>
      <c r="E1482">
        <v>105</v>
      </c>
      <c r="F1482">
        <v>13</v>
      </c>
      <c r="G1482">
        <v>10</v>
      </c>
      <c r="H1482">
        <v>6</v>
      </c>
      <c r="I1482">
        <v>0</v>
      </c>
      <c r="J1482">
        <v>1</v>
      </c>
      <c r="K1482">
        <v>49</v>
      </c>
      <c r="L1482" t="s">
        <v>41</v>
      </c>
      <c r="M1482" t="s">
        <v>38</v>
      </c>
      <c r="N1482" s="1">
        <v>45692</v>
      </c>
      <c r="O1482" s="2">
        <v>0.58368055555555554</v>
      </c>
      <c r="P1482" s="2">
        <v>0.95917824074074076</v>
      </c>
      <c r="Q1482">
        <v>9.02</v>
      </c>
      <c r="R1482">
        <v>9.01</v>
      </c>
      <c r="S1482">
        <v>2.37</v>
      </c>
      <c r="T1482">
        <v>0</v>
      </c>
      <c r="U1482">
        <v>0</v>
      </c>
      <c r="V1482">
        <v>0.56000000000000005</v>
      </c>
      <c r="W1482">
        <v>4.67</v>
      </c>
      <c r="X1482">
        <v>1.4</v>
      </c>
      <c r="Y1482">
        <v>0</v>
      </c>
      <c r="Z1482">
        <v>0</v>
      </c>
      <c r="AA1482">
        <v>0</v>
      </c>
      <c r="AB1482">
        <v>0.01</v>
      </c>
      <c r="AC1482">
        <v>9.01</v>
      </c>
      <c r="AD1482">
        <v>26.26</v>
      </c>
      <c r="AE1482">
        <v>0</v>
      </c>
      <c r="AF1482">
        <v>0</v>
      </c>
      <c r="AG1482">
        <v>6.26</v>
      </c>
      <c r="AH1482">
        <v>51.8</v>
      </c>
      <c r="AI1482">
        <v>15.54</v>
      </c>
      <c r="AJ1482">
        <v>0</v>
      </c>
      <c r="AK1482">
        <v>0</v>
      </c>
      <c r="AL1482">
        <v>0</v>
      </c>
      <c r="AM1482">
        <v>0.13</v>
      </c>
      <c r="AN1482">
        <f t="shared" si="70"/>
        <v>3</v>
      </c>
      <c r="AO1482" t="str">
        <f t="shared" si="71"/>
        <v>Tuesday</v>
      </c>
    </row>
    <row r="1483" spans="1:41" x14ac:dyDescent="0.2">
      <c r="A1483" t="s">
        <v>42</v>
      </c>
      <c r="B1483" s="1">
        <v>45692</v>
      </c>
      <c r="C1483" s="1">
        <f t="shared" si="69"/>
        <v>45716</v>
      </c>
      <c r="D1483">
        <v>24</v>
      </c>
      <c r="E1483">
        <v>32</v>
      </c>
      <c r="F1483">
        <v>8</v>
      </c>
      <c r="G1483">
        <v>4</v>
      </c>
      <c r="H1483">
        <v>4</v>
      </c>
      <c r="I1483">
        <v>0</v>
      </c>
      <c r="J1483">
        <v>0</v>
      </c>
      <c r="K1483">
        <v>13</v>
      </c>
      <c r="L1483" t="s">
        <v>42</v>
      </c>
      <c r="M1483" t="s">
        <v>38</v>
      </c>
      <c r="N1483" s="1">
        <v>45692</v>
      </c>
      <c r="O1483" s="2">
        <v>0.58318287037037042</v>
      </c>
      <c r="P1483" s="2">
        <v>0.9596527777777778</v>
      </c>
      <c r="Q1483">
        <v>9.0299999999999994</v>
      </c>
      <c r="R1483">
        <v>9.0299999999999994</v>
      </c>
      <c r="S1483">
        <v>1.9</v>
      </c>
      <c r="T1483">
        <v>0.5</v>
      </c>
      <c r="U1483">
        <v>0</v>
      </c>
      <c r="V1483">
        <v>1.08</v>
      </c>
      <c r="W1483">
        <v>3.79</v>
      </c>
      <c r="X1483">
        <v>1.46</v>
      </c>
      <c r="Y1483">
        <v>0.28999999999999998</v>
      </c>
      <c r="Z1483">
        <v>0</v>
      </c>
      <c r="AA1483">
        <v>0</v>
      </c>
      <c r="AB1483">
        <v>0.01</v>
      </c>
      <c r="AC1483">
        <v>9.0299999999999994</v>
      </c>
      <c r="AD1483">
        <v>21.07</v>
      </c>
      <c r="AE1483">
        <v>5.53</v>
      </c>
      <c r="AF1483">
        <v>0</v>
      </c>
      <c r="AG1483">
        <v>11.97</v>
      </c>
      <c r="AH1483">
        <v>41.93</v>
      </c>
      <c r="AI1483">
        <v>16.2</v>
      </c>
      <c r="AJ1483">
        <v>3.24</v>
      </c>
      <c r="AK1483">
        <v>0</v>
      </c>
      <c r="AL1483">
        <v>0</v>
      </c>
      <c r="AM1483">
        <v>0.06</v>
      </c>
      <c r="AN1483">
        <f t="shared" si="70"/>
        <v>3</v>
      </c>
      <c r="AO1483" t="str">
        <f t="shared" si="71"/>
        <v>Tuesday</v>
      </c>
    </row>
    <row r="1484" spans="1:41" x14ac:dyDescent="0.2">
      <c r="A1484" t="s">
        <v>43</v>
      </c>
      <c r="B1484" s="1">
        <v>45692</v>
      </c>
      <c r="C1484" s="1">
        <f t="shared" si="69"/>
        <v>45716</v>
      </c>
      <c r="D1484">
        <v>37</v>
      </c>
      <c r="E1484">
        <v>127</v>
      </c>
      <c r="F1484">
        <v>7</v>
      </c>
      <c r="G1484">
        <v>17</v>
      </c>
      <c r="H1484">
        <v>22</v>
      </c>
      <c r="I1484">
        <v>0</v>
      </c>
      <c r="J1484">
        <v>0</v>
      </c>
      <c r="K1484">
        <v>62</v>
      </c>
      <c r="L1484" t="s">
        <v>43</v>
      </c>
      <c r="M1484" t="s">
        <v>38</v>
      </c>
      <c r="N1484" s="1">
        <v>45692</v>
      </c>
      <c r="O1484" s="2">
        <v>0.58295138888888887</v>
      </c>
      <c r="P1484" s="2">
        <v>0.95968750000000003</v>
      </c>
      <c r="Q1484">
        <v>9.0299999999999994</v>
      </c>
      <c r="R1484">
        <v>9.0399999999999991</v>
      </c>
      <c r="S1484">
        <v>1.96</v>
      </c>
      <c r="T1484">
        <v>0.33</v>
      </c>
      <c r="U1484">
        <v>0</v>
      </c>
      <c r="V1484">
        <v>0.79</v>
      </c>
      <c r="W1484">
        <v>4.32</v>
      </c>
      <c r="X1484">
        <v>1.39</v>
      </c>
      <c r="Y1484">
        <v>0.24</v>
      </c>
      <c r="Z1484">
        <v>0</v>
      </c>
      <c r="AA1484">
        <v>0</v>
      </c>
      <c r="AB1484">
        <v>0.01</v>
      </c>
      <c r="AC1484">
        <v>9.0399999999999991</v>
      </c>
      <c r="AD1484">
        <v>21.69</v>
      </c>
      <c r="AE1484">
        <v>3.62</v>
      </c>
      <c r="AF1484">
        <v>0</v>
      </c>
      <c r="AG1484">
        <v>8.7899999999999991</v>
      </c>
      <c r="AH1484">
        <v>47.82</v>
      </c>
      <c r="AI1484">
        <v>15.41</v>
      </c>
      <c r="AJ1484">
        <v>2.62</v>
      </c>
      <c r="AK1484">
        <v>0</v>
      </c>
      <c r="AL1484">
        <v>0</v>
      </c>
      <c r="AM1484">
        <v>0.06</v>
      </c>
      <c r="AN1484">
        <f t="shared" si="70"/>
        <v>3</v>
      </c>
      <c r="AO1484" t="str">
        <f t="shared" si="71"/>
        <v>Tuesday</v>
      </c>
    </row>
    <row r="1485" spans="1:41" x14ac:dyDescent="0.2">
      <c r="B1485" s="1">
        <v>45692</v>
      </c>
      <c r="C1485" s="1">
        <f t="shared" si="69"/>
        <v>45716</v>
      </c>
      <c r="D1485">
        <v>880</v>
      </c>
      <c r="E1485">
        <v>0</v>
      </c>
      <c r="F1485">
        <v>0</v>
      </c>
      <c r="G1485">
        <v>0</v>
      </c>
      <c r="H1485">
        <v>0</v>
      </c>
      <c r="I1485">
        <v>0</v>
      </c>
      <c r="J1485">
        <v>0</v>
      </c>
      <c r="K1485">
        <v>0</v>
      </c>
      <c r="AN1485">
        <f t="shared" si="70"/>
        <v>3</v>
      </c>
      <c r="AO1485" t="str">
        <f t="shared" si="71"/>
        <v>Tuesday</v>
      </c>
    </row>
    <row r="1486" spans="1:41" x14ac:dyDescent="0.2">
      <c r="A1486" t="s">
        <v>37</v>
      </c>
      <c r="B1486" s="1">
        <v>45691</v>
      </c>
      <c r="C1486" s="1">
        <f t="shared" si="69"/>
        <v>45716</v>
      </c>
      <c r="D1486">
        <v>30</v>
      </c>
      <c r="E1486">
        <v>89</v>
      </c>
      <c r="F1486">
        <v>4</v>
      </c>
      <c r="G1486">
        <v>4</v>
      </c>
      <c r="H1486">
        <v>10</v>
      </c>
      <c r="I1486">
        <v>0</v>
      </c>
      <c r="J1486">
        <v>0</v>
      </c>
      <c r="K1486">
        <v>52</v>
      </c>
      <c r="L1486" t="s">
        <v>37</v>
      </c>
      <c r="M1486" t="s">
        <v>38</v>
      </c>
      <c r="N1486" s="1">
        <v>45691</v>
      </c>
      <c r="O1486" s="2">
        <v>0.58446759259259262</v>
      </c>
      <c r="P1486" s="2">
        <v>0.95873842592592595</v>
      </c>
      <c r="Q1486">
        <v>8.98</v>
      </c>
      <c r="R1486">
        <v>8.11</v>
      </c>
      <c r="S1486">
        <v>0.93</v>
      </c>
      <c r="T1486">
        <v>0</v>
      </c>
      <c r="U1486">
        <v>0</v>
      </c>
      <c r="V1486">
        <v>0.45</v>
      </c>
      <c r="W1486">
        <v>6.13</v>
      </c>
      <c r="X1486">
        <v>0.48</v>
      </c>
      <c r="Y1486">
        <v>0</v>
      </c>
      <c r="Z1486">
        <v>0</v>
      </c>
      <c r="AA1486">
        <v>0.06</v>
      </c>
      <c r="AB1486">
        <v>7.0000000000000007E-2</v>
      </c>
      <c r="AC1486">
        <v>8.11</v>
      </c>
      <c r="AD1486">
        <v>11.48</v>
      </c>
      <c r="AE1486">
        <v>0</v>
      </c>
      <c r="AF1486">
        <v>0</v>
      </c>
      <c r="AG1486">
        <v>5.52</v>
      </c>
      <c r="AH1486">
        <v>75.56</v>
      </c>
      <c r="AI1486">
        <v>5.92</v>
      </c>
      <c r="AJ1486">
        <v>0</v>
      </c>
      <c r="AK1486">
        <v>0</v>
      </c>
      <c r="AL1486">
        <v>0.69</v>
      </c>
      <c r="AM1486">
        <v>0.83</v>
      </c>
      <c r="AN1486">
        <f t="shared" si="70"/>
        <v>2</v>
      </c>
      <c r="AO1486" t="str">
        <f t="shared" si="71"/>
        <v>Monday</v>
      </c>
    </row>
    <row r="1487" spans="1:41" x14ac:dyDescent="0.2">
      <c r="A1487" t="s">
        <v>39</v>
      </c>
      <c r="B1487" s="1">
        <v>45691</v>
      </c>
      <c r="C1487" s="1">
        <f t="shared" si="69"/>
        <v>45716</v>
      </c>
      <c r="D1487">
        <v>29</v>
      </c>
      <c r="E1487">
        <v>61</v>
      </c>
      <c r="F1487">
        <v>8</v>
      </c>
      <c r="G1487">
        <v>2</v>
      </c>
      <c r="H1487">
        <v>17</v>
      </c>
      <c r="I1487">
        <v>0</v>
      </c>
      <c r="J1487">
        <v>0</v>
      </c>
      <c r="K1487">
        <v>25</v>
      </c>
      <c r="L1487" t="s">
        <v>39</v>
      </c>
      <c r="M1487" t="s">
        <v>38</v>
      </c>
      <c r="N1487" s="1">
        <v>45691</v>
      </c>
      <c r="O1487" s="2">
        <v>0.58353009259259259</v>
      </c>
      <c r="P1487" s="2">
        <v>0.95840277777777783</v>
      </c>
      <c r="Q1487">
        <v>9</v>
      </c>
      <c r="R1487">
        <v>9</v>
      </c>
      <c r="S1487">
        <v>1.62</v>
      </c>
      <c r="T1487">
        <v>0.12</v>
      </c>
      <c r="U1487">
        <v>0</v>
      </c>
      <c r="V1487">
        <v>0.06</v>
      </c>
      <c r="W1487">
        <v>5.2</v>
      </c>
      <c r="X1487">
        <v>1.5</v>
      </c>
      <c r="Y1487">
        <v>0.5</v>
      </c>
      <c r="Z1487">
        <v>0</v>
      </c>
      <c r="AA1487">
        <v>0</v>
      </c>
      <c r="AB1487">
        <v>0.01</v>
      </c>
      <c r="AC1487">
        <v>9</v>
      </c>
      <c r="AD1487">
        <v>17.98</v>
      </c>
      <c r="AE1487">
        <v>1.3</v>
      </c>
      <c r="AF1487">
        <v>0</v>
      </c>
      <c r="AG1487">
        <v>0.65</v>
      </c>
      <c r="AH1487">
        <v>57.85</v>
      </c>
      <c r="AI1487">
        <v>16.63</v>
      </c>
      <c r="AJ1487">
        <v>5.53</v>
      </c>
      <c r="AK1487">
        <v>0</v>
      </c>
      <c r="AL1487">
        <v>0</v>
      </c>
      <c r="AM1487">
        <v>0.06</v>
      </c>
      <c r="AN1487">
        <f t="shared" si="70"/>
        <v>2</v>
      </c>
      <c r="AO1487" t="str">
        <f t="shared" si="71"/>
        <v>Monday</v>
      </c>
    </row>
    <row r="1488" spans="1:41" x14ac:dyDescent="0.2">
      <c r="A1488" t="s">
        <v>56</v>
      </c>
      <c r="B1488" s="1">
        <v>45691</v>
      </c>
      <c r="C1488" s="1">
        <f t="shared" si="69"/>
        <v>45716</v>
      </c>
      <c r="D1488">
        <v>8</v>
      </c>
      <c r="E1488">
        <v>11</v>
      </c>
      <c r="F1488">
        <v>0</v>
      </c>
      <c r="G1488">
        <v>1</v>
      </c>
      <c r="H1488">
        <v>0</v>
      </c>
      <c r="I1488">
        <v>0</v>
      </c>
      <c r="J1488">
        <v>0</v>
      </c>
      <c r="K1488">
        <v>7</v>
      </c>
      <c r="L1488" t="s">
        <v>56</v>
      </c>
      <c r="M1488" t="s">
        <v>38</v>
      </c>
      <c r="N1488" s="1">
        <v>45691</v>
      </c>
      <c r="O1488" s="2">
        <v>0.59638888888888886</v>
      </c>
      <c r="P1488" s="2">
        <v>0.67996527777777782</v>
      </c>
      <c r="Q1488">
        <v>2.02</v>
      </c>
      <c r="R1488">
        <v>2.0099999999999998</v>
      </c>
      <c r="S1488">
        <v>0.21</v>
      </c>
      <c r="T1488">
        <v>0</v>
      </c>
      <c r="U1488">
        <v>0</v>
      </c>
      <c r="V1488">
        <v>0</v>
      </c>
      <c r="W1488">
        <v>1.78</v>
      </c>
      <c r="X1488">
        <v>0</v>
      </c>
      <c r="Y1488">
        <v>0</v>
      </c>
      <c r="Z1488">
        <v>0</v>
      </c>
      <c r="AA1488">
        <v>0</v>
      </c>
      <c r="AB1488">
        <v>0.01</v>
      </c>
      <c r="AC1488">
        <v>2.0099999999999998</v>
      </c>
      <c r="AD1488">
        <v>10.49</v>
      </c>
      <c r="AE1488">
        <v>0</v>
      </c>
      <c r="AF1488">
        <v>0</v>
      </c>
      <c r="AG1488">
        <v>0.21</v>
      </c>
      <c r="AH1488">
        <v>88.76</v>
      </c>
      <c r="AI1488">
        <v>0</v>
      </c>
      <c r="AJ1488">
        <v>0</v>
      </c>
      <c r="AK1488">
        <v>0</v>
      </c>
      <c r="AL1488">
        <v>0</v>
      </c>
      <c r="AM1488">
        <v>0.54</v>
      </c>
      <c r="AN1488">
        <f t="shared" si="70"/>
        <v>2</v>
      </c>
      <c r="AO1488" t="str">
        <f t="shared" si="71"/>
        <v>Monday</v>
      </c>
    </row>
    <row r="1489" spans="1:41" x14ac:dyDescent="0.2">
      <c r="A1489" t="s">
        <v>41</v>
      </c>
      <c r="B1489" s="1">
        <v>45691</v>
      </c>
      <c r="C1489" s="1">
        <f t="shared" si="69"/>
        <v>45716</v>
      </c>
      <c r="D1489">
        <v>33</v>
      </c>
      <c r="E1489">
        <v>83</v>
      </c>
      <c r="F1489">
        <v>8</v>
      </c>
      <c r="G1489">
        <v>8</v>
      </c>
      <c r="H1489">
        <v>14</v>
      </c>
      <c r="I1489">
        <v>0</v>
      </c>
      <c r="J1489">
        <v>0</v>
      </c>
      <c r="K1489">
        <v>44</v>
      </c>
      <c r="L1489" t="s">
        <v>41</v>
      </c>
      <c r="M1489" t="s">
        <v>38</v>
      </c>
      <c r="N1489" s="1">
        <v>45691</v>
      </c>
      <c r="O1489" s="2">
        <v>0.58443287037037039</v>
      </c>
      <c r="P1489" s="2">
        <v>0.96067129629629633</v>
      </c>
      <c r="Q1489">
        <v>9.0299999999999994</v>
      </c>
      <c r="R1489">
        <v>9.0299999999999994</v>
      </c>
      <c r="S1489">
        <v>1.51</v>
      </c>
      <c r="T1489">
        <v>0.37</v>
      </c>
      <c r="U1489">
        <v>0</v>
      </c>
      <c r="V1489">
        <v>0.47</v>
      </c>
      <c r="W1489">
        <v>5.2</v>
      </c>
      <c r="X1489">
        <v>1.48</v>
      </c>
      <c r="Y1489">
        <v>0</v>
      </c>
      <c r="Z1489">
        <v>0</v>
      </c>
      <c r="AA1489">
        <v>0</v>
      </c>
      <c r="AB1489">
        <v>0</v>
      </c>
      <c r="AC1489">
        <v>9.0299999999999994</v>
      </c>
      <c r="AD1489">
        <v>16.690000000000001</v>
      </c>
      <c r="AE1489">
        <v>4.08</v>
      </c>
      <c r="AF1489">
        <v>0</v>
      </c>
      <c r="AG1489">
        <v>5.17</v>
      </c>
      <c r="AH1489">
        <v>57.6</v>
      </c>
      <c r="AI1489">
        <v>16.41</v>
      </c>
      <c r="AJ1489">
        <v>0</v>
      </c>
      <c r="AK1489">
        <v>0</v>
      </c>
      <c r="AL1489">
        <v>0</v>
      </c>
      <c r="AM1489">
        <v>0.04</v>
      </c>
      <c r="AN1489">
        <f t="shared" si="70"/>
        <v>2</v>
      </c>
      <c r="AO1489" t="str">
        <f t="shared" si="71"/>
        <v>Monday</v>
      </c>
    </row>
    <row r="1490" spans="1:41" x14ac:dyDescent="0.2">
      <c r="A1490" t="s">
        <v>42</v>
      </c>
      <c r="B1490" s="1">
        <v>45691</v>
      </c>
      <c r="C1490" s="1">
        <f t="shared" si="69"/>
        <v>45716</v>
      </c>
      <c r="D1490">
        <v>24</v>
      </c>
      <c r="E1490">
        <v>35</v>
      </c>
      <c r="F1490">
        <v>2</v>
      </c>
      <c r="G1490">
        <v>1</v>
      </c>
      <c r="H1490">
        <v>1</v>
      </c>
      <c r="I1490">
        <v>0</v>
      </c>
      <c r="J1490">
        <v>0</v>
      </c>
      <c r="K1490">
        <v>23</v>
      </c>
      <c r="L1490" t="s">
        <v>42</v>
      </c>
      <c r="M1490" t="s">
        <v>38</v>
      </c>
      <c r="N1490" s="1">
        <v>45691</v>
      </c>
      <c r="O1490" s="2">
        <v>0.58300925925925928</v>
      </c>
      <c r="P1490" s="2">
        <v>0.95975694444444448</v>
      </c>
      <c r="Q1490">
        <v>9.0500000000000007</v>
      </c>
      <c r="R1490">
        <v>9.0399999999999991</v>
      </c>
      <c r="S1490">
        <v>0.79</v>
      </c>
      <c r="T1490">
        <v>0.57999999999999996</v>
      </c>
      <c r="U1490">
        <v>0</v>
      </c>
      <c r="V1490">
        <v>0.22</v>
      </c>
      <c r="W1490">
        <v>4.63</v>
      </c>
      <c r="X1490">
        <v>1.47</v>
      </c>
      <c r="Y1490">
        <v>1.34</v>
      </c>
      <c r="Z1490">
        <v>0</v>
      </c>
      <c r="AA1490">
        <v>0</v>
      </c>
      <c r="AB1490">
        <v>0</v>
      </c>
      <c r="AC1490">
        <v>9.0399999999999991</v>
      </c>
      <c r="AD1490">
        <v>8.7200000000000006</v>
      </c>
      <c r="AE1490">
        <v>6.46</v>
      </c>
      <c r="AF1490">
        <v>0</v>
      </c>
      <c r="AG1490">
        <v>2.44</v>
      </c>
      <c r="AH1490">
        <v>51.25</v>
      </c>
      <c r="AI1490">
        <v>16.260000000000002</v>
      </c>
      <c r="AJ1490">
        <v>14.82</v>
      </c>
      <c r="AK1490">
        <v>0</v>
      </c>
      <c r="AL1490">
        <v>0</v>
      </c>
      <c r="AM1490">
        <v>0.05</v>
      </c>
      <c r="AN1490">
        <f t="shared" si="70"/>
        <v>2</v>
      </c>
      <c r="AO1490" t="str">
        <f t="shared" si="71"/>
        <v>Monday</v>
      </c>
    </row>
    <row r="1491" spans="1:41" x14ac:dyDescent="0.2">
      <c r="A1491" t="s">
        <v>43</v>
      </c>
      <c r="B1491" s="1">
        <v>45691</v>
      </c>
      <c r="C1491" s="1">
        <f t="shared" si="69"/>
        <v>45716</v>
      </c>
      <c r="D1491">
        <v>34</v>
      </c>
      <c r="E1491">
        <v>85</v>
      </c>
      <c r="F1491">
        <v>3</v>
      </c>
      <c r="G1491">
        <v>1</v>
      </c>
      <c r="H1491">
        <v>7</v>
      </c>
      <c r="I1491">
        <v>1</v>
      </c>
      <c r="J1491">
        <v>0</v>
      </c>
      <c r="K1491">
        <v>48</v>
      </c>
      <c r="L1491" t="s">
        <v>43</v>
      </c>
      <c r="M1491" t="s">
        <v>38</v>
      </c>
      <c r="N1491" s="1">
        <v>45691</v>
      </c>
      <c r="O1491" s="2">
        <v>0.58277777777777773</v>
      </c>
      <c r="P1491" s="2">
        <v>0.95902777777777781</v>
      </c>
      <c r="Q1491">
        <v>9.0299999999999994</v>
      </c>
      <c r="R1491">
        <v>9.0299999999999994</v>
      </c>
      <c r="S1491">
        <v>0.87</v>
      </c>
      <c r="T1491">
        <v>0.4</v>
      </c>
      <c r="U1491">
        <v>0</v>
      </c>
      <c r="V1491">
        <v>0.61</v>
      </c>
      <c r="W1491">
        <v>5.44</v>
      </c>
      <c r="X1491">
        <v>1.45</v>
      </c>
      <c r="Y1491">
        <v>0.22</v>
      </c>
      <c r="Z1491">
        <v>0</v>
      </c>
      <c r="AA1491">
        <v>0.04</v>
      </c>
      <c r="AB1491">
        <v>0</v>
      </c>
      <c r="AC1491">
        <v>9.0299999999999994</v>
      </c>
      <c r="AD1491">
        <v>9.6300000000000008</v>
      </c>
      <c r="AE1491">
        <v>4.41</v>
      </c>
      <c r="AF1491">
        <v>0</v>
      </c>
      <c r="AG1491">
        <v>6.76</v>
      </c>
      <c r="AH1491">
        <v>60.22</v>
      </c>
      <c r="AI1491">
        <v>16.03</v>
      </c>
      <c r="AJ1491">
        <v>2.46</v>
      </c>
      <c r="AK1491">
        <v>0</v>
      </c>
      <c r="AL1491">
        <v>0.46</v>
      </c>
      <c r="AM1491">
        <v>0.04</v>
      </c>
      <c r="AN1491">
        <f t="shared" si="70"/>
        <v>2</v>
      </c>
      <c r="AO1491" t="str">
        <f t="shared" si="71"/>
        <v>Monday</v>
      </c>
    </row>
    <row r="1492" spans="1:41" x14ac:dyDescent="0.2">
      <c r="B1492" s="1">
        <v>45691</v>
      </c>
      <c r="C1492" s="1">
        <f t="shared" si="69"/>
        <v>45716</v>
      </c>
      <c r="D1492">
        <v>780</v>
      </c>
      <c r="E1492">
        <v>0</v>
      </c>
      <c r="F1492">
        <v>0</v>
      </c>
      <c r="G1492">
        <v>0</v>
      </c>
      <c r="H1492">
        <v>0</v>
      </c>
      <c r="I1492">
        <v>0</v>
      </c>
      <c r="J1492">
        <v>0</v>
      </c>
      <c r="K1492">
        <v>0</v>
      </c>
      <c r="AN1492">
        <f t="shared" si="70"/>
        <v>2</v>
      </c>
      <c r="AO1492" t="str">
        <f t="shared" si="71"/>
        <v>Monday</v>
      </c>
    </row>
    <row r="1493" spans="1:41" x14ac:dyDescent="0.2">
      <c r="A1493" t="s">
        <v>37</v>
      </c>
      <c r="B1493" s="1">
        <v>45688</v>
      </c>
      <c r="C1493" s="1">
        <f t="shared" si="69"/>
        <v>45688</v>
      </c>
      <c r="D1493">
        <v>24</v>
      </c>
      <c r="E1493">
        <v>39</v>
      </c>
      <c r="F1493">
        <v>0</v>
      </c>
      <c r="G1493">
        <v>5</v>
      </c>
      <c r="H1493">
        <v>4</v>
      </c>
      <c r="I1493">
        <v>0</v>
      </c>
      <c r="J1493">
        <v>1</v>
      </c>
      <c r="K1493">
        <v>20</v>
      </c>
      <c r="L1493" t="s">
        <v>37</v>
      </c>
      <c r="M1493" t="s">
        <v>38</v>
      </c>
      <c r="N1493" s="1">
        <v>45688</v>
      </c>
      <c r="O1493" s="2">
        <v>0.5843518518518519</v>
      </c>
      <c r="P1493" s="2">
        <v>0.95884259259259264</v>
      </c>
      <c r="Q1493">
        <v>8.98</v>
      </c>
      <c r="R1493">
        <v>8.0500000000000007</v>
      </c>
      <c r="S1493">
        <v>1.02</v>
      </c>
      <c r="T1493">
        <v>0.12</v>
      </c>
      <c r="U1493">
        <v>0</v>
      </c>
      <c r="V1493">
        <v>0.23</v>
      </c>
      <c r="W1493">
        <v>6</v>
      </c>
      <c r="X1493">
        <v>0.6</v>
      </c>
      <c r="Y1493">
        <v>0</v>
      </c>
      <c r="Z1493">
        <v>0</v>
      </c>
      <c r="AA1493">
        <v>0</v>
      </c>
      <c r="AB1493">
        <v>0.08</v>
      </c>
      <c r="AC1493">
        <v>8.0500000000000007</v>
      </c>
      <c r="AD1493">
        <v>12.61</v>
      </c>
      <c r="AE1493">
        <v>1.47</v>
      </c>
      <c r="AF1493">
        <v>0</v>
      </c>
      <c r="AG1493">
        <v>2.92</v>
      </c>
      <c r="AH1493">
        <v>74.510000000000005</v>
      </c>
      <c r="AI1493">
        <v>7.46</v>
      </c>
      <c r="AJ1493">
        <v>0</v>
      </c>
      <c r="AK1493">
        <v>0</v>
      </c>
      <c r="AL1493">
        <v>0</v>
      </c>
      <c r="AM1493">
        <v>1.03</v>
      </c>
      <c r="AN1493">
        <f t="shared" si="70"/>
        <v>6</v>
      </c>
      <c r="AO1493" t="str">
        <f t="shared" si="71"/>
        <v>Friday</v>
      </c>
    </row>
    <row r="1494" spans="1:41" x14ac:dyDescent="0.2">
      <c r="A1494" t="s">
        <v>39</v>
      </c>
      <c r="B1494" s="1">
        <v>45688</v>
      </c>
      <c r="C1494" s="1">
        <f t="shared" si="69"/>
        <v>45688</v>
      </c>
      <c r="D1494">
        <v>22</v>
      </c>
      <c r="E1494">
        <v>46</v>
      </c>
      <c r="F1494">
        <v>11</v>
      </c>
      <c r="G1494">
        <v>2</v>
      </c>
      <c r="H1494">
        <v>9</v>
      </c>
      <c r="I1494">
        <v>2</v>
      </c>
      <c r="J1494">
        <v>0</v>
      </c>
      <c r="K1494">
        <v>12</v>
      </c>
      <c r="L1494" t="s">
        <v>39</v>
      </c>
      <c r="M1494" t="s">
        <v>38</v>
      </c>
      <c r="N1494" s="1">
        <v>45688</v>
      </c>
      <c r="O1494" s="2">
        <v>0.58335648148148145</v>
      </c>
      <c r="P1494" s="2">
        <v>0.95844907407407409</v>
      </c>
      <c r="Q1494">
        <v>9</v>
      </c>
      <c r="R1494">
        <v>9</v>
      </c>
      <c r="S1494">
        <v>1.96</v>
      </c>
      <c r="T1494">
        <v>0</v>
      </c>
      <c r="U1494">
        <v>0</v>
      </c>
      <c r="V1494">
        <v>0.03</v>
      </c>
      <c r="W1494">
        <v>5.51</v>
      </c>
      <c r="X1494">
        <v>1.5</v>
      </c>
      <c r="Y1494">
        <v>0</v>
      </c>
      <c r="Z1494">
        <v>0</v>
      </c>
      <c r="AA1494">
        <v>0</v>
      </c>
      <c r="AB1494">
        <v>0</v>
      </c>
      <c r="AC1494">
        <v>9</v>
      </c>
      <c r="AD1494">
        <v>21.75</v>
      </c>
      <c r="AE1494">
        <v>0</v>
      </c>
      <c r="AF1494">
        <v>0</v>
      </c>
      <c r="AG1494">
        <v>0.35</v>
      </c>
      <c r="AH1494">
        <v>61.17</v>
      </c>
      <c r="AI1494">
        <v>16.690000000000001</v>
      </c>
      <c r="AJ1494">
        <v>0</v>
      </c>
      <c r="AK1494">
        <v>0</v>
      </c>
      <c r="AL1494">
        <v>0</v>
      </c>
      <c r="AM1494">
        <v>0.04</v>
      </c>
      <c r="AN1494">
        <f t="shared" si="70"/>
        <v>6</v>
      </c>
      <c r="AO1494" t="str">
        <f t="shared" si="71"/>
        <v>Friday</v>
      </c>
    </row>
    <row r="1495" spans="1:41" x14ac:dyDescent="0.2">
      <c r="A1495" t="s">
        <v>56</v>
      </c>
      <c r="B1495" s="1">
        <v>45688</v>
      </c>
      <c r="C1495" s="1">
        <f t="shared" si="69"/>
        <v>45688</v>
      </c>
      <c r="D1495">
        <v>27</v>
      </c>
      <c r="E1495">
        <v>40</v>
      </c>
      <c r="F1495">
        <v>2</v>
      </c>
      <c r="G1495">
        <v>0</v>
      </c>
      <c r="H1495">
        <v>5</v>
      </c>
      <c r="I1495">
        <v>0</v>
      </c>
      <c r="J1495">
        <v>0</v>
      </c>
      <c r="K1495">
        <v>18</v>
      </c>
      <c r="L1495" t="s">
        <v>56</v>
      </c>
      <c r="M1495" t="s">
        <v>38</v>
      </c>
      <c r="N1495" s="1">
        <v>45688</v>
      </c>
      <c r="O1495" s="2">
        <v>0.58398148148148143</v>
      </c>
      <c r="P1495" s="2">
        <v>0.95840277777777783</v>
      </c>
      <c r="Q1495">
        <v>9</v>
      </c>
      <c r="R1495">
        <v>8.98</v>
      </c>
      <c r="S1495">
        <v>0.77</v>
      </c>
      <c r="T1495">
        <v>0</v>
      </c>
      <c r="U1495">
        <v>0</v>
      </c>
      <c r="V1495">
        <v>0.05</v>
      </c>
      <c r="W1495">
        <v>6.61</v>
      </c>
      <c r="X1495">
        <v>1.54</v>
      </c>
      <c r="Y1495">
        <v>0</v>
      </c>
      <c r="Z1495">
        <v>0</v>
      </c>
      <c r="AA1495">
        <v>0</v>
      </c>
      <c r="AB1495">
        <v>0.02</v>
      </c>
      <c r="AC1495">
        <v>8.98</v>
      </c>
      <c r="AD1495">
        <v>8.58</v>
      </c>
      <c r="AE1495">
        <v>0</v>
      </c>
      <c r="AF1495">
        <v>0</v>
      </c>
      <c r="AG1495">
        <v>0.53</v>
      </c>
      <c r="AH1495">
        <v>73.58</v>
      </c>
      <c r="AI1495">
        <v>17.13</v>
      </c>
      <c r="AJ1495">
        <v>0</v>
      </c>
      <c r="AK1495">
        <v>0</v>
      </c>
      <c r="AL1495">
        <v>0</v>
      </c>
      <c r="AM1495">
        <v>0.18</v>
      </c>
      <c r="AN1495">
        <f t="shared" si="70"/>
        <v>6</v>
      </c>
      <c r="AO1495" t="str">
        <f t="shared" si="71"/>
        <v>Friday</v>
      </c>
    </row>
    <row r="1496" spans="1:41" x14ac:dyDescent="0.2">
      <c r="A1496" t="s">
        <v>41</v>
      </c>
      <c r="B1496" s="1">
        <v>45688</v>
      </c>
      <c r="C1496" s="1">
        <f t="shared" si="69"/>
        <v>45688</v>
      </c>
      <c r="D1496">
        <v>25</v>
      </c>
      <c r="E1496">
        <v>55</v>
      </c>
      <c r="F1496">
        <v>3</v>
      </c>
      <c r="G1496">
        <v>3</v>
      </c>
      <c r="H1496">
        <v>0</v>
      </c>
      <c r="I1496">
        <v>0</v>
      </c>
      <c r="J1496">
        <v>0</v>
      </c>
      <c r="K1496">
        <v>34</v>
      </c>
      <c r="L1496" t="s">
        <v>41</v>
      </c>
      <c r="M1496" t="s">
        <v>38</v>
      </c>
      <c r="N1496" s="1">
        <v>45688</v>
      </c>
      <c r="O1496" s="2">
        <v>0.58618055555555559</v>
      </c>
      <c r="P1496" s="2">
        <v>0.79136574074074073</v>
      </c>
      <c r="Q1496">
        <v>4.92</v>
      </c>
      <c r="R1496">
        <v>4.92</v>
      </c>
      <c r="S1496">
        <v>0.59</v>
      </c>
      <c r="T1496">
        <v>0</v>
      </c>
      <c r="U1496">
        <v>0</v>
      </c>
      <c r="V1496">
        <v>0.19</v>
      </c>
      <c r="W1496">
        <v>2.67</v>
      </c>
      <c r="X1496">
        <v>1.47</v>
      </c>
      <c r="Y1496">
        <v>0</v>
      </c>
      <c r="Z1496">
        <v>0</v>
      </c>
      <c r="AA1496">
        <v>0</v>
      </c>
      <c r="AB1496">
        <v>0</v>
      </c>
      <c r="AC1496">
        <v>4.92</v>
      </c>
      <c r="AD1496">
        <v>12.04</v>
      </c>
      <c r="AE1496">
        <v>0</v>
      </c>
      <c r="AF1496">
        <v>0</v>
      </c>
      <c r="AG1496">
        <v>3.81</v>
      </c>
      <c r="AH1496">
        <v>54.16</v>
      </c>
      <c r="AI1496">
        <v>29.92</v>
      </c>
      <c r="AJ1496">
        <v>0</v>
      </c>
      <c r="AK1496">
        <v>0</v>
      </c>
      <c r="AL1496">
        <v>0</v>
      </c>
      <c r="AM1496">
        <v>0.08</v>
      </c>
      <c r="AN1496">
        <f t="shared" si="70"/>
        <v>6</v>
      </c>
      <c r="AO1496" t="str">
        <f t="shared" si="71"/>
        <v>Friday</v>
      </c>
    </row>
    <row r="1497" spans="1:41" x14ac:dyDescent="0.2">
      <c r="A1497" t="s">
        <v>42</v>
      </c>
      <c r="B1497" s="1">
        <v>45688</v>
      </c>
      <c r="C1497" s="1">
        <f t="shared" si="69"/>
        <v>45688</v>
      </c>
      <c r="D1497">
        <v>17</v>
      </c>
      <c r="E1497">
        <v>26</v>
      </c>
      <c r="F1497">
        <v>0</v>
      </c>
      <c r="G1497">
        <v>1</v>
      </c>
      <c r="H1497">
        <v>5</v>
      </c>
      <c r="I1497">
        <v>0</v>
      </c>
      <c r="J1497">
        <v>0</v>
      </c>
      <c r="K1497">
        <v>8</v>
      </c>
      <c r="L1497" t="s">
        <v>42</v>
      </c>
      <c r="M1497" t="s">
        <v>38</v>
      </c>
      <c r="N1497" s="1">
        <v>45688</v>
      </c>
      <c r="O1497" s="2">
        <v>0.58737268518518515</v>
      </c>
      <c r="P1497" s="2">
        <v>0.96261574074074074</v>
      </c>
      <c r="Q1497">
        <v>9.02</v>
      </c>
      <c r="R1497">
        <v>9</v>
      </c>
      <c r="S1497">
        <v>2.39</v>
      </c>
      <c r="T1497">
        <v>0.51</v>
      </c>
      <c r="U1497">
        <v>0</v>
      </c>
      <c r="V1497">
        <v>0.2</v>
      </c>
      <c r="W1497">
        <v>3.81</v>
      </c>
      <c r="X1497">
        <v>1.47</v>
      </c>
      <c r="Y1497">
        <v>0.6</v>
      </c>
      <c r="Z1497">
        <v>0</v>
      </c>
      <c r="AA1497">
        <v>0</v>
      </c>
      <c r="AB1497">
        <v>0.02</v>
      </c>
      <c r="AC1497">
        <v>9</v>
      </c>
      <c r="AD1497">
        <v>26.56</v>
      </c>
      <c r="AE1497">
        <v>5.7</v>
      </c>
      <c r="AF1497">
        <v>0</v>
      </c>
      <c r="AG1497">
        <v>2.17</v>
      </c>
      <c r="AH1497">
        <v>42.33</v>
      </c>
      <c r="AI1497">
        <v>16.36</v>
      </c>
      <c r="AJ1497">
        <v>6.66</v>
      </c>
      <c r="AK1497">
        <v>0</v>
      </c>
      <c r="AL1497">
        <v>0</v>
      </c>
      <c r="AM1497">
        <v>0.23</v>
      </c>
      <c r="AN1497">
        <f t="shared" si="70"/>
        <v>6</v>
      </c>
      <c r="AO1497" t="str">
        <f t="shared" si="71"/>
        <v>Friday</v>
      </c>
    </row>
    <row r="1498" spans="1:41" x14ac:dyDescent="0.2">
      <c r="A1498" t="s">
        <v>43</v>
      </c>
      <c r="B1498" s="1">
        <v>45688</v>
      </c>
      <c r="C1498" s="1">
        <f t="shared" si="69"/>
        <v>45688</v>
      </c>
      <c r="D1498">
        <v>18</v>
      </c>
      <c r="E1498">
        <v>38</v>
      </c>
      <c r="F1498">
        <v>6</v>
      </c>
      <c r="G1498">
        <v>4</v>
      </c>
      <c r="H1498">
        <v>6</v>
      </c>
      <c r="I1498">
        <v>0</v>
      </c>
      <c r="J1498">
        <v>0</v>
      </c>
      <c r="K1498">
        <v>18</v>
      </c>
      <c r="L1498" t="s">
        <v>43</v>
      </c>
      <c r="M1498" t="s">
        <v>38</v>
      </c>
      <c r="N1498" s="1">
        <v>45688</v>
      </c>
      <c r="O1498" s="2">
        <v>0.58209490740740744</v>
      </c>
      <c r="P1498" s="2">
        <v>0.96247685185185183</v>
      </c>
      <c r="Q1498">
        <v>9.1199999999999992</v>
      </c>
      <c r="R1498">
        <v>9.1</v>
      </c>
      <c r="S1498">
        <v>1.52</v>
      </c>
      <c r="T1498">
        <v>0.28999999999999998</v>
      </c>
      <c r="U1498">
        <v>0</v>
      </c>
      <c r="V1498">
        <v>0.8</v>
      </c>
      <c r="W1498">
        <v>4.29</v>
      </c>
      <c r="X1498">
        <v>1.94</v>
      </c>
      <c r="Y1498">
        <v>0</v>
      </c>
      <c r="Z1498">
        <v>0</v>
      </c>
      <c r="AA1498">
        <v>0.26</v>
      </c>
      <c r="AB1498">
        <v>0.01</v>
      </c>
      <c r="AC1498">
        <v>9.1</v>
      </c>
      <c r="AD1498">
        <v>16.68</v>
      </c>
      <c r="AE1498">
        <v>3.19</v>
      </c>
      <c r="AF1498">
        <v>0</v>
      </c>
      <c r="AG1498">
        <v>8.7799999999999994</v>
      </c>
      <c r="AH1498">
        <v>47.14</v>
      </c>
      <c r="AI1498">
        <v>21.3</v>
      </c>
      <c r="AJ1498">
        <v>0</v>
      </c>
      <c r="AK1498">
        <v>0</v>
      </c>
      <c r="AL1498">
        <v>2.82</v>
      </c>
      <c r="AM1498">
        <v>0.08</v>
      </c>
      <c r="AN1498">
        <f t="shared" si="70"/>
        <v>6</v>
      </c>
      <c r="AO1498" t="str">
        <f t="shared" si="71"/>
        <v>Friday</v>
      </c>
    </row>
    <row r="1499" spans="1:41" x14ac:dyDescent="0.2">
      <c r="B1499" s="1">
        <v>45688</v>
      </c>
      <c r="C1499" s="1">
        <f t="shared" si="69"/>
        <v>45688</v>
      </c>
      <c r="D1499">
        <v>819</v>
      </c>
      <c r="E1499">
        <v>0</v>
      </c>
      <c r="F1499">
        <v>0</v>
      </c>
      <c r="G1499">
        <v>0</v>
      </c>
      <c r="H1499">
        <v>0</v>
      </c>
      <c r="I1499">
        <v>0</v>
      </c>
      <c r="J1499">
        <v>0</v>
      </c>
      <c r="K1499">
        <v>0</v>
      </c>
      <c r="AN1499">
        <f t="shared" si="70"/>
        <v>6</v>
      </c>
      <c r="AO1499" t="str">
        <f t="shared" si="71"/>
        <v>Friday</v>
      </c>
    </row>
    <row r="1500" spans="1:41" x14ac:dyDescent="0.2">
      <c r="A1500" t="s">
        <v>37</v>
      </c>
      <c r="B1500" s="1">
        <v>45687</v>
      </c>
      <c r="C1500" s="1">
        <f t="shared" si="69"/>
        <v>45688</v>
      </c>
      <c r="D1500">
        <v>31</v>
      </c>
      <c r="E1500">
        <v>63</v>
      </c>
      <c r="F1500">
        <v>3</v>
      </c>
      <c r="G1500">
        <v>5</v>
      </c>
      <c r="H1500">
        <v>1</v>
      </c>
      <c r="I1500">
        <v>0</v>
      </c>
      <c r="J1500">
        <v>4</v>
      </c>
      <c r="K1500">
        <v>40</v>
      </c>
      <c r="L1500" t="s">
        <v>37</v>
      </c>
      <c r="M1500" t="s">
        <v>38</v>
      </c>
      <c r="N1500" s="1">
        <v>45687</v>
      </c>
      <c r="O1500" s="2">
        <v>0.58307870370370374</v>
      </c>
      <c r="P1500" s="2">
        <v>0.96424768518518522</v>
      </c>
      <c r="Q1500">
        <v>9.15</v>
      </c>
      <c r="R1500">
        <v>8.24</v>
      </c>
      <c r="S1500">
        <v>1.07</v>
      </c>
      <c r="T1500">
        <v>0.28000000000000003</v>
      </c>
      <c r="U1500">
        <v>0</v>
      </c>
      <c r="V1500">
        <v>0.4</v>
      </c>
      <c r="W1500">
        <v>4.9800000000000004</v>
      </c>
      <c r="X1500">
        <v>0.3</v>
      </c>
      <c r="Y1500">
        <v>1.19</v>
      </c>
      <c r="Z1500">
        <v>0</v>
      </c>
      <c r="AA1500">
        <v>0</v>
      </c>
      <c r="AB1500">
        <v>0.03</v>
      </c>
      <c r="AC1500">
        <v>8.24</v>
      </c>
      <c r="AD1500">
        <v>13</v>
      </c>
      <c r="AE1500">
        <v>3.39</v>
      </c>
      <c r="AF1500">
        <v>0</v>
      </c>
      <c r="AG1500">
        <v>4.8499999999999996</v>
      </c>
      <c r="AH1500">
        <v>60.42</v>
      </c>
      <c r="AI1500">
        <v>3.58</v>
      </c>
      <c r="AJ1500">
        <v>14.46</v>
      </c>
      <c r="AK1500">
        <v>0</v>
      </c>
      <c r="AL1500">
        <v>0</v>
      </c>
      <c r="AM1500">
        <v>0.31</v>
      </c>
      <c r="AN1500">
        <f t="shared" si="70"/>
        <v>5</v>
      </c>
      <c r="AO1500" t="str">
        <f t="shared" si="71"/>
        <v>Thursday</v>
      </c>
    </row>
    <row r="1501" spans="1:41" x14ac:dyDescent="0.2">
      <c r="A1501" t="s">
        <v>39</v>
      </c>
      <c r="B1501" s="1">
        <v>45687</v>
      </c>
      <c r="C1501" s="1">
        <f t="shared" si="69"/>
        <v>45688</v>
      </c>
      <c r="D1501">
        <v>26</v>
      </c>
      <c r="E1501">
        <v>52</v>
      </c>
      <c r="F1501">
        <v>5</v>
      </c>
      <c r="G1501">
        <v>8</v>
      </c>
      <c r="H1501">
        <v>5</v>
      </c>
      <c r="I1501">
        <v>0</v>
      </c>
      <c r="J1501">
        <v>0</v>
      </c>
      <c r="K1501">
        <v>17</v>
      </c>
      <c r="L1501" t="s">
        <v>39</v>
      </c>
      <c r="M1501" t="s">
        <v>38</v>
      </c>
      <c r="N1501" s="1">
        <v>45687</v>
      </c>
      <c r="O1501" s="2">
        <v>0.58341435185185186</v>
      </c>
      <c r="P1501" s="2">
        <v>0.9584259259259259</v>
      </c>
      <c r="Q1501">
        <v>9</v>
      </c>
      <c r="R1501">
        <v>8.93</v>
      </c>
      <c r="S1501">
        <v>1.76</v>
      </c>
      <c r="T1501">
        <v>0.08</v>
      </c>
      <c r="U1501">
        <v>0</v>
      </c>
      <c r="V1501">
        <v>0.06</v>
      </c>
      <c r="W1501">
        <v>3.87</v>
      </c>
      <c r="X1501">
        <v>1.51</v>
      </c>
      <c r="Y1501">
        <v>1.62</v>
      </c>
      <c r="Z1501">
        <v>0</v>
      </c>
      <c r="AA1501">
        <v>0</v>
      </c>
      <c r="AB1501">
        <v>0.03</v>
      </c>
      <c r="AC1501">
        <v>8.93</v>
      </c>
      <c r="AD1501">
        <v>19.760000000000002</v>
      </c>
      <c r="AE1501">
        <v>0.91</v>
      </c>
      <c r="AF1501">
        <v>0</v>
      </c>
      <c r="AG1501">
        <v>0.64</v>
      </c>
      <c r="AH1501">
        <v>43.32</v>
      </c>
      <c r="AI1501">
        <v>16.899999999999999</v>
      </c>
      <c r="AJ1501">
        <v>18.18</v>
      </c>
      <c r="AK1501">
        <v>0</v>
      </c>
      <c r="AL1501">
        <v>0</v>
      </c>
      <c r="AM1501">
        <v>0.28999999999999998</v>
      </c>
      <c r="AN1501">
        <f t="shared" si="70"/>
        <v>5</v>
      </c>
      <c r="AO1501" t="str">
        <f t="shared" si="71"/>
        <v>Thursday</v>
      </c>
    </row>
    <row r="1502" spans="1:41" x14ac:dyDescent="0.2">
      <c r="A1502" t="s">
        <v>56</v>
      </c>
      <c r="B1502" s="1">
        <v>45687</v>
      </c>
      <c r="C1502" s="1">
        <f t="shared" si="69"/>
        <v>45688</v>
      </c>
      <c r="D1502">
        <v>35</v>
      </c>
      <c r="E1502">
        <v>46</v>
      </c>
      <c r="F1502">
        <v>2</v>
      </c>
      <c r="G1502">
        <v>0</v>
      </c>
      <c r="H1502">
        <v>7</v>
      </c>
      <c r="I1502">
        <v>1</v>
      </c>
      <c r="J1502">
        <v>0</v>
      </c>
      <c r="K1502">
        <v>17</v>
      </c>
      <c r="L1502" t="s">
        <v>56</v>
      </c>
      <c r="M1502" t="s">
        <v>38</v>
      </c>
      <c r="N1502" s="1">
        <v>45687</v>
      </c>
      <c r="O1502" s="2">
        <v>0.58246527777777779</v>
      </c>
      <c r="P1502" s="2">
        <v>0.91751157407407402</v>
      </c>
      <c r="Q1502">
        <v>8.0500000000000007</v>
      </c>
      <c r="R1502">
        <v>7.95</v>
      </c>
      <c r="S1502">
        <v>0.77</v>
      </c>
      <c r="T1502">
        <v>0</v>
      </c>
      <c r="U1502">
        <v>0</v>
      </c>
      <c r="V1502">
        <v>0.1</v>
      </c>
      <c r="W1502">
        <v>4.5</v>
      </c>
      <c r="X1502">
        <v>1.39</v>
      </c>
      <c r="Y1502">
        <v>1.1399999999999999</v>
      </c>
      <c r="Z1502">
        <v>0</v>
      </c>
      <c r="AA1502">
        <v>0.04</v>
      </c>
      <c r="AB1502">
        <v>0.01</v>
      </c>
      <c r="AC1502">
        <v>7.95</v>
      </c>
      <c r="AD1502">
        <v>9.7100000000000009</v>
      </c>
      <c r="AE1502">
        <v>0</v>
      </c>
      <c r="AF1502">
        <v>0</v>
      </c>
      <c r="AG1502">
        <v>1.2</v>
      </c>
      <c r="AH1502">
        <v>56.59</v>
      </c>
      <c r="AI1502">
        <v>17.53</v>
      </c>
      <c r="AJ1502">
        <v>14.37</v>
      </c>
      <c r="AK1502">
        <v>0</v>
      </c>
      <c r="AL1502">
        <v>0.46</v>
      </c>
      <c r="AM1502">
        <v>0.14000000000000001</v>
      </c>
      <c r="AN1502">
        <f t="shared" si="70"/>
        <v>5</v>
      </c>
      <c r="AO1502" t="str">
        <f t="shared" si="71"/>
        <v>Thursday</v>
      </c>
    </row>
    <row r="1503" spans="1:41" x14ac:dyDescent="0.2">
      <c r="A1503" t="s">
        <v>41</v>
      </c>
      <c r="B1503" s="1">
        <v>45687</v>
      </c>
      <c r="C1503" s="1">
        <f t="shared" si="69"/>
        <v>45688</v>
      </c>
      <c r="D1503">
        <v>19</v>
      </c>
      <c r="E1503">
        <v>29</v>
      </c>
      <c r="F1503">
        <v>4</v>
      </c>
      <c r="G1503">
        <v>3</v>
      </c>
      <c r="H1503">
        <v>5</v>
      </c>
      <c r="I1503">
        <v>0</v>
      </c>
      <c r="J1503">
        <v>0</v>
      </c>
      <c r="K1503">
        <v>9</v>
      </c>
      <c r="L1503" t="s">
        <v>41</v>
      </c>
      <c r="M1503" t="s">
        <v>38</v>
      </c>
      <c r="N1503" s="1">
        <v>45687</v>
      </c>
      <c r="O1503" s="2">
        <v>0.58341435185185186</v>
      </c>
      <c r="P1503" s="2">
        <v>0.87438657407407405</v>
      </c>
      <c r="Q1503">
        <v>6.98</v>
      </c>
      <c r="R1503">
        <v>6.98</v>
      </c>
      <c r="S1503">
        <v>0.92</v>
      </c>
      <c r="T1503">
        <v>0</v>
      </c>
      <c r="U1503">
        <v>0</v>
      </c>
      <c r="V1503">
        <v>0.22</v>
      </c>
      <c r="W1503">
        <v>2.83</v>
      </c>
      <c r="X1503">
        <v>1.48</v>
      </c>
      <c r="Y1503">
        <v>1.53</v>
      </c>
      <c r="Z1503">
        <v>0</v>
      </c>
      <c r="AA1503">
        <v>0</v>
      </c>
      <c r="AB1503">
        <v>0.01</v>
      </c>
      <c r="AC1503">
        <v>6.98</v>
      </c>
      <c r="AD1503">
        <v>13.21</v>
      </c>
      <c r="AE1503">
        <v>0</v>
      </c>
      <c r="AF1503">
        <v>0</v>
      </c>
      <c r="AG1503">
        <v>3.21</v>
      </c>
      <c r="AH1503">
        <v>40.51</v>
      </c>
      <c r="AI1503">
        <v>21.16</v>
      </c>
      <c r="AJ1503">
        <v>21.84</v>
      </c>
      <c r="AK1503">
        <v>0</v>
      </c>
      <c r="AL1503">
        <v>0</v>
      </c>
      <c r="AM1503">
        <v>0.08</v>
      </c>
      <c r="AN1503">
        <f t="shared" si="70"/>
        <v>5</v>
      </c>
      <c r="AO1503" t="str">
        <f t="shared" si="71"/>
        <v>Thursday</v>
      </c>
    </row>
    <row r="1504" spans="1:41" x14ac:dyDescent="0.2">
      <c r="A1504" t="s">
        <v>42</v>
      </c>
      <c r="B1504" s="1">
        <v>45687</v>
      </c>
      <c r="C1504" s="1">
        <f t="shared" si="69"/>
        <v>45688</v>
      </c>
      <c r="D1504">
        <v>25</v>
      </c>
      <c r="E1504">
        <v>31</v>
      </c>
      <c r="F1504">
        <v>1</v>
      </c>
      <c r="G1504">
        <v>1</v>
      </c>
      <c r="H1504">
        <v>1</v>
      </c>
      <c r="I1504">
        <v>0</v>
      </c>
      <c r="J1504">
        <v>0</v>
      </c>
      <c r="K1504">
        <v>12</v>
      </c>
      <c r="L1504" t="s">
        <v>42</v>
      </c>
      <c r="M1504" t="s">
        <v>38</v>
      </c>
      <c r="N1504" s="1">
        <v>45687</v>
      </c>
      <c r="O1504" s="2">
        <v>0.58399305555555558</v>
      </c>
      <c r="P1504" s="2">
        <v>0.95927083333333329</v>
      </c>
      <c r="Q1504">
        <v>9.02</v>
      </c>
      <c r="R1504">
        <v>9.01</v>
      </c>
      <c r="S1504">
        <v>1.36</v>
      </c>
      <c r="T1504">
        <v>0.28999999999999998</v>
      </c>
      <c r="U1504">
        <v>0</v>
      </c>
      <c r="V1504">
        <v>0.32</v>
      </c>
      <c r="W1504">
        <v>4.34</v>
      </c>
      <c r="X1504">
        <v>1.5</v>
      </c>
      <c r="Y1504">
        <v>1.18</v>
      </c>
      <c r="Z1504">
        <v>0</v>
      </c>
      <c r="AA1504">
        <v>0</v>
      </c>
      <c r="AB1504">
        <v>0.01</v>
      </c>
      <c r="AC1504">
        <v>9.01</v>
      </c>
      <c r="AD1504">
        <v>15.12</v>
      </c>
      <c r="AE1504">
        <v>3.25</v>
      </c>
      <c r="AF1504">
        <v>0</v>
      </c>
      <c r="AG1504">
        <v>3.55</v>
      </c>
      <c r="AH1504">
        <v>48.2</v>
      </c>
      <c r="AI1504">
        <v>16.68</v>
      </c>
      <c r="AJ1504">
        <v>13.14</v>
      </c>
      <c r="AK1504">
        <v>0</v>
      </c>
      <c r="AL1504">
        <v>0</v>
      </c>
      <c r="AM1504">
        <v>0.06</v>
      </c>
      <c r="AN1504">
        <f t="shared" si="70"/>
        <v>5</v>
      </c>
      <c r="AO1504" t="str">
        <f t="shared" si="71"/>
        <v>Thursday</v>
      </c>
    </row>
    <row r="1505" spans="1:41" x14ac:dyDescent="0.2">
      <c r="A1505" t="s">
        <v>43</v>
      </c>
      <c r="B1505" s="1">
        <v>45687</v>
      </c>
      <c r="C1505" s="1">
        <f t="shared" si="69"/>
        <v>45688</v>
      </c>
      <c r="D1505">
        <v>27</v>
      </c>
      <c r="E1505">
        <v>57</v>
      </c>
      <c r="F1505">
        <v>1</v>
      </c>
      <c r="G1505">
        <v>6</v>
      </c>
      <c r="H1505">
        <v>3</v>
      </c>
      <c r="I1505">
        <v>0</v>
      </c>
      <c r="J1505">
        <v>0</v>
      </c>
      <c r="K1505">
        <v>34</v>
      </c>
      <c r="L1505" t="s">
        <v>43</v>
      </c>
      <c r="M1505" t="s">
        <v>38</v>
      </c>
      <c r="N1505" s="1">
        <v>45687</v>
      </c>
      <c r="O1505" s="2">
        <v>0.58253472222222225</v>
      </c>
      <c r="P1505" s="2">
        <v>0.96038194444444447</v>
      </c>
      <c r="Q1505">
        <v>9.07</v>
      </c>
      <c r="R1505">
        <v>8.92</v>
      </c>
      <c r="S1505">
        <v>0.22</v>
      </c>
      <c r="T1505">
        <v>0</v>
      </c>
      <c r="U1505">
        <v>0</v>
      </c>
      <c r="V1505">
        <v>0.47</v>
      </c>
      <c r="W1505">
        <v>4.99</v>
      </c>
      <c r="X1505">
        <v>1.49</v>
      </c>
      <c r="Y1505">
        <v>1.55</v>
      </c>
      <c r="Z1505">
        <v>0</v>
      </c>
      <c r="AA1505">
        <v>0.18</v>
      </c>
      <c r="AB1505">
        <v>0.02</v>
      </c>
      <c r="AC1505">
        <v>8.92</v>
      </c>
      <c r="AD1505">
        <v>2.44</v>
      </c>
      <c r="AE1505">
        <v>0</v>
      </c>
      <c r="AF1505">
        <v>0</v>
      </c>
      <c r="AG1505">
        <v>5.28</v>
      </c>
      <c r="AH1505">
        <v>55.98</v>
      </c>
      <c r="AI1505">
        <v>16.75</v>
      </c>
      <c r="AJ1505">
        <v>17.420000000000002</v>
      </c>
      <c r="AK1505">
        <v>0</v>
      </c>
      <c r="AL1505">
        <v>1.97</v>
      </c>
      <c r="AM1505">
        <v>0.17</v>
      </c>
      <c r="AN1505">
        <f t="shared" si="70"/>
        <v>5</v>
      </c>
      <c r="AO1505" t="str">
        <f t="shared" si="71"/>
        <v>Thursday</v>
      </c>
    </row>
    <row r="1506" spans="1:41" x14ac:dyDescent="0.2">
      <c r="B1506" s="1">
        <v>45687</v>
      </c>
      <c r="C1506" s="1">
        <f t="shared" si="69"/>
        <v>45688</v>
      </c>
      <c r="D1506">
        <v>844</v>
      </c>
      <c r="E1506">
        <v>0</v>
      </c>
      <c r="F1506">
        <v>0</v>
      </c>
      <c r="G1506">
        <v>0</v>
      </c>
      <c r="H1506">
        <v>0</v>
      </c>
      <c r="I1506">
        <v>0</v>
      </c>
      <c r="J1506">
        <v>0</v>
      </c>
      <c r="K1506">
        <v>0</v>
      </c>
      <c r="AN1506">
        <f t="shared" si="70"/>
        <v>5</v>
      </c>
      <c r="AO1506" t="str">
        <f t="shared" si="71"/>
        <v>Thursday</v>
      </c>
    </row>
    <row r="1507" spans="1:41" x14ac:dyDescent="0.2">
      <c r="A1507" t="s">
        <v>37</v>
      </c>
      <c r="B1507" s="1">
        <v>45686</v>
      </c>
      <c r="C1507" s="1">
        <f t="shared" si="69"/>
        <v>45688</v>
      </c>
      <c r="D1507">
        <v>24</v>
      </c>
      <c r="E1507">
        <v>57</v>
      </c>
      <c r="F1507">
        <v>0</v>
      </c>
      <c r="G1507">
        <v>6</v>
      </c>
      <c r="H1507">
        <v>1</v>
      </c>
      <c r="I1507">
        <v>0</v>
      </c>
      <c r="J1507">
        <v>2</v>
      </c>
      <c r="K1507">
        <v>38</v>
      </c>
      <c r="L1507" t="s">
        <v>37</v>
      </c>
      <c r="M1507" t="s">
        <v>38</v>
      </c>
      <c r="N1507" s="1">
        <v>45686</v>
      </c>
      <c r="O1507" s="2">
        <v>0.58469907407407407</v>
      </c>
      <c r="P1507" s="2">
        <v>0.95839120370370368</v>
      </c>
      <c r="Q1507">
        <v>8.98</v>
      </c>
      <c r="R1507">
        <v>8.0299999999999994</v>
      </c>
      <c r="S1507">
        <v>0.62</v>
      </c>
      <c r="T1507">
        <v>0.35</v>
      </c>
      <c r="U1507">
        <v>0</v>
      </c>
      <c r="V1507">
        <v>0.19</v>
      </c>
      <c r="W1507">
        <v>6.18</v>
      </c>
      <c r="X1507">
        <v>0.65</v>
      </c>
      <c r="Y1507">
        <v>0</v>
      </c>
      <c r="Z1507">
        <v>0</v>
      </c>
      <c r="AA1507">
        <v>0</v>
      </c>
      <c r="AB1507">
        <v>0.04</v>
      </c>
      <c r="AC1507">
        <v>8.0299999999999994</v>
      </c>
      <c r="AD1507">
        <v>7.75</v>
      </c>
      <c r="AE1507">
        <v>4.37</v>
      </c>
      <c r="AF1507">
        <v>0</v>
      </c>
      <c r="AG1507">
        <v>2.4</v>
      </c>
      <c r="AH1507">
        <v>76.98</v>
      </c>
      <c r="AI1507">
        <v>8.0500000000000007</v>
      </c>
      <c r="AJ1507">
        <v>0</v>
      </c>
      <c r="AK1507">
        <v>0</v>
      </c>
      <c r="AL1507">
        <v>0</v>
      </c>
      <c r="AM1507">
        <v>0.46</v>
      </c>
      <c r="AN1507">
        <f t="shared" si="70"/>
        <v>4</v>
      </c>
      <c r="AO1507" t="str">
        <f t="shared" si="71"/>
        <v>Wednesday</v>
      </c>
    </row>
    <row r="1508" spans="1:41" x14ac:dyDescent="0.2">
      <c r="A1508" t="s">
        <v>39</v>
      </c>
      <c r="B1508" s="1">
        <v>45686</v>
      </c>
      <c r="C1508" s="1">
        <f t="shared" si="69"/>
        <v>45688</v>
      </c>
      <c r="D1508">
        <v>26</v>
      </c>
      <c r="E1508">
        <v>80</v>
      </c>
      <c r="F1508">
        <v>5</v>
      </c>
      <c r="G1508">
        <v>4</v>
      </c>
      <c r="H1508">
        <v>2</v>
      </c>
      <c r="I1508">
        <v>0</v>
      </c>
      <c r="J1508">
        <v>0</v>
      </c>
      <c r="K1508">
        <v>42</v>
      </c>
      <c r="L1508" t="s">
        <v>39</v>
      </c>
      <c r="M1508" t="s">
        <v>38</v>
      </c>
      <c r="N1508" s="1">
        <v>45686</v>
      </c>
      <c r="O1508" s="2">
        <v>0.58359953703703704</v>
      </c>
      <c r="P1508" s="2">
        <v>0.95843750000000005</v>
      </c>
      <c r="Q1508">
        <v>9</v>
      </c>
      <c r="R1508">
        <v>8.99</v>
      </c>
      <c r="S1508">
        <v>1.27</v>
      </c>
      <c r="T1508">
        <v>0.24</v>
      </c>
      <c r="U1508">
        <v>0</v>
      </c>
      <c r="V1508">
        <v>0.05</v>
      </c>
      <c r="W1508">
        <v>5.94</v>
      </c>
      <c r="X1508">
        <v>1.5</v>
      </c>
      <c r="Y1508">
        <v>0</v>
      </c>
      <c r="Z1508">
        <v>0</v>
      </c>
      <c r="AA1508">
        <v>0</v>
      </c>
      <c r="AB1508">
        <v>0.01</v>
      </c>
      <c r="AC1508">
        <v>8.99</v>
      </c>
      <c r="AD1508">
        <v>14.08</v>
      </c>
      <c r="AE1508">
        <v>2.67</v>
      </c>
      <c r="AF1508">
        <v>0</v>
      </c>
      <c r="AG1508">
        <v>0.51</v>
      </c>
      <c r="AH1508">
        <v>66.010000000000005</v>
      </c>
      <c r="AI1508">
        <v>16.670000000000002</v>
      </c>
      <c r="AJ1508">
        <v>0</v>
      </c>
      <c r="AK1508">
        <v>0</v>
      </c>
      <c r="AL1508">
        <v>0</v>
      </c>
      <c r="AM1508">
        <v>0.06</v>
      </c>
      <c r="AN1508">
        <f t="shared" si="70"/>
        <v>4</v>
      </c>
      <c r="AO1508" t="str">
        <f t="shared" si="71"/>
        <v>Wednesday</v>
      </c>
    </row>
    <row r="1509" spans="1:41" x14ac:dyDescent="0.2">
      <c r="A1509" t="s">
        <v>56</v>
      </c>
      <c r="B1509" s="1">
        <v>45686</v>
      </c>
      <c r="C1509" s="1">
        <f t="shared" si="69"/>
        <v>45688</v>
      </c>
      <c r="D1509">
        <v>25</v>
      </c>
      <c r="E1509">
        <v>39</v>
      </c>
      <c r="F1509">
        <v>6</v>
      </c>
      <c r="G1509">
        <v>0</v>
      </c>
      <c r="H1509">
        <v>5</v>
      </c>
      <c r="I1509">
        <v>0</v>
      </c>
      <c r="J1509">
        <v>0</v>
      </c>
      <c r="K1509">
        <v>16</v>
      </c>
      <c r="L1509" t="s">
        <v>56</v>
      </c>
      <c r="M1509" t="s">
        <v>38</v>
      </c>
      <c r="N1509" s="1">
        <v>45686</v>
      </c>
      <c r="O1509" s="2">
        <v>0.58304398148148151</v>
      </c>
      <c r="P1509" s="2">
        <v>0.95840277777777783</v>
      </c>
      <c r="Q1509">
        <v>9.02</v>
      </c>
      <c r="R1509">
        <v>9.01</v>
      </c>
      <c r="S1509">
        <v>0.44</v>
      </c>
      <c r="T1509">
        <v>0</v>
      </c>
      <c r="U1509">
        <v>0</v>
      </c>
      <c r="V1509">
        <v>0.01</v>
      </c>
      <c r="W1509">
        <v>6.88</v>
      </c>
      <c r="X1509">
        <v>1.51</v>
      </c>
      <c r="Y1509">
        <v>0.16</v>
      </c>
      <c r="Z1509">
        <v>0</v>
      </c>
      <c r="AA1509">
        <v>0</v>
      </c>
      <c r="AB1509">
        <v>0</v>
      </c>
      <c r="AC1509">
        <v>9.01</v>
      </c>
      <c r="AD1509">
        <v>4.93</v>
      </c>
      <c r="AE1509">
        <v>0</v>
      </c>
      <c r="AF1509">
        <v>0</v>
      </c>
      <c r="AG1509">
        <v>0.13</v>
      </c>
      <c r="AH1509">
        <v>76.42</v>
      </c>
      <c r="AI1509">
        <v>16.73</v>
      </c>
      <c r="AJ1509">
        <v>1.74</v>
      </c>
      <c r="AK1509">
        <v>0</v>
      </c>
      <c r="AL1509">
        <v>0</v>
      </c>
      <c r="AM1509">
        <v>0.05</v>
      </c>
      <c r="AN1509">
        <f t="shared" si="70"/>
        <v>4</v>
      </c>
      <c r="AO1509" t="str">
        <f t="shared" si="71"/>
        <v>Wednesday</v>
      </c>
    </row>
    <row r="1510" spans="1:41" x14ac:dyDescent="0.2">
      <c r="A1510" t="s">
        <v>41</v>
      </c>
      <c r="B1510" s="1">
        <v>45686</v>
      </c>
      <c r="C1510" s="1">
        <f t="shared" si="69"/>
        <v>45688</v>
      </c>
      <c r="D1510">
        <v>35</v>
      </c>
      <c r="E1510">
        <v>87</v>
      </c>
      <c r="F1510">
        <v>4</v>
      </c>
      <c r="G1510">
        <v>7</v>
      </c>
      <c r="H1510">
        <v>5</v>
      </c>
      <c r="I1510">
        <v>2</v>
      </c>
      <c r="J1510">
        <v>3</v>
      </c>
      <c r="K1510">
        <v>46</v>
      </c>
      <c r="L1510" t="s">
        <v>41</v>
      </c>
      <c r="M1510" t="s">
        <v>38</v>
      </c>
      <c r="N1510" s="1">
        <v>45686</v>
      </c>
      <c r="O1510" s="2">
        <v>0.58422453703703703</v>
      </c>
      <c r="P1510" s="2">
        <v>0.95903935185185185</v>
      </c>
      <c r="Q1510">
        <v>9</v>
      </c>
      <c r="R1510">
        <v>9</v>
      </c>
      <c r="S1510">
        <v>0.9</v>
      </c>
      <c r="T1510">
        <v>0.11</v>
      </c>
      <c r="U1510">
        <v>0</v>
      </c>
      <c r="V1510">
        <v>0.17</v>
      </c>
      <c r="W1510">
        <v>6.31</v>
      </c>
      <c r="X1510">
        <v>1.5</v>
      </c>
      <c r="Y1510">
        <v>0</v>
      </c>
      <c r="Z1510">
        <v>0</v>
      </c>
      <c r="AA1510">
        <v>0</v>
      </c>
      <c r="AB1510">
        <v>0</v>
      </c>
      <c r="AC1510">
        <v>9</v>
      </c>
      <c r="AD1510">
        <v>9.98</v>
      </c>
      <c r="AE1510">
        <v>1.25</v>
      </c>
      <c r="AF1510">
        <v>0</v>
      </c>
      <c r="AG1510">
        <v>1.87</v>
      </c>
      <c r="AH1510">
        <v>70.17</v>
      </c>
      <c r="AI1510">
        <v>16.68</v>
      </c>
      <c r="AJ1510">
        <v>0</v>
      </c>
      <c r="AK1510">
        <v>0</v>
      </c>
      <c r="AL1510">
        <v>0</v>
      </c>
      <c r="AM1510">
        <v>0.04</v>
      </c>
      <c r="AN1510">
        <f t="shared" si="70"/>
        <v>4</v>
      </c>
      <c r="AO1510" t="str">
        <f t="shared" si="71"/>
        <v>Wednesday</v>
      </c>
    </row>
    <row r="1511" spans="1:41" x14ac:dyDescent="0.2">
      <c r="A1511" t="s">
        <v>42</v>
      </c>
      <c r="B1511" s="1">
        <v>45686</v>
      </c>
      <c r="C1511" s="1">
        <f t="shared" si="69"/>
        <v>45688</v>
      </c>
      <c r="D1511">
        <v>20</v>
      </c>
      <c r="E1511">
        <v>27</v>
      </c>
      <c r="F1511">
        <v>1</v>
      </c>
      <c r="G1511">
        <v>1</v>
      </c>
      <c r="H1511">
        <v>3</v>
      </c>
      <c r="I1511">
        <v>0</v>
      </c>
      <c r="J1511">
        <v>0</v>
      </c>
      <c r="K1511">
        <v>10</v>
      </c>
      <c r="L1511" t="s">
        <v>42</v>
      </c>
      <c r="M1511" t="s">
        <v>38</v>
      </c>
      <c r="N1511" s="1">
        <v>45686</v>
      </c>
      <c r="O1511" s="2">
        <v>0.5818402777777778</v>
      </c>
      <c r="P1511" s="2">
        <v>0.96002314814814815</v>
      </c>
      <c r="Q1511">
        <v>9.08</v>
      </c>
      <c r="R1511">
        <v>9.08</v>
      </c>
      <c r="S1511">
        <v>1.67</v>
      </c>
      <c r="T1511">
        <v>0.44</v>
      </c>
      <c r="U1511">
        <v>0</v>
      </c>
      <c r="V1511">
        <v>0.25</v>
      </c>
      <c r="W1511">
        <v>5.22</v>
      </c>
      <c r="X1511">
        <v>1.49</v>
      </c>
      <c r="Y1511">
        <v>0</v>
      </c>
      <c r="Z1511">
        <v>0</v>
      </c>
      <c r="AA1511">
        <v>0</v>
      </c>
      <c r="AB1511">
        <v>0</v>
      </c>
      <c r="AC1511">
        <v>9.08</v>
      </c>
      <c r="AD1511">
        <v>18.36</v>
      </c>
      <c r="AE1511">
        <v>4.87</v>
      </c>
      <c r="AF1511">
        <v>0</v>
      </c>
      <c r="AG1511">
        <v>2.74</v>
      </c>
      <c r="AH1511">
        <v>57.5</v>
      </c>
      <c r="AI1511">
        <v>16.46</v>
      </c>
      <c r="AJ1511">
        <v>0</v>
      </c>
      <c r="AK1511">
        <v>0</v>
      </c>
      <c r="AL1511">
        <v>0</v>
      </c>
      <c r="AM1511">
        <v>0.05</v>
      </c>
      <c r="AN1511">
        <f t="shared" si="70"/>
        <v>4</v>
      </c>
      <c r="AO1511" t="str">
        <f t="shared" si="71"/>
        <v>Wednesday</v>
      </c>
    </row>
    <row r="1512" spans="1:41" x14ac:dyDescent="0.2">
      <c r="A1512" t="s">
        <v>43</v>
      </c>
      <c r="B1512" s="1">
        <v>45686</v>
      </c>
      <c r="C1512" s="1">
        <f t="shared" si="69"/>
        <v>45688</v>
      </c>
      <c r="D1512">
        <v>26</v>
      </c>
      <c r="E1512">
        <v>80</v>
      </c>
      <c r="F1512">
        <v>3</v>
      </c>
      <c r="G1512">
        <v>2</v>
      </c>
      <c r="H1512">
        <v>23</v>
      </c>
      <c r="I1512">
        <v>0</v>
      </c>
      <c r="J1512">
        <v>0</v>
      </c>
      <c r="K1512">
        <v>38</v>
      </c>
      <c r="L1512" t="s">
        <v>43</v>
      </c>
      <c r="M1512" t="s">
        <v>38</v>
      </c>
      <c r="N1512" s="1">
        <v>45686</v>
      </c>
      <c r="O1512" s="2">
        <v>0.58292824074074079</v>
      </c>
      <c r="P1512" s="2">
        <v>0.97835648148148147</v>
      </c>
      <c r="Q1512">
        <v>9.48</v>
      </c>
      <c r="R1512">
        <v>9.41</v>
      </c>
      <c r="S1512">
        <v>1.1000000000000001</v>
      </c>
      <c r="T1512">
        <v>0.35</v>
      </c>
      <c r="U1512">
        <v>0</v>
      </c>
      <c r="V1512">
        <v>0.42</v>
      </c>
      <c r="W1512">
        <v>5.73</v>
      </c>
      <c r="X1512">
        <v>1.38</v>
      </c>
      <c r="Y1512">
        <v>0.22</v>
      </c>
      <c r="Z1512">
        <v>0</v>
      </c>
      <c r="AA1512">
        <v>0.2</v>
      </c>
      <c r="AB1512">
        <v>0.01</v>
      </c>
      <c r="AC1512">
        <v>9.41</v>
      </c>
      <c r="AD1512">
        <v>11.7</v>
      </c>
      <c r="AE1512">
        <v>3.71</v>
      </c>
      <c r="AF1512">
        <v>0</v>
      </c>
      <c r="AG1512">
        <v>4.47</v>
      </c>
      <c r="AH1512">
        <v>60.92</v>
      </c>
      <c r="AI1512">
        <v>14.68</v>
      </c>
      <c r="AJ1512">
        <v>2.2999999999999998</v>
      </c>
      <c r="AK1512">
        <v>0</v>
      </c>
      <c r="AL1512">
        <v>2.1</v>
      </c>
      <c r="AM1512">
        <v>0.14000000000000001</v>
      </c>
      <c r="AN1512">
        <f t="shared" si="70"/>
        <v>4</v>
      </c>
      <c r="AO1512" t="str">
        <f t="shared" si="71"/>
        <v>Wednesday</v>
      </c>
    </row>
    <row r="1513" spans="1:41" x14ac:dyDescent="0.2">
      <c r="B1513" s="1">
        <v>45686</v>
      </c>
      <c r="C1513" s="1">
        <f t="shared" si="69"/>
        <v>45688</v>
      </c>
      <c r="D1513">
        <v>870</v>
      </c>
      <c r="E1513">
        <v>0</v>
      </c>
      <c r="F1513">
        <v>0</v>
      </c>
      <c r="G1513">
        <v>0</v>
      </c>
      <c r="H1513">
        <v>0</v>
      </c>
      <c r="I1513">
        <v>0</v>
      </c>
      <c r="J1513">
        <v>0</v>
      </c>
      <c r="K1513">
        <v>0</v>
      </c>
      <c r="AN1513">
        <f t="shared" si="70"/>
        <v>4</v>
      </c>
      <c r="AO1513" t="str">
        <f t="shared" si="71"/>
        <v>Wednesday</v>
      </c>
    </row>
    <row r="1514" spans="1:41" x14ac:dyDescent="0.2">
      <c r="A1514" t="s">
        <v>37</v>
      </c>
      <c r="B1514" s="1">
        <v>45685</v>
      </c>
      <c r="C1514" s="1">
        <f t="shared" si="69"/>
        <v>45688</v>
      </c>
      <c r="D1514">
        <v>35</v>
      </c>
      <c r="E1514">
        <v>80</v>
      </c>
      <c r="F1514">
        <v>3</v>
      </c>
      <c r="G1514">
        <v>6</v>
      </c>
      <c r="H1514">
        <v>3</v>
      </c>
      <c r="I1514">
        <v>0</v>
      </c>
      <c r="J1514">
        <v>2</v>
      </c>
      <c r="K1514">
        <v>45</v>
      </c>
      <c r="L1514" t="s">
        <v>37</v>
      </c>
      <c r="M1514" t="s">
        <v>38</v>
      </c>
      <c r="N1514" s="1">
        <v>45685</v>
      </c>
      <c r="O1514" s="2">
        <v>0.58519675925925929</v>
      </c>
      <c r="P1514" s="2">
        <v>0.95861111111111108</v>
      </c>
      <c r="Q1514">
        <v>8.9700000000000006</v>
      </c>
      <c r="R1514">
        <v>8.02</v>
      </c>
      <c r="S1514">
        <v>0.99</v>
      </c>
      <c r="T1514">
        <v>0.34</v>
      </c>
      <c r="U1514">
        <v>0</v>
      </c>
      <c r="V1514">
        <v>0.5</v>
      </c>
      <c r="W1514">
        <v>5.91</v>
      </c>
      <c r="X1514">
        <v>0.27</v>
      </c>
      <c r="Y1514">
        <v>0</v>
      </c>
      <c r="Z1514">
        <v>0</v>
      </c>
      <c r="AA1514">
        <v>0</v>
      </c>
      <c r="AB1514">
        <v>0.02</v>
      </c>
      <c r="AC1514">
        <v>8.02</v>
      </c>
      <c r="AD1514">
        <v>12.37</v>
      </c>
      <c r="AE1514">
        <v>4.24</v>
      </c>
      <c r="AF1514">
        <v>0</v>
      </c>
      <c r="AG1514">
        <v>6.24</v>
      </c>
      <c r="AH1514">
        <v>73.61</v>
      </c>
      <c r="AI1514">
        <v>3.32</v>
      </c>
      <c r="AJ1514">
        <v>0</v>
      </c>
      <c r="AK1514">
        <v>0</v>
      </c>
      <c r="AL1514">
        <v>0</v>
      </c>
      <c r="AM1514">
        <v>0.22</v>
      </c>
      <c r="AN1514">
        <f t="shared" si="70"/>
        <v>3</v>
      </c>
      <c r="AO1514" t="str">
        <f t="shared" si="71"/>
        <v>Tuesday</v>
      </c>
    </row>
    <row r="1515" spans="1:41" x14ac:dyDescent="0.2">
      <c r="A1515" t="s">
        <v>39</v>
      </c>
      <c r="B1515" s="1">
        <v>45685</v>
      </c>
      <c r="C1515" s="1">
        <f t="shared" si="69"/>
        <v>45688</v>
      </c>
      <c r="D1515">
        <v>30</v>
      </c>
      <c r="E1515">
        <v>72</v>
      </c>
      <c r="F1515">
        <v>4</v>
      </c>
      <c r="G1515">
        <v>6</v>
      </c>
      <c r="H1515">
        <v>16</v>
      </c>
      <c r="I1515">
        <v>0</v>
      </c>
      <c r="J1515">
        <v>0</v>
      </c>
      <c r="K1515">
        <v>30</v>
      </c>
      <c r="L1515" t="s">
        <v>39</v>
      </c>
      <c r="M1515" t="s">
        <v>38</v>
      </c>
      <c r="N1515" s="1">
        <v>45685</v>
      </c>
      <c r="O1515" s="2">
        <v>0.58343750000000005</v>
      </c>
      <c r="P1515" s="2">
        <v>0.9584259259259259</v>
      </c>
      <c r="Q1515">
        <v>9</v>
      </c>
      <c r="R1515">
        <v>9</v>
      </c>
      <c r="S1515">
        <v>1.75</v>
      </c>
      <c r="T1515">
        <v>0.38</v>
      </c>
      <c r="U1515">
        <v>0</v>
      </c>
      <c r="V1515">
        <v>7.0000000000000007E-2</v>
      </c>
      <c r="W1515">
        <v>5.32</v>
      </c>
      <c r="X1515">
        <v>1.49</v>
      </c>
      <c r="Y1515">
        <v>0</v>
      </c>
      <c r="Z1515">
        <v>0</v>
      </c>
      <c r="AA1515">
        <v>0</v>
      </c>
      <c r="AB1515">
        <v>0</v>
      </c>
      <c r="AC1515">
        <v>9</v>
      </c>
      <c r="AD1515">
        <v>19.43</v>
      </c>
      <c r="AE1515">
        <v>4.17</v>
      </c>
      <c r="AF1515">
        <v>0</v>
      </c>
      <c r="AG1515">
        <v>0.73</v>
      </c>
      <c r="AH1515">
        <v>59.1</v>
      </c>
      <c r="AI1515">
        <v>16.52</v>
      </c>
      <c r="AJ1515">
        <v>0</v>
      </c>
      <c r="AK1515">
        <v>0</v>
      </c>
      <c r="AL1515">
        <v>0</v>
      </c>
      <c r="AM1515">
        <v>0.05</v>
      </c>
      <c r="AN1515">
        <f t="shared" si="70"/>
        <v>3</v>
      </c>
      <c r="AO1515" t="str">
        <f t="shared" si="71"/>
        <v>Tuesday</v>
      </c>
    </row>
    <row r="1516" spans="1:41" x14ac:dyDescent="0.2">
      <c r="A1516" t="s">
        <v>56</v>
      </c>
      <c r="B1516" s="1">
        <v>45685</v>
      </c>
      <c r="C1516" s="1">
        <f t="shared" si="69"/>
        <v>45688</v>
      </c>
      <c r="D1516">
        <v>35</v>
      </c>
      <c r="E1516">
        <v>52</v>
      </c>
      <c r="F1516">
        <v>3</v>
      </c>
      <c r="G1516">
        <v>4</v>
      </c>
      <c r="H1516">
        <v>12</v>
      </c>
      <c r="I1516">
        <v>0</v>
      </c>
      <c r="J1516">
        <v>0</v>
      </c>
      <c r="K1516">
        <v>15</v>
      </c>
      <c r="L1516" t="s">
        <v>56</v>
      </c>
      <c r="M1516" t="s">
        <v>38</v>
      </c>
      <c r="N1516" s="1">
        <v>45685</v>
      </c>
      <c r="O1516" s="2">
        <v>0.58327546296296295</v>
      </c>
      <c r="P1516" s="2">
        <v>0.9584259259259259</v>
      </c>
      <c r="Q1516">
        <v>9.02</v>
      </c>
      <c r="R1516">
        <v>9.01</v>
      </c>
      <c r="S1516">
        <v>1.1200000000000001</v>
      </c>
      <c r="T1516">
        <v>0</v>
      </c>
      <c r="U1516">
        <v>0</v>
      </c>
      <c r="V1516">
        <v>0.03</v>
      </c>
      <c r="W1516">
        <v>6.35</v>
      </c>
      <c r="X1516">
        <v>1.5</v>
      </c>
      <c r="Y1516">
        <v>0</v>
      </c>
      <c r="Z1516">
        <v>0</v>
      </c>
      <c r="AA1516">
        <v>0</v>
      </c>
      <c r="AB1516">
        <v>0.01</v>
      </c>
      <c r="AC1516">
        <v>9.01</v>
      </c>
      <c r="AD1516">
        <v>12.42</v>
      </c>
      <c r="AE1516">
        <v>0</v>
      </c>
      <c r="AF1516">
        <v>0</v>
      </c>
      <c r="AG1516">
        <v>0.28999999999999998</v>
      </c>
      <c r="AH1516">
        <v>70.540000000000006</v>
      </c>
      <c r="AI1516">
        <v>16.7</v>
      </c>
      <c r="AJ1516">
        <v>0</v>
      </c>
      <c r="AK1516">
        <v>0</v>
      </c>
      <c r="AL1516">
        <v>0</v>
      </c>
      <c r="AM1516">
        <v>0.06</v>
      </c>
      <c r="AN1516">
        <f t="shared" si="70"/>
        <v>3</v>
      </c>
      <c r="AO1516" t="str">
        <f t="shared" si="71"/>
        <v>Tuesday</v>
      </c>
    </row>
    <row r="1517" spans="1:41" x14ac:dyDescent="0.2">
      <c r="A1517" t="s">
        <v>41</v>
      </c>
      <c r="B1517" s="1">
        <v>45685</v>
      </c>
      <c r="C1517" s="1">
        <f t="shared" si="69"/>
        <v>45688</v>
      </c>
      <c r="D1517">
        <v>42</v>
      </c>
      <c r="E1517">
        <v>72</v>
      </c>
      <c r="F1517">
        <v>8</v>
      </c>
      <c r="G1517">
        <v>8</v>
      </c>
      <c r="H1517">
        <v>12</v>
      </c>
      <c r="I1517">
        <v>0</v>
      </c>
      <c r="J1517">
        <v>1</v>
      </c>
      <c r="K1517">
        <v>24</v>
      </c>
      <c r="L1517" t="s">
        <v>41</v>
      </c>
      <c r="M1517" t="s">
        <v>38</v>
      </c>
      <c r="N1517" s="1">
        <v>45685</v>
      </c>
      <c r="O1517" s="2">
        <v>0.58429398148148148</v>
      </c>
      <c r="P1517" s="2">
        <v>0.95809027777777778</v>
      </c>
      <c r="Q1517">
        <v>8.9700000000000006</v>
      </c>
      <c r="R1517">
        <v>9.27</v>
      </c>
      <c r="S1517">
        <v>2.39</v>
      </c>
      <c r="T1517">
        <v>0.15</v>
      </c>
      <c r="U1517">
        <v>0</v>
      </c>
      <c r="V1517">
        <v>0.45</v>
      </c>
      <c r="W1517">
        <v>4.8499999999999996</v>
      </c>
      <c r="X1517">
        <v>1.43</v>
      </c>
      <c r="Y1517">
        <v>0</v>
      </c>
      <c r="Z1517">
        <v>0</v>
      </c>
      <c r="AA1517">
        <v>0</v>
      </c>
      <c r="AB1517">
        <v>0</v>
      </c>
      <c r="AC1517">
        <v>9.27</v>
      </c>
      <c r="AD1517">
        <v>25.75</v>
      </c>
      <c r="AE1517">
        <v>1.66</v>
      </c>
      <c r="AF1517">
        <v>0</v>
      </c>
      <c r="AG1517">
        <v>4.83</v>
      </c>
      <c r="AH1517">
        <v>52.33</v>
      </c>
      <c r="AI1517">
        <v>15.39</v>
      </c>
      <c r="AJ1517">
        <v>0</v>
      </c>
      <c r="AK1517">
        <v>0</v>
      </c>
      <c r="AL1517">
        <v>0</v>
      </c>
      <c r="AM1517">
        <v>0.04</v>
      </c>
      <c r="AN1517">
        <f t="shared" si="70"/>
        <v>3</v>
      </c>
      <c r="AO1517" t="str">
        <f t="shared" si="71"/>
        <v>Tuesday</v>
      </c>
    </row>
    <row r="1518" spans="1:41" x14ac:dyDescent="0.2">
      <c r="A1518" t="s">
        <v>42</v>
      </c>
      <c r="B1518" s="1">
        <v>45685</v>
      </c>
      <c r="C1518" s="1">
        <f t="shared" si="69"/>
        <v>45688</v>
      </c>
      <c r="D1518">
        <v>14</v>
      </c>
      <c r="E1518">
        <v>20</v>
      </c>
      <c r="F1518">
        <v>3</v>
      </c>
      <c r="G1518">
        <v>2</v>
      </c>
      <c r="H1518">
        <v>1</v>
      </c>
      <c r="I1518">
        <v>0</v>
      </c>
      <c r="J1518">
        <v>0</v>
      </c>
      <c r="K1518">
        <v>9</v>
      </c>
      <c r="L1518" t="s">
        <v>42</v>
      </c>
      <c r="M1518" t="s">
        <v>38</v>
      </c>
      <c r="N1518" s="1">
        <v>45685</v>
      </c>
      <c r="O1518" s="2">
        <v>0.66569444444444448</v>
      </c>
      <c r="P1518" s="2">
        <v>0.96060185185185187</v>
      </c>
      <c r="Q1518">
        <v>7.08</v>
      </c>
      <c r="R1518">
        <v>7.08</v>
      </c>
      <c r="S1518">
        <v>1.53</v>
      </c>
      <c r="T1518">
        <v>0.42</v>
      </c>
      <c r="U1518">
        <v>0</v>
      </c>
      <c r="V1518">
        <v>0.31</v>
      </c>
      <c r="W1518">
        <v>3.57</v>
      </c>
      <c r="X1518">
        <v>1.24</v>
      </c>
      <c r="Y1518">
        <v>0</v>
      </c>
      <c r="Z1518">
        <v>0</v>
      </c>
      <c r="AA1518">
        <v>0</v>
      </c>
      <c r="AB1518">
        <v>0</v>
      </c>
      <c r="AC1518">
        <v>7.08</v>
      </c>
      <c r="AD1518">
        <v>21.68</v>
      </c>
      <c r="AE1518">
        <v>5.94</v>
      </c>
      <c r="AF1518">
        <v>0</v>
      </c>
      <c r="AG1518">
        <v>4.3099999999999996</v>
      </c>
      <c r="AH1518">
        <v>50.45</v>
      </c>
      <c r="AI1518">
        <v>17.55</v>
      </c>
      <c r="AJ1518">
        <v>0</v>
      </c>
      <c r="AK1518">
        <v>0</v>
      </c>
      <c r="AL1518">
        <v>0</v>
      </c>
      <c r="AM1518">
        <v>7.0000000000000007E-2</v>
      </c>
      <c r="AN1518">
        <f t="shared" si="70"/>
        <v>3</v>
      </c>
      <c r="AO1518" t="str">
        <f t="shared" si="71"/>
        <v>Tuesday</v>
      </c>
    </row>
    <row r="1519" spans="1:41" x14ac:dyDescent="0.2">
      <c r="A1519" t="s">
        <v>43</v>
      </c>
      <c r="B1519" s="1">
        <v>45685</v>
      </c>
      <c r="C1519" s="1">
        <f t="shared" si="69"/>
        <v>45688</v>
      </c>
      <c r="D1519">
        <v>35</v>
      </c>
      <c r="E1519">
        <v>135</v>
      </c>
      <c r="F1519">
        <v>10</v>
      </c>
      <c r="G1519">
        <v>17</v>
      </c>
      <c r="H1519">
        <v>54</v>
      </c>
      <c r="I1519">
        <v>1</v>
      </c>
      <c r="J1519">
        <v>0</v>
      </c>
      <c r="K1519">
        <v>42</v>
      </c>
      <c r="L1519" t="s">
        <v>43</v>
      </c>
      <c r="M1519" t="s">
        <v>38</v>
      </c>
      <c r="N1519" s="1">
        <v>45685</v>
      </c>
      <c r="O1519" s="2">
        <v>0.58292824074074079</v>
      </c>
      <c r="P1519" s="2">
        <v>0.95912037037037035</v>
      </c>
      <c r="Q1519">
        <v>9.0299999999999994</v>
      </c>
      <c r="R1519">
        <v>9.1999999999999993</v>
      </c>
      <c r="S1519">
        <v>3.6</v>
      </c>
      <c r="T1519">
        <v>0.2</v>
      </c>
      <c r="U1519">
        <v>0</v>
      </c>
      <c r="V1519">
        <v>0.51</v>
      </c>
      <c r="W1519">
        <v>3.17</v>
      </c>
      <c r="X1519">
        <v>1.48</v>
      </c>
      <c r="Y1519">
        <v>0.24</v>
      </c>
      <c r="Z1519">
        <v>0</v>
      </c>
      <c r="AA1519">
        <v>0</v>
      </c>
      <c r="AB1519">
        <v>0</v>
      </c>
      <c r="AC1519">
        <v>9.1999999999999993</v>
      </c>
      <c r="AD1519">
        <v>39.130000000000003</v>
      </c>
      <c r="AE1519">
        <v>2.13</v>
      </c>
      <c r="AF1519">
        <v>0</v>
      </c>
      <c r="AG1519">
        <v>5.53</v>
      </c>
      <c r="AH1519">
        <v>34.47</v>
      </c>
      <c r="AI1519">
        <v>16.12</v>
      </c>
      <c r="AJ1519">
        <v>2.58</v>
      </c>
      <c r="AK1519">
        <v>0</v>
      </c>
      <c r="AL1519">
        <v>0</v>
      </c>
      <c r="AM1519">
        <v>0.04</v>
      </c>
      <c r="AN1519">
        <f t="shared" si="70"/>
        <v>3</v>
      </c>
      <c r="AO1519" t="str">
        <f t="shared" si="71"/>
        <v>Tuesday</v>
      </c>
    </row>
    <row r="1520" spans="1:41" x14ac:dyDescent="0.2">
      <c r="B1520" s="1">
        <v>45685</v>
      </c>
      <c r="C1520" s="1">
        <f t="shared" si="69"/>
        <v>45688</v>
      </c>
      <c r="D1520">
        <v>884</v>
      </c>
      <c r="E1520">
        <v>0</v>
      </c>
      <c r="F1520">
        <v>0</v>
      </c>
      <c r="G1520">
        <v>0</v>
      </c>
      <c r="H1520">
        <v>0</v>
      </c>
      <c r="I1520">
        <v>0</v>
      </c>
      <c r="J1520">
        <v>0</v>
      </c>
      <c r="K1520">
        <v>0</v>
      </c>
      <c r="AN1520">
        <f t="shared" si="70"/>
        <v>3</v>
      </c>
      <c r="AO1520" t="str">
        <f t="shared" si="71"/>
        <v>Tuesday</v>
      </c>
    </row>
    <row r="1521" spans="1:41" x14ac:dyDescent="0.2">
      <c r="A1521" t="s">
        <v>37</v>
      </c>
      <c r="B1521" s="1">
        <v>45684</v>
      </c>
      <c r="C1521" s="1">
        <f t="shared" si="69"/>
        <v>45688</v>
      </c>
      <c r="D1521">
        <v>36</v>
      </c>
      <c r="E1521">
        <v>79</v>
      </c>
      <c r="F1521">
        <v>6</v>
      </c>
      <c r="G1521">
        <v>12</v>
      </c>
      <c r="H1521">
        <v>7</v>
      </c>
      <c r="I1521">
        <v>0</v>
      </c>
      <c r="J1521">
        <v>7</v>
      </c>
      <c r="K1521">
        <v>36</v>
      </c>
      <c r="L1521" t="s">
        <v>37</v>
      </c>
      <c r="M1521" t="s">
        <v>38</v>
      </c>
      <c r="N1521" s="1">
        <v>45684</v>
      </c>
      <c r="O1521" s="2">
        <v>0.58469907407407407</v>
      </c>
      <c r="P1521" s="2">
        <v>0.95840277777777783</v>
      </c>
      <c r="Q1521">
        <v>8.98</v>
      </c>
      <c r="R1521">
        <v>8.2799999999999994</v>
      </c>
      <c r="S1521">
        <v>1.19</v>
      </c>
      <c r="T1521">
        <v>0.35</v>
      </c>
      <c r="U1521">
        <v>0</v>
      </c>
      <c r="V1521">
        <v>0.62</v>
      </c>
      <c r="W1521">
        <v>5.58</v>
      </c>
      <c r="X1521">
        <v>0.52</v>
      </c>
      <c r="Y1521">
        <v>0</v>
      </c>
      <c r="Z1521">
        <v>0</v>
      </c>
      <c r="AA1521">
        <v>0</v>
      </c>
      <c r="AB1521">
        <v>0.01</v>
      </c>
      <c r="AC1521">
        <v>8.2799999999999994</v>
      </c>
      <c r="AD1521">
        <v>14.43</v>
      </c>
      <c r="AE1521">
        <v>4.18</v>
      </c>
      <c r="AF1521">
        <v>0</v>
      </c>
      <c r="AG1521">
        <v>7.45</v>
      </c>
      <c r="AH1521">
        <v>67.45</v>
      </c>
      <c r="AI1521">
        <v>6.32</v>
      </c>
      <c r="AJ1521">
        <v>0</v>
      </c>
      <c r="AK1521">
        <v>0</v>
      </c>
      <c r="AL1521">
        <v>0</v>
      </c>
      <c r="AM1521">
        <v>0.17</v>
      </c>
      <c r="AN1521">
        <f t="shared" si="70"/>
        <v>2</v>
      </c>
      <c r="AO1521" t="str">
        <f t="shared" si="71"/>
        <v>Monday</v>
      </c>
    </row>
    <row r="1522" spans="1:41" x14ac:dyDescent="0.2">
      <c r="A1522" t="s">
        <v>39</v>
      </c>
      <c r="B1522" s="1">
        <v>45684</v>
      </c>
      <c r="C1522" s="1">
        <f t="shared" si="69"/>
        <v>45688</v>
      </c>
      <c r="D1522">
        <v>24</v>
      </c>
      <c r="E1522">
        <v>68</v>
      </c>
      <c r="F1522">
        <v>5</v>
      </c>
      <c r="G1522">
        <v>6</v>
      </c>
      <c r="H1522">
        <v>20</v>
      </c>
      <c r="I1522">
        <v>0</v>
      </c>
      <c r="J1522">
        <v>0</v>
      </c>
      <c r="K1522">
        <v>35</v>
      </c>
      <c r="L1522" t="s">
        <v>39</v>
      </c>
      <c r="M1522" t="s">
        <v>38</v>
      </c>
      <c r="N1522" s="1">
        <v>45684</v>
      </c>
      <c r="O1522" s="2">
        <v>0.58299768518518513</v>
      </c>
      <c r="P1522" s="2">
        <v>0.95837962962962964</v>
      </c>
      <c r="Q1522">
        <v>9.02</v>
      </c>
      <c r="R1522">
        <v>9.01</v>
      </c>
      <c r="S1522">
        <v>1.49</v>
      </c>
      <c r="T1522">
        <v>0.25</v>
      </c>
      <c r="U1522">
        <v>0</v>
      </c>
      <c r="V1522">
        <v>0.05</v>
      </c>
      <c r="W1522">
        <v>5.24</v>
      </c>
      <c r="X1522">
        <v>1.49</v>
      </c>
      <c r="Y1522">
        <v>0.48</v>
      </c>
      <c r="Z1522">
        <v>0</v>
      </c>
      <c r="AA1522">
        <v>0</v>
      </c>
      <c r="AB1522">
        <v>0.01</v>
      </c>
      <c r="AC1522">
        <v>9.01</v>
      </c>
      <c r="AD1522">
        <v>16.57</v>
      </c>
      <c r="AE1522">
        <v>2.77</v>
      </c>
      <c r="AF1522">
        <v>0</v>
      </c>
      <c r="AG1522">
        <v>0.52</v>
      </c>
      <c r="AH1522">
        <v>58.18</v>
      </c>
      <c r="AI1522">
        <v>16.489999999999998</v>
      </c>
      <c r="AJ1522">
        <v>5.32</v>
      </c>
      <c r="AK1522">
        <v>0</v>
      </c>
      <c r="AL1522">
        <v>0</v>
      </c>
      <c r="AM1522">
        <v>0.15</v>
      </c>
      <c r="AN1522">
        <f t="shared" si="70"/>
        <v>2</v>
      </c>
      <c r="AO1522" t="str">
        <f t="shared" si="71"/>
        <v>Monday</v>
      </c>
    </row>
    <row r="1523" spans="1:41" x14ac:dyDescent="0.2">
      <c r="A1523" t="s">
        <v>56</v>
      </c>
      <c r="B1523" s="1">
        <v>45684</v>
      </c>
      <c r="C1523" s="1">
        <f t="shared" si="69"/>
        <v>45688</v>
      </c>
      <c r="D1523">
        <v>31</v>
      </c>
      <c r="E1523">
        <v>40</v>
      </c>
      <c r="F1523">
        <v>6</v>
      </c>
      <c r="G1523">
        <v>6</v>
      </c>
      <c r="H1523">
        <v>6</v>
      </c>
      <c r="I1523">
        <v>0</v>
      </c>
      <c r="J1523">
        <v>0</v>
      </c>
      <c r="K1523">
        <v>17</v>
      </c>
      <c r="L1523" t="s">
        <v>56</v>
      </c>
      <c r="M1523" t="s">
        <v>38</v>
      </c>
      <c r="N1523" s="1">
        <v>45684</v>
      </c>
      <c r="O1523" s="2">
        <v>0.58287037037037037</v>
      </c>
      <c r="P1523" s="2">
        <v>0.9584259259259259</v>
      </c>
      <c r="Q1523">
        <v>9.02</v>
      </c>
      <c r="R1523">
        <v>9.01</v>
      </c>
      <c r="S1523">
        <v>1.71</v>
      </c>
      <c r="T1523">
        <v>0.25</v>
      </c>
      <c r="U1523">
        <v>0</v>
      </c>
      <c r="V1523">
        <v>0.03</v>
      </c>
      <c r="W1523">
        <v>5.48</v>
      </c>
      <c r="X1523">
        <v>1.51</v>
      </c>
      <c r="Y1523">
        <v>0</v>
      </c>
      <c r="Z1523">
        <v>0</v>
      </c>
      <c r="AA1523">
        <v>0</v>
      </c>
      <c r="AB1523">
        <v>0.02</v>
      </c>
      <c r="AC1523">
        <v>9.01</v>
      </c>
      <c r="AD1523">
        <v>18.989999999999998</v>
      </c>
      <c r="AE1523">
        <v>2.8</v>
      </c>
      <c r="AF1523">
        <v>0</v>
      </c>
      <c r="AG1523">
        <v>0.39</v>
      </c>
      <c r="AH1523">
        <v>60.85</v>
      </c>
      <c r="AI1523">
        <v>16.8</v>
      </c>
      <c r="AJ1523">
        <v>0</v>
      </c>
      <c r="AK1523">
        <v>0</v>
      </c>
      <c r="AL1523">
        <v>0</v>
      </c>
      <c r="AM1523">
        <v>0.18</v>
      </c>
      <c r="AN1523">
        <f t="shared" si="70"/>
        <v>2</v>
      </c>
      <c r="AO1523" t="str">
        <f t="shared" si="71"/>
        <v>Monday</v>
      </c>
    </row>
    <row r="1524" spans="1:41" x14ac:dyDescent="0.2">
      <c r="A1524" t="s">
        <v>41</v>
      </c>
      <c r="B1524" s="1">
        <v>45684</v>
      </c>
      <c r="C1524" s="1">
        <f t="shared" si="69"/>
        <v>45688</v>
      </c>
      <c r="D1524">
        <v>37</v>
      </c>
      <c r="E1524">
        <v>62</v>
      </c>
      <c r="F1524">
        <v>6</v>
      </c>
      <c r="G1524">
        <v>10</v>
      </c>
      <c r="H1524">
        <v>4</v>
      </c>
      <c r="I1524">
        <v>0</v>
      </c>
      <c r="J1524">
        <v>1</v>
      </c>
      <c r="K1524">
        <v>30</v>
      </c>
      <c r="L1524" t="s">
        <v>41</v>
      </c>
      <c r="M1524" t="s">
        <v>38</v>
      </c>
      <c r="N1524" s="1">
        <v>45684</v>
      </c>
      <c r="O1524" s="2">
        <v>0.58552083333333338</v>
      </c>
      <c r="P1524" s="2">
        <v>0.95797453703703705</v>
      </c>
      <c r="Q1524">
        <v>8.93</v>
      </c>
      <c r="R1524">
        <v>8.83</v>
      </c>
      <c r="S1524">
        <v>1.75</v>
      </c>
      <c r="T1524">
        <v>0.24</v>
      </c>
      <c r="U1524">
        <v>0</v>
      </c>
      <c r="V1524">
        <v>0.48</v>
      </c>
      <c r="W1524">
        <v>5.03</v>
      </c>
      <c r="X1524">
        <v>1.32</v>
      </c>
      <c r="Y1524">
        <v>0</v>
      </c>
      <c r="Z1524">
        <v>0</v>
      </c>
      <c r="AA1524">
        <v>0</v>
      </c>
      <c r="AB1524">
        <v>0.01</v>
      </c>
      <c r="AC1524">
        <v>8.83</v>
      </c>
      <c r="AD1524">
        <v>19.87</v>
      </c>
      <c r="AE1524">
        <v>2.68</v>
      </c>
      <c r="AF1524">
        <v>0</v>
      </c>
      <c r="AG1524">
        <v>5.42</v>
      </c>
      <c r="AH1524">
        <v>56.95</v>
      </c>
      <c r="AI1524">
        <v>14.99</v>
      </c>
      <c r="AJ1524">
        <v>0</v>
      </c>
      <c r="AK1524">
        <v>0</v>
      </c>
      <c r="AL1524">
        <v>0</v>
      </c>
      <c r="AM1524">
        <v>0.09</v>
      </c>
      <c r="AN1524">
        <f t="shared" si="70"/>
        <v>2</v>
      </c>
      <c r="AO1524" t="str">
        <f t="shared" si="71"/>
        <v>Monday</v>
      </c>
    </row>
    <row r="1525" spans="1:41" x14ac:dyDescent="0.2">
      <c r="A1525" t="s">
        <v>42</v>
      </c>
      <c r="B1525" s="1">
        <v>45684</v>
      </c>
      <c r="C1525" s="1">
        <f t="shared" si="69"/>
        <v>45688</v>
      </c>
      <c r="D1525">
        <v>27</v>
      </c>
      <c r="E1525">
        <v>38</v>
      </c>
      <c r="F1525">
        <v>3</v>
      </c>
      <c r="G1525">
        <v>7</v>
      </c>
      <c r="H1525">
        <v>7</v>
      </c>
      <c r="I1525">
        <v>1</v>
      </c>
      <c r="J1525">
        <v>0</v>
      </c>
      <c r="K1525">
        <v>12</v>
      </c>
      <c r="L1525" t="s">
        <v>42</v>
      </c>
      <c r="M1525" t="s">
        <v>38</v>
      </c>
      <c r="N1525" s="1">
        <v>45684</v>
      </c>
      <c r="O1525" s="2">
        <v>0.58297453703703705</v>
      </c>
      <c r="P1525" s="2">
        <v>0.97402777777777783</v>
      </c>
      <c r="Q1525">
        <v>9.3800000000000008</v>
      </c>
      <c r="R1525">
        <v>9.0299999999999994</v>
      </c>
      <c r="S1525">
        <v>1.42</v>
      </c>
      <c r="T1525">
        <v>0.56000000000000005</v>
      </c>
      <c r="U1525">
        <v>0</v>
      </c>
      <c r="V1525">
        <v>0.4</v>
      </c>
      <c r="W1525">
        <v>5.03</v>
      </c>
      <c r="X1525">
        <v>1.51</v>
      </c>
      <c r="Y1525">
        <v>0</v>
      </c>
      <c r="Z1525">
        <v>0</v>
      </c>
      <c r="AA1525">
        <v>0.1</v>
      </c>
      <c r="AB1525">
        <v>0.01</v>
      </c>
      <c r="AC1525">
        <v>9.0299999999999994</v>
      </c>
      <c r="AD1525">
        <v>15.68</v>
      </c>
      <c r="AE1525">
        <v>6.25</v>
      </c>
      <c r="AF1525">
        <v>0</v>
      </c>
      <c r="AG1525">
        <v>4.42</v>
      </c>
      <c r="AH1525">
        <v>55.76</v>
      </c>
      <c r="AI1525">
        <v>16.670000000000002</v>
      </c>
      <c r="AJ1525">
        <v>0</v>
      </c>
      <c r="AK1525">
        <v>0</v>
      </c>
      <c r="AL1525">
        <v>1.1000000000000001</v>
      </c>
      <c r="AM1525">
        <v>0.12</v>
      </c>
      <c r="AN1525">
        <f t="shared" si="70"/>
        <v>2</v>
      </c>
      <c r="AO1525" t="str">
        <f t="shared" si="71"/>
        <v>Monday</v>
      </c>
    </row>
    <row r="1526" spans="1:41" x14ac:dyDescent="0.2">
      <c r="A1526" t="s">
        <v>43</v>
      </c>
      <c r="B1526" s="1">
        <v>45684</v>
      </c>
      <c r="C1526" s="1">
        <f t="shared" si="69"/>
        <v>45688</v>
      </c>
      <c r="D1526">
        <v>35</v>
      </c>
      <c r="E1526">
        <v>106</v>
      </c>
      <c r="F1526">
        <v>4</v>
      </c>
      <c r="G1526">
        <v>13</v>
      </c>
      <c r="H1526">
        <v>9</v>
      </c>
      <c r="I1526">
        <v>0</v>
      </c>
      <c r="J1526">
        <v>1</v>
      </c>
      <c r="K1526">
        <v>54</v>
      </c>
      <c r="L1526" t="s">
        <v>43</v>
      </c>
      <c r="M1526" t="s">
        <v>38</v>
      </c>
      <c r="N1526" s="1">
        <v>45684</v>
      </c>
      <c r="O1526" s="2">
        <v>0.58276620370370369</v>
      </c>
      <c r="P1526" s="2">
        <v>0.95899305555555558</v>
      </c>
      <c r="Q1526">
        <v>9.02</v>
      </c>
      <c r="R1526">
        <v>9.0299999999999994</v>
      </c>
      <c r="S1526">
        <v>1.06</v>
      </c>
      <c r="T1526">
        <v>0.21</v>
      </c>
      <c r="U1526">
        <v>0</v>
      </c>
      <c r="V1526">
        <v>0.82</v>
      </c>
      <c r="W1526">
        <v>5.2</v>
      </c>
      <c r="X1526">
        <v>1.49</v>
      </c>
      <c r="Y1526">
        <v>0.25</v>
      </c>
      <c r="Z1526">
        <v>0</v>
      </c>
      <c r="AA1526">
        <v>0</v>
      </c>
      <c r="AB1526">
        <v>0.01</v>
      </c>
      <c r="AC1526">
        <v>9.0299999999999994</v>
      </c>
      <c r="AD1526">
        <v>11.74</v>
      </c>
      <c r="AE1526">
        <v>2.2999999999999998</v>
      </c>
      <c r="AF1526">
        <v>0</v>
      </c>
      <c r="AG1526">
        <v>9.1300000000000008</v>
      </c>
      <c r="AH1526">
        <v>57.54</v>
      </c>
      <c r="AI1526">
        <v>16.5</v>
      </c>
      <c r="AJ1526">
        <v>2.73</v>
      </c>
      <c r="AK1526">
        <v>0</v>
      </c>
      <c r="AL1526">
        <v>0</v>
      </c>
      <c r="AM1526">
        <v>0.06</v>
      </c>
      <c r="AN1526">
        <f t="shared" si="70"/>
        <v>2</v>
      </c>
      <c r="AO1526" t="str">
        <f t="shared" si="71"/>
        <v>Monday</v>
      </c>
    </row>
    <row r="1527" spans="1:41" x14ac:dyDescent="0.2">
      <c r="B1527" s="1">
        <v>45684</v>
      </c>
      <c r="C1527" s="1">
        <f t="shared" si="69"/>
        <v>45688</v>
      </c>
      <c r="D1527">
        <v>885</v>
      </c>
      <c r="E1527">
        <v>0</v>
      </c>
      <c r="F1527">
        <v>0</v>
      </c>
      <c r="G1527">
        <v>0</v>
      </c>
      <c r="H1527">
        <v>0</v>
      </c>
      <c r="I1527">
        <v>0</v>
      </c>
      <c r="J1527">
        <v>0</v>
      </c>
      <c r="K1527">
        <v>0</v>
      </c>
      <c r="AN1527">
        <f t="shared" si="70"/>
        <v>2</v>
      </c>
      <c r="AO1527" t="str">
        <f t="shared" si="71"/>
        <v>Monday</v>
      </c>
    </row>
    <row r="1528" spans="1:41" x14ac:dyDescent="0.2">
      <c r="A1528" t="s">
        <v>37</v>
      </c>
      <c r="B1528" s="1">
        <v>45681</v>
      </c>
      <c r="C1528" s="1">
        <f t="shared" si="69"/>
        <v>45688</v>
      </c>
      <c r="D1528">
        <v>17</v>
      </c>
      <c r="E1528">
        <v>42</v>
      </c>
      <c r="F1528">
        <v>6</v>
      </c>
      <c r="G1528">
        <v>3</v>
      </c>
      <c r="H1528">
        <v>0</v>
      </c>
      <c r="I1528">
        <v>0</v>
      </c>
      <c r="J1528">
        <v>0</v>
      </c>
      <c r="K1528">
        <v>30</v>
      </c>
      <c r="L1528" t="s">
        <v>37</v>
      </c>
      <c r="M1528" t="s">
        <v>38</v>
      </c>
      <c r="N1528" s="1">
        <v>45681</v>
      </c>
      <c r="O1528" s="2">
        <v>0.58432870370370371</v>
      </c>
      <c r="P1528" s="2">
        <v>0.95869212962962957</v>
      </c>
      <c r="Q1528">
        <v>8.98</v>
      </c>
      <c r="R1528">
        <v>8</v>
      </c>
      <c r="S1528">
        <v>0.84</v>
      </c>
      <c r="T1528">
        <v>0</v>
      </c>
      <c r="U1528">
        <v>0</v>
      </c>
      <c r="V1528">
        <v>0.2</v>
      </c>
      <c r="W1528">
        <v>5.0199999999999996</v>
      </c>
      <c r="X1528">
        <v>0.23</v>
      </c>
      <c r="Y1528">
        <v>1.7</v>
      </c>
      <c r="Z1528">
        <v>0</v>
      </c>
      <c r="AA1528">
        <v>0</v>
      </c>
      <c r="AB1528">
        <v>0.01</v>
      </c>
      <c r="AC1528">
        <v>8</v>
      </c>
      <c r="AD1528">
        <v>10.48</v>
      </c>
      <c r="AE1528">
        <v>0</v>
      </c>
      <c r="AF1528">
        <v>0</v>
      </c>
      <c r="AG1528">
        <v>2.52</v>
      </c>
      <c r="AH1528">
        <v>62.72</v>
      </c>
      <c r="AI1528">
        <v>2.88</v>
      </c>
      <c r="AJ1528">
        <v>21.27</v>
      </c>
      <c r="AK1528">
        <v>0</v>
      </c>
      <c r="AL1528">
        <v>0</v>
      </c>
      <c r="AM1528">
        <v>0.12</v>
      </c>
      <c r="AN1528">
        <f t="shared" si="70"/>
        <v>6</v>
      </c>
      <c r="AO1528" t="str">
        <f t="shared" si="71"/>
        <v>Friday</v>
      </c>
    </row>
    <row r="1529" spans="1:41" x14ac:dyDescent="0.2">
      <c r="A1529" t="s">
        <v>39</v>
      </c>
      <c r="B1529" s="1">
        <v>45681</v>
      </c>
      <c r="C1529" s="1">
        <f t="shared" si="69"/>
        <v>45688</v>
      </c>
      <c r="D1529">
        <v>21</v>
      </c>
      <c r="E1529">
        <v>49</v>
      </c>
      <c r="F1529">
        <v>6</v>
      </c>
      <c r="G1529">
        <v>1</v>
      </c>
      <c r="H1529">
        <v>8</v>
      </c>
      <c r="I1529">
        <v>0</v>
      </c>
      <c r="J1529">
        <v>0</v>
      </c>
      <c r="K1529">
        <v>19</v>
      </c>
      <c r="L1529" t="s">
        <v>39</v>
      </c>
      <c r="M1529" t="s">
        <v>38</v>
      </c>
      <c r="N1529" s="1">
        <v>45681</v>
      </c>
      <c r="O1529" s="2">
        <v>0.58373842592592595</v>
      </c>
      <c r="P1529" s="2">
        <v>0.96337962962962964</v>
      </c>
      <c r="Q1529">
        <v>9.1199999999999992</v>
      </c>
      <c r="R1529">
        <v>9.11</v>
      </c>
      <c r="S1529">
        <v>1.31</v>
      </c>
      <c r="T1529">
        <v>0.25</v>
      </c>
      <c r="U1529">
        <v>0</v>
      </c>
      <c r="V1529">
        <v>0.05</v>
      </c>
      <c r="W1529">
        <v>4.3099999999999996</v>
      </c>
      <c r="X1529">
        <v>1.49</v>
      </c>
      <c r="Y1529">
        <v>1.7</v>
      </c>
      <c r="Z1529">
        <v>0</v>
      </c>
      <c r="AA1529">
        <v>0</v>
      </c>
      <c r="AB1529">
        <v>0</v>
      </c>
      <c r="AC1529">
        <v>9.11</v>
      </c>
      <c r="AD1529">
        <v>14.37</v>
      </c>
      <c r="AE1529">
        <v>2.75</v>
      </c>
      <c r="AF1529">
        <v>0</v>
      </c>
      <c r="AG1529">
        <v>0.56000000000000005</v>
      </c>
      <c r="AH1529">
        <v>47.29</v>
      </c>
      <c r="AI1529">
        <v>16.36</v>
      </c>
      <c r="AJ1529">
        <v>18.62</v>
      </c>
      <c r="AK1529">
        <v>0</v>
      </c>
      <c r="AL1529">
        <v>0</v>
      </c>
      <c r="AM1529">
        <v>0.04</v>
      </c>
      <c r="AN1529">
        <f t="shared" si="70"/>
        <v>6</v>
      </c>
      <c r="AO1529" t="str">
        <f t="shared" si="71"/>
        <v>Friday</v>
      </c>
    </row>
    <row r="1530" spans="1:41" x14ac:dyDescent="0.2">
      <c r="A1530" t="s">
        <v>56</v>
      </c>
      <c r="B1530" s="1">
        <v>45681</v>
      </c>
      <c r="C1530" s="1">
        <f t="shared" si="69"/>
        <v>45688</v>
      </c>
      <c r="D1530">
        <v>21</v>
      </c>
      <c r="E1530">
        <v>30</v>
      </c>
      <c r="F1530">
        <v>2</v>
      </c>
      <c r="G1530">
        <v>1</v>
      </c>
      <c r="H1530">
        <v>6</v>
      </c>
      <c r="I1530">
        <v>0</v>
      </c>
      <c r="J1530">
        <v>0</v>
      </c>
      <c r="K1530">
        <v>15</v>
      </c>
      <c r="L1530" t="s">
        <v>56</v>
      </c>
      <c r="M1530" t="s">
        <v>38</v>
      </c>
      <c r="N1530" s="1">
        <v>45681</v>
      </c>
      <c r="O1530" s="2">
        <v>0.58340277777777783</v>
      </c>
      <c r="P1530" s="2">
        <v>0.95844907407407409</v>
      </c>
      <c r="Q1530">
        <v>9</v>
      </c>
      <c r="R1530">
        <v>9</v>
      </c>
      <c r="S1530">
        <v>0.76</v>
      </c>
      <c r="T1530">
        <v>0</v>
      </c>
      <c r="U1530">
        <v>0</v>
      </c>
      <c r="V1530">
        <v>0.01</v>
      </c>
      <c r="W1530">
        <v>5.0599999999999996</v>
      </c>
      <c r="X1530">
        <v>1.51</v>
      </c>
      <c r="Y1530">
        <v>1.65</v>
      </c>
      <c r="Z1530">
        <v>0</v>
      </c>
      <c r="AA1530">
        <v>0</v>
      </c>
      <c r="AB1530">
        <v>0.01</v>
      </c>
      <c r="AC1530">
        <v>9</v>
      </c>
      <c r="AD1530">
        <v>8.4</v>
      </c>
      <c r="AE1530">
        <v>0</v>
      </c>
      <c r="AF1530">
        <v>0</v>
      </c>
      <c r="AG1530">
        <v>0.16</v>
      </c>
      <c r="AH1530">
        <v>56.27</v>
      </c>
      <c r="AI1530">
        <v>16.739999999999998</v>
      </c>
      <c r="AJ1530">
        <v>18.34</v>
      </c>
      <c r="AK1530">
        <v>0</v>
      </c>
      <c r="AL1530">
        <v>0</v>
      </c>
      <c r="AM1530">
        <v>0.08</v>
      </c>
      <c r="AN1530">
        <f t="shared" si="70"/>
        <v>6</v>
      </c>
      <c r="AO1530" t="str">
        <f t="shared" si="71"/>
        <v>Friday</v>
      </c>
    </row>
    <row r="1531" spans="1:41" x14ac:dyDescent="0.2">
      <c r="A1531" t="s">
        <v>41</v>
      </c>
      <c r="B1531" s="1">
        <v>45681</v>
      </c>
      <c r="C1531" s="1">
        <f t="shared" si="69"/>
        <v>45688</v>
      </c>
      <c r="D1531">
        <v>25</v>
      </c>
      <c r="E1531">
        <v>55</v>
      </c>
      <c r="F1531">
        <v>10</v>
      </c>
      <c r="G1531">
        <v>4</v>
      </c>
      <c r="H1531">
        <v>2</v>
      </c>
      <c r="I1531">
        <v>0</v>
      </c>
      <c r="J1531">
        <v>0</v>
      </c>
      <c r="K1531">
        <v>23</v>
      </c>
      <c r="L1531" t="s">
        <v>41</v>
      </c>
      <c r="M1531" t="s">
        <v>38</v>
      </c>
      <c r="N1531" s="1">
        <v>45681</v>
      </c>
      <c r="O1531" s="2">
        <v>0.5866203703703704</v>
      </c>
      <c r="P1531" s="2">
        <v>0.95782407407407411</v>
      </c>
      <c r="Q1531">
        <v>8.92</v>
      </c>
      <c r="R1531">
        <v>8.92</v>
      </c>
      <c r="S1531">
        <v>0.56000000000000005</v>
      </c>
      <c r="T1531">
        <v>0.06</v>
      </c>
      <c r="U1531">
        <v>0</v>
      </c>
      <c r="V1531">
        <v>0.18</v>
      </c>
      <c r="W1531">
        <v>4.9800000000000004</v>
      </c>
      <c r="X1531">
        <v>1.49</v>
      </c>
      <c r="Y1531">
        <v>1.65</v>
      </c>
      <c r="Z1531">
        <v>0</v>
      </c>
      <c r="AA1531">
        <v>0</v>
      </c>
      <c r="AB1531">
        <v>0</v>
      </c>
      <c r="AC1531">
        <v>8.92</v>
      </c>
      <c r="AD1531">
        <v>6.26</v>
      </c>
      <c r="AE1531">
        <v>0.69</v>
      </c>
      <c r="AF1531">
        <v>0</v>
      </c>
      <c r="AG1531">
        <v>2.0299999999999998</v>
      </c>
      <c r="AH1531">
        <v>55.83</v>
      </c>
      <c r="AI1531">
        <v>16.7</v>
      </c>
      <c r="AJ1531">
        <v>18.45</v>
      </c>
      <c r="AK1531">
        <v>0</v>
      </c>
      <c r="AL1531">
        <v>0</v>
      </c>
      <c r="AM1531">
        <v>0.05</v>
      </c>
      <c r="AN1531">
        <f t="shared" si="70"/>
        <v>6</v>
      </c>
      <c r="AO1531" t="str">
        <f t="shared" si="71"/>
        <v>Friday</v>
      </c>
    </row>
    <row r="1532" spans="1:41" x14ac:dyDescent="0.2">
      <c r="A1532" t="s">
        <v>42</v>
      </c>
      <c r="B1532" s="1">
        <v>45681</v>
      </c>
      <c r="C1532" s="1">
        <f t="shared" si="69"/>
        <v>45688</v>
      </c>
      <c r="D1532">
        <v>22</v>
      </c>
      <c r="E1532">
        <v>27</v>
      </c>
      <c r="F1532">
        <v>3</v>
      </c>
      <c r="G1532">
        <v>0</v>
      </c>
      <c r="H1532">
        <v>0</v>
      </c>
      <c r="I1532">
        <v>0</v>
      </c>
      <c r="J1532">
        <v>0</v>
      </c>
      <c r="K1532">
        <v>10</v>
      </c>
      <c r="L1532" t="s">
        <v>42</v>
      </c>
      <c r="M1532" t="s">
        <v>38</v>
      </c>
      <c r="N1532" s="1">
        <v>45681</v>
      </c>
      <c r="O1532" s="2">
        <v>0.58475694444444448</v>
      </c>
      <c r="P1532" s="2">
        <v>0.95870370370370372</v>
      </c>
      <c r="Q1532">
        <v>8.9700000000000006</v>
      </c>
      <c r="R1532">
        <v>8.98</v>
      </c>
      <c r="S1532">
        <v>0.93</v>
      </c>
      <c r="T1532">
        <v>0.5</v>
      </c>
      <c r="U1532">
        <v>0</v>
      </c>
      <c r="V1532">
        <v>0.15</v>
      </c>
      <c r="W1532">
        <v>4.04</v>
      </c>
      <c r="X1532">
        <v>1.49</v>
      </c>
      <c r="Y1532">
        <v>1.86</v>
      </c>
      <c r="Z1532">
        <v>0</v>
      </c>
      <c r="AA1532">
        <v>0</v>
      </c>
      <c r="AB1532">
        <v>0</v>
      </c>
      <c r="AC1532">
        <v>8.98</v>
      </c>
      <c r="AD1532">
        <v>10.41</v>
      </c>
      <c r="AE1532">
        <v>5.56</v>
      </c>
      <c r="AF1532">
        <v>0</v>
      </c>
      <c r="AG1532">
        <v>1.62</v>
      </c>
      <c r="AH1532">
        <v>45</v>
      </c>
      <c r="AI1532">
        <v>16.61</v>
      </c>
      <c r="AJ1532">
        <v>20.76</v>
      </c>
      <c r="AK1532">
        <v>0</v>
      </c>
      <c r="AL1532">
        <v>0</v>
      </c>
      <c r="AM1532">
        <v>0.05</v>
      </c>
      <c r="AN1532">
        <f t="shared" si="70"/>
        <v>6</v>
      </c>
      <c r="AO1532" t="str">
        <f t="shared" si="71"/>
        <v>Friday</v>
      </c>
    </row>
    <row r="1533" spans="1:41" x14ac:dyDescent="0.2">
      <c r="A1533" t="s">
        <v>43</v>
      </c>
      <c r="B1533" s="1">
        <v>45681</v>
      </c>
      <c r="C1533" s="1">
        <f t="shared" si="69"/>
        <v>45688</v>
      </c>
      <c r="D1533">
        <v>12</v>
      </c>
      <c r="E1533">
        <v>28</v>
      </c>
      <c r="F1533">
        <v>0</v>
      </c>
      <c r="G1533">
        <v>1</v>
      </c>
      <c r="H1533">
        <v>1</v>
      </c>
      <c r="I1533">
        <v>0</v>
      </c>
      <c r="J1533">
        <v>0</v>
      </c>
      <c r="K1533">
        <v>17</v>
      </c>
      <c r="L1533" t="s">
        <v>43</v>
      </c>
      <c r="M1533" t="s">
        <v>38</v>
      </c>
      <c r="N1533" s="1">
        <v>45681</v>
      </c>
      <c r="O1533" s="2">
        <v>0.5825231481481481</v>
      </c>
      <c r="P1533" s="2">
        <v>0.95940972222222221</v>
      </c>
      <c r="Q1533">
        <v>9.0500000000000007</v>
      </c>
      <c r="R1533">
        <v>9.0399999999999991</v>
      </c>
      <c r="S1533">
        <v>0.96</v>
      </c>
      <c r="T1533">
        <v>0.26</v>
      </c>
      <c r="U1533">
        <v>0</v>
      </c>
      <c r="V1533">
        <v>0.31</v>
      </c>
      <c r="W1533">
        <v>3.69</v>
      </c>
      <c r="X1533">
        <v>1.95</v>
      </c>
      <c r="Y1533">
        <v>1.86</v>
      </c>
      <c r="Z1533">
        <v>0</v>
      </c>
      <c r="AA1533">
        <v>0</v>
      </c>
      <c r="AB1533">
        <v>0.01</v>
      </c>
      <c r="AC1533">
        <v>9.0399999999999991</v>
      </c>
      <c r="AD1533">
        <v>10.62</v>
      </c>
      <c r="AE1533">
        <v>2.83</v>
      </c>
      <c r="AF1533">
        <v>0</v>
      </c>
      <c r="AG1533">
        <v>3.46</v>
      </c>
      <c r="AH1533">
        <v>40.82</v>
      </c>
      <c r="AI1533">
        <v>21.6</v>
      </c>
      <c r="AJ1533">
        <v>20.53</v>
      </c>
      <c r="AK1533">
        <v>0</v>
      </c>
      <c r="AL1533">
        <v>0</v>
      </c>
      <c r="AM1533">
        <v>0.13</v>
      </c>
      <c r="AN1533">
        <f t="shared" si="70"/>
        <v>6</v>
      </c>
      <c r="AO1533" t="str">
        <f t="shared" si="71"/>
        <v>Friday</v>
      </c>
    </row>
    <row r="1534" spans="1:41" x14ac:dyDescent="0.2">
      <c r="B1534" s="1">
        <v>45681</v>
      </c>
      <c r="C1534" s="1">
        <f t="shared" si="69"/>
        <v>45688</v>
      </c>
      <c r="D1534">
        <v>858</v>
      </c>
      <c r="E1534">
        <v>0</v>
      </c>
      <c r="F1534">
        <v>0</v>
      </c>
      <c r="G1534">
        <v>0</v>
      </c>
      <c r="H1534">
        <v>0</v>
      </c>
      <c r="I1534">
        <v>0</v>
      </c>
      <c r="J1534">
        <v>0</v>
      </c>
      <c r="K1534">
        <v>0</v>
      </c>
      <c r="AN1534">
        <f t="shared" si="70"/>
        <v>6</v>
      </c>
      <c r="AO1534" t="str">
        <f t="shared" si="71"/>
        <v>Friday</v>
      </c>
    </row>
    <row r="1535" spans="1:41" x14ac:dyDescent="0.2">
      <c r="A1535" t="s">
        <v>37</v>
      </c>
      <c r="B1535" s="1">
        <v>45680</v>
      </c>
      <c r="C1535" s="1">
        <f t="shared" si="69"/>
        <v>45688</v>
      </c>
      <c r="D1535">
        <v>21</v>
      </c>
      <c r="E1535">
        <v>40</v>
      </c>
      <c r="F1535">
        <v>3</v>
      </c>
      <c r="G1535">
        <v>1</v>
      </c>
      <c r="H1535">
        <v>9</v>
      </c>
      <c r="I1535">
        <v>1</v>
      </c>
      <c r="J1535">
        <v>1</v>
      </c>
      <c r="K1535">
        <v>18</v>
      </c>
      <c r="L1535" t="s">
        <v>37</v>
      </c>
      <c r="M1535" t="s">
        <v>38</v>
      </c>
      <c r="N1535" s="1">
        <v>45680</v>
      </c>
      <c r="O1535" s="2">
        <v>0.58409722222222227</v>
      </c>
      <c r="P1535" s="2">
        <v>0.95854166666666663</v>
      </c>
      <c r="Q1535">
        <v>8.98</v>
      </c>
      <c r="R1535">
        <v>8.06</v>
      </c>
      <c r="S1535">
        <v>1.3</v>
      </c>
      <c r="T1535">
        <v>0.14000000000000001</v>
      </c>
      <c r="U1535">
        <v>0</v>
      </c>
      <c r="V1535">
        <v>0.35</v>
      </c>
      <c r="W1535">
        <v>4.13</v>
      </c>
      <c r="X1535">
        <v>0.28999999999999998</v>
      </c>
      <c r="Y1535">
        <v>1.83</v>
      </c>
      <c r="Z1535">
        <v>0</v>
      </c>
      <c r="AA1535">
        <v>0</v>
      </c>
      <c r="AB1535">
        <v>0.02</v>
      </c>
      <c r="AC1535">
        <v>8.06</v>
      </c>
      <c r="AD1535">
        <v>16.170000000000002</v>
      </c>
      <c r="AE1535">
        <v>1.75</v>
      </c>
      <c r="AF1535">
        <v>0</v>
      </c>
      <c r="AG1535">
        <v>4.37</v>
      </c>
      <c r="AH1535">
        <v>51.18</v>
      </c>
      <c r="AI1535">
        <v>3.57</v>
      </c>
      <c r="AJ1535">
        <v>22.66</v>
      </c>
      <c r="AK1535">
        <v>0</v>
      </c>
      <c r="AL1535">
        <v>0</v>
      </c>
      <c r="AM1535">
        <v>0.3</v>
      </c>
      <c r="AN1535">
        <f t="shared" si="70"/>
        <v>5</v>
      </c>
      <c r="AO1535" t="str">
        <f t="shared" si="71"/>
        <v>Thursday</v>
      </c>
    </row>
    <row r="1536" spans="1:41" x14ac:dyDescent="0.2">
      <c r="A1536" t="s">
        <v>39</v>
      </c>
      <c r="B1536" s="1">
        <v>45680</v>
      </c>
      <c r="C1536" s="1">
        <f t="shared" si="69"/>
        <v>45688</v>
      </c>
      <c r="D1536">
        <v>19</v>
      </c>
      <c r="E1536">
        <v>34</v>
      </c>
      <c r="F1536">
        <v>3</v>
      </c>
      <c r="G1536">
        <v>2</v>
      </c>
      <c r="H1536">
        <v>6</v>
      </c>
      <c r="I1536">
        <v>0</v>
      </c>
      <c r="J1536">
        <v>0</v>
      </c>
      <c r="K1536">
        <v>13</v>
      </c>
      <c r="L1536" t="s">
        <v>39</v>
      </c>
      <c r="M1536" t="s">
        <v>38</v>
      </c>
      <c r="N1536" s="1">
        <v>45680</v>
      </c>
      <c r="O1536" s="2">
        <v>0.58381944444444445</v>
      </c>
      <c r="P1536" s="2">
        <v>0.95834490740740741</v>
      </c>
      <c r="Q1536">
        <v>9</v>
      </c>
      <c r="R1536">
        <v>8.99</v>
      </c>
      <c r="S1536">
        <v>1</v>
      </c>
      <c r="T1536">
        <v>0.14000000000000001</v>
      </c>
      <c r="U1536">
        <v>0</v>
      </c>
      <c r="V1536">
        <v>0.04</v>
      </c>
      <c r="W1536">
        <v>4.5</v>
      </c>
      <c r="X1536">
        <v>1.49</v>
      </c>
      <c r="Y1536">
        <v>1.82</v>
      </c>
      <c r="Z1536">
        <v>0</v>
      </c>
      <c r="AA1536">
        <v>0</v>
      </c>
      <c r="AB1536">
        <v>0</v>
      </c>
      <c r="AC1536">
        <v>8.99</v>
      </c>
      <c r="AD1536">
        <v>11.17</v>
      </c>
      <c r="AE1536">
        <v>1.55</v>
      </c>
      <c r="AF1536">
        <v>0</v>
      </c>
      <c r="AG1536">
        <v>0.48</v>
      </c>
      <c r="AH1536">
        <v>50.01</v>
      </c>
      <c r="AI1536">
        <v>16.53</v>
      </c>
      <c r="AJ1536">
        <v>20.21</v>
      </c>
      <c r="AK1536">
        <v>0</v>
      </c>
      <c r="AL1536">
        <v>0</v>
      </c>
      <c r="AM1536">
        <v>0.05</v>
      </c>
      <c r="AN1536">
        <f t="shared" si="70"/>
        <v>5</v>
      </c>
      <c r="AO1536" t="str">
        <f t="shared" si="71"/>
        <v>Thursday</v>
      </c>
    </row>
    <row r="1537" spans="1:41" x14ac:dyDescent="0.2">
      <c r="A1537" t="s">
        <v>56</v>
      </c>
      <c r="B1537" s="1">
        <v>45680</v>
      </c>
      <c r="C1537" s="1">
        <f t="shared" si="69"/>
        <v>45688</v>
      </c>
      <c r="D1537">
        <v>23</v>
      </c>
      <c r="E1537">
        <v>30</v>
      </c>
      <c r="F1537">
        <v>2</v>
      </c>
      <c r="G1537">
        <v>2</v>
      </c>
      <c r="H1537">
        <v>7</v>
      </c>
      <c r="I1537">
        <v>0</v>
      </c>
      <c r="J1537">
        <v>0</v>
      </c>
      <c r="K1537">
        <v>17</v>
      </c>
      <c r="L1537" t="s">
        <v>56</v>
      </c>
      <c r="M1537" t="s">
        <v>38</v>
      </c>
      <c r="N1537" s="1">
        <v>45680</v>
      </c>
      <c r="O1537" s="2">
        <v>0.58378472222222222</v>
      </c>
      <c r="P1537" s="2">
        <v>0.95928240740740744</v>
      </c>
      <c r="Q1537">
        <v>9.02</v>
      </c>
      <c r="R1537">
        <v>9.01</v>
      </c>
      <c r="S1537">
        <v>0.81</v>
      </c>
      <c r="T1537">
        <v>0</v>
      </c>
      <c r="U1537">
        <v>0</v>
      </c>
      <c r="V1537">
        <v>0.02</v>
      </c>
      <c r="W1537">
        <v>4.88</v>
      </c>
      <c r="X1537">
        <v>1.5</v>
      </c>
      <c r="Y1537">
        <v>1.79</v>
      </c>
      <c r="Z1537">
        <v>0</v>
      </c>
      <c r="AA1537">
        <v>0</v>
      </c>
      <c r="AB1537">
        <v>0.01</v>
      </c>
      <c r="AC1537">
        <v>9.01</v>
      </c>
      <c r="AD1537">
        <v>9.02</v>
      </c>
      <c r="AE1537">
        <v>0</v>
      </c>
      <c r="AF1537">
        <v>0</v>
      </c>
      <c r="AG1537">
        <v>0.17</v>
      </c>
      <c r="AH1537">
        <v>54.1</v>
      </c>
      <c r="AI1537">
        <v>16.68</v>
      </c>
      <c r="AJ1537">
        <v>19.899999999999999</v>
      </c>
      <c r="AK1537">
        <v>0</v>
      </c>
      <c r="AL1537">
        <v>0</v>
      </c>
      <c r="AM1537">
        <v>0.14000000000000001</v>
      </c>
      <c r="AN1537">
        <f t="shared" si="70"/>
        <v>5</v>
      </c>
      <c r="AO1537" t="str">
        <f t="shared" si="71"/>
        <v>Thursday</v>
      </c>
    </row>
    <row r="1538" spans="1:41" x14ac:dyDescent="0.2">
      <c r="A1538" t="s">
        <v>41</v>
      </c>
      <c r="B1538" s="1">
        <v>45680</v>
      </c>
      <c r="C1538" s="1">
        <f t="shared" si="69"/>
        <v>45688</v>
      </c>
      <c r="D1538">
        <v>28</v>
      </c>
      <c r="E1538">
        <v>50</v>
      </c>
      <c r="F1538">
        <v>2</v>
      </c>
      <c r="G1538">
        <v>2</v>
      </c>
      <c r="H1538">
        <v>1</v>
      </c>
      <c r="I1538">
        <v>0</v>
      </c>
      <c r="J1538">
        <v>2</v>
      </c>
      <c r="K1538">
        <v>33</v>
      </c>
      <c r="L1538" t="s">
        <v>41</v>
      </c>
      <c r="M1538" t="s">
        <v>38</v>
      </c>
      <c r="N1538" s="1">
        <v>45680</v>
      </c>
      <c r="O1538" s="2">
        <v>0.58428240740740744</v>
      </c>
      <c r="P1538" s="2">
        <v>0.95771990740740742</v>
      </c>
      <c r="Q1538">
        <v>8.9700000000000006</v>
      </c>
      <c r="R1538">
        <v>8.9600000000000009</v>
      </c>
      <c r="S1538">
        <v>0.66</v>
      </c>
      <c r="T1538">
        <v>0.13</v>
      </c>
      <c r="U1538">
        <v>0</v>
      </c>
      <c r="V1538">
        <v>0.24</v>
      </c>
      <c r="W1538">
        <v>4.6500000000000004</v>
      </c>
      <c r="X1538">
        <v>1.49</v>
      </c>
      <c r="Y1538">
        <v>1.8</v>
      </c>
      <c r="Z1538">
        <v>0</v>
      </c>
      <c r="AA1538">
        <v>0</v>
      </c>
      <c r="AB1538">
        <v>0</v>
      </c>
      <c r="AC1538">
        <v>8.9600000000000009</v>
      </c>
      <c r="AD1538">
        <v>7.34</v>
      </c>
      <c r="AE1538">
        <v>1.48</v>
      </c>
      <c r="AF1538">
        <v>0</v>
      </c>
      <c r="AG1538">
        <v>2.63</v>
      </c>
      <c r="AH1538">
        <v>51.83</v>
      </c>
      <c r="AI1538">
        <v>16.579999999999998</v>
      </c>
      <c r="AJ1538">
        <v>20.09</v>
      </c>
      <c r="AK1538">
        <v>0</v>
      </c>
      <c r="AL1538">
        <v>0</v>
      </c>
      <c r="AM1538">
        <v>0.04</v>
      </c>
      <c r="AN1538">
        <f t="shared" si="70"/>
        <v>5</v>
      </c>
      <c r="AO1538" t="str">
        <f t="shared" si="71"/>
        <v>Thursday</v>
      </c>
    </row>
    <row r="1539" spans="1:41" x14ac:dyDescent="0.2">
      <c r="A1539" t="s">
        <v>44</v>
      </c>
      <c r="B1539" s="1">
        <v>45680</v>
      </c>
      <c r="C1539" s="1">
        <f t="shared" ref="C1539:C1602" si="72">EOMONTH(B1539,0)</f>
        <v>45688</v>
      </c>
      <c r="D1539">
        <v>1</v>
      </c>
      <c r="E1539">
        <v>1</v>
      </c>
      <c r="F1539">
        <v>0</v>
      </c>
      <c r="G1539">
        <v>0</v>
      </c>
      <c r="H1539">
        <v>0</v>
      </c>
      <c r="I1539">
        <v>0</v>
      </c>
      <c r="J1539">
        <v>0</v>
      </c>
      <c r="K1539">
        <v>0</v>
      </c>
      <c r="AN1539">
        <f t="shared" ref="AN1539:AN1602" si="73">WEEKDAY(B1539,1)</f>
        <v>5</v>
      </c>
      <c r="AO1539" t="str">
        <f t="shared" ref="AO1539:AO1602" si="74">VLOOKUP(AN1539,$AY$2:$AZ$8,2,FALSE)</f>
        <v>Thursday</v>
      </c>
    </row>
    <row r="1540" spans="1:41" x14ac:dyDescent="0.2">
      <c r="A1540" t="s">
        <v>42</v>
      </c>
      <c r="B1540" s="1">
        <v>45680</v>
      </c>
      <c r="C1540" s="1">
        <f t="shared" si="72"/>
        <v>45688</v>
      </c>
      <c r="D1540">
        <v>15</v>
      </c>
      <c r="E1540">
        <v>18</v>
      </c>
      <c r="F1540">
        <v>0</v>
      </c>
      <c r="G1540">
        <v>2</v>
      </c>
      <c r="H1540">
        <v>2</v>
      </c>
      <c r="I1540">
        <v>1</v>
      </c>
      <c r="J1540">
        <v>1</v>
      </c>
      <c r="K1540">
        <v>10</v>
      </c>
      <c r="L1540" t="s">
        <v>42</v>
      </c>
      <c r="M1540" t="s">
        <v>38</v>
      </c>
      <c r="N1540" s="1">
        <v>45680</v>
      </c>
      <c r="O1540" s="2">
        <v>0.58380787037037041</v>
      </c>
      <c r="P1540" s="2">
        <v>0.99130787037037038</v>
      </c>
      <c r="Q1540">
        <v>9.7799999999999994</v>
      </c>
      <c r="R1540">
        <v>8.16</v>
      </c>
      <c r="S1540">
        <v>1.19</v>
      </c>
      <c r="T1540">
        <v>0.28000000000000003</v>
      </c>
      <c r="U1540">
        <v>0</v>
      </c>
      <c r="V1540">
        <v>0.33</v>
      </c>
      <c r="W1540">
        <v>3.36</v>
      </c>
      <c r="X1540">
        <v>0.53</v>
      </c>
      <c r="Y1540">
        <v>1.93</v>
      </c>
      <c r="Z1540">
        <v>0</v>
      </c>
      <c r="AA1540">
        <v>0</v>
      </c>
      <c r="AB1540">
        <v>0.54</v>
      </c>
      <c r="AC1540">
        <v>8.16</v>
      </c>
      <c r="AD1540">
        <v>14.58</v>
      </c>
      <c r="AE1540">
        <v>3.38</v>
      </c>
      <c r="AF1540">
        <v>0</v>
      </c>
      <c r="AG1540">
        <v>3.99</v>
      </c>
      <c r="AH1540">
        <v>41.23</v>
      </c>
      <c r="AI1540">
        <v>6.51</v>
      </c>
      <c r="AJ1540">
        <v>23.67</v>
      </c>
      <c r="AK1540">
        <v>0</v>
      </c>
      <c r="AL1540">
        <v>0</v>
      </c>
      <c r="AM1540">
        <v>6.64</v>
      </c>
      <c r="AN1540">
        <f t="shared" si="73"/>
        <v>5</v>
      </c>
      <c r="AO1540" t="str">
        <f t="shared" si="74"/>
        <v>Thursday</v>
      </c>
    </row>
    <row r="1541" spans="1:41" x14ac:dyDescent="0.2">
      <c r="A1541" t="s">
        <v>43</v>
      </c>
      <c r="B1541" s="1">
        <v>45680</v>
      </c>
      <c r="C1541" s="1">
        <f t="shared" si="72"/>
        <v>45688</v>
      </c>
      <c r="D1541">
        <v>19</v>
      </c>
      <c r="E1541">
        <v>41</v>
      </c>
      <c r="F1541">
        <v>0</v>
      </c>
      <c r="G1541">
        <v>3</v>
      </c>
      <c r="H1541">
        <v>6</v>
      </c>
      <c r="I1541">
        <v>0</v>
      </c>
      <c r="J1541">
        <v>0</v>
      </c>
      <c r="K1541">
        <v>20</v>
      </c>
      <c r="L1541" t="s">
        <v>43</v>
      </c>
      <c r="M1541" t="s">
        <v>38</v>
      </c>
      <c r="N1541" s="1">
        <v>45680</v>
      </c>
      <c r="O1541" s="2">
        <v>0.58668981481481486</v>
      </c>
      <c r="P1541" s="2">
        <v>0.96082175925925928</v>
      </c>
      <c r="Q1541">
        <v>8.98</v>
      </c>
      <c r="R1541">
        <v>8.98</v>
      </c>
      <c r="S1541">
        <v>1.05</v>
      </c>
      <c r="T1541">
        <v>0.27</v>
      </c>
      <c r="U1541">
        <v>0</v>
      </c>
      <c r="V1541">
        <v>0.27</v>
      </c>
      <c r="W1541">
        <v>3.47</v>
      </c>
      <c r="X1541">
        <v>1.45</v>
      </c>
      <c r="Y1541">
        <v>2.4700000000000002</v>
      </c>
      <c r="Z1541">
        <v>0</v>
      </c>
      <c r="AA1541">
        <v>0</v>
      </c>
      <c r="AB1541">
        <v>0</v>
      </c>
      <c r="AC1541">
        <v>8.98</v>
      </c>
      <c r="AD1541">
        <v>11.68</v>
      </c>
      <c r="AE1541">
        <v>2.96</v>
      </c>
      <c r="AF1541">
        <v>0</v>
      </c>
      <c r="AG1541">
        <v>3.02</v>
      </c>
      <c r="AH1541">
        <v>38.61</v>
      </c>
      <c r="AI1541">
        <v>16.16</v>
      </c>
      <c r="AJ1541">
        <v>27.53</v>
      </c>
      <c r="AK1541">
        <v>0</v>
      </c>
      <c r="AL1541">
        <v>0</v>
      </c>
      <c r="AM1541">
        <v>0.04</v>
      </c>
      <c r="AN1541">
        <f t="shared" si="73"/>
        <v>5</v>
      </c>
      <c r="AO1541" t="str">
        <f t="shared" si="74"/>
        <v>Thursday</v>
      </c>
    </row>
    <row r="1542" spans="1:41" x14ac:dyDescent="0.2">
      <c r="B1542" s="1">
        <v>45680</v>
      </c>
      <c r="C1542" s="1">
        <f t="shared" si="72"/>
        <v>45688</v>
      </c>
      <c r="D1542">
        <v>880</v>
      </c>
      <c r="E1542">
        <v>0</v>
      </c>
      <c r="F1542">
        <v>0</v>
      </c>
      <c r="G1542">
        <v>0</v>
      </c>
      <c r="H1542">
        <v>0</v>
      </c>
      <c r="I1542">
        <v>0</v>
      </c>
      <c r="J1542">
        <v>0</v>
      </c>
      <c r="K1542">
        <v>0</v>
      </c>
      <c r="AN1542">
        <f t="shared" si="73"/>
        <v>5</v>
      </c>
      <c r="AO1542" t="str">
        <f t="shared" si="74"/>
        <v>Thursday</v>
      </c>
    </row>
    <row r="1543" spans="1:41" x14ac:dyDescent="0.2">
      <c r="A1543" t="s">
        <v>37</v>
      </c>
      <c r="B1543" s="1">
        <v>45679</v>
      </c>
      <c r="C1543" s="1">
        <f t="shared" si="72"/>
        <v>45688</v>
      </c>
      <c r="D1543">
        <v>32</v>
      </c>
      <c r="E1543">
        <v>72</v>
      </c>
      <c r="F1543">
        <v>3</v>
      </c>
      <c r="G1543">
        <v>10</v>
      </c>
      <c r="H1543">
        <v>2</v>
      </c>
      <c r="I1543">
        <v>0</v>
      </c>
      <c r="J1543">
        <v>9</v>
      </c>
      <c r="K1543">
        <v>31</v>
      </c>
      <c r="L1543" t="s">
        <v>37</v>
      </c>
      <c r="M1543" t="s">
        <v>38</v>
      </c>
      <c r="N1543" s="1">
        <v>45679</v>
      </c>
      <c r="O1543" s="2">
        <v>0.58311342592592597</v>
      </c>
      <c r="P1543" s="2">
        <v>0.95885416666666667</v>
      </c>
      <c r="Q1543">
        <v>9.02</v>
      </c>
      <c r="R1543">
        <v>8.17</v>
      </c>
      <c r="S1543">
        <v>0.72</v>
      </c>
      <c r="T1543">
        <v>0.4</v>
      </c>
      <c r="U1543">
        <v>0</v>
      </c>
      <c r="V1543">
        <v>0.3</v>
      </c>
      <c r="W1543">
        <v>6.32</v>
      </c>
      <c r="X1543">
        <v>0.41</v>
      </c>
      <c r="Y1543">
        <v>0</v>
      </c>
      <c r="Z1543">
        <v>0</v>
      </c>
      <c r="AA1543">
        <v>0</v>
      </c>
      <c r="AB1543">
        <v>0.01</v>
      </c>
      <c r="AC1543">
        <v>8.17</v>
      </c>
      <c r="AD1543">
        <v>8.85</v>
      </c>
      <c r="AE1543">
        <v>4.95</v>
      </c>
      <c r="AF1543">
        <v>0</v>
      </c>
      <c r="AG1543">
        <v>3.7</v>
      </c>
      <c r="AH1543">
        <v>77.36</v>
      </c>
      <c r="AI1543">
        <v>4.97</v>
      </c>
      <c r="AJ1543">
        <v>0</v>
      </c>
      <c r="AK1543">
        <v>0</v>
      </c>
      <c r="AL1543">
        <v>0</v>
      </c>
      <c r="AM1543">
        <v>0.17</v>
      </c>
      <c r="AN1543">
        <f t="shared" si="73"/>
        <v>4</v>
      </c>
      <c r="AO1543" t="str">
        <f t="shared" si="74"/>
        <v>Wednesday</v>
      </c>
    </row>
    <row r="1544" spans="1:41" x14ac:dyDescent="0.2">
      <c r="A1544" t="s">
        <v>39</v>
      </c>
      <c r="B1544" s="1">
        <v>45679</v>
      </c>
      <c r="C1544" s="1">
        <f t="shared" si="72"/>
        <v>45688</v>
      </c>
      <c r="D1544">
        <v>28</v>
      </c>
      <c r="E1544">
        <v>78</v>
      </c>
      <c r="F1544">
        <v>5</v>
      </c>
      <c r="G1544">
        <v>2</v>
      </c>
      <c r="H1544">
        <v>3</v>
      </c>
      <c r="I1544">
        <v>0</v>
      </c>
      <c r="J1544">
        <v>0</v>
      </c>
      <c r="K1544">
        <v>29</v>
      </c>
      <c r="L1544" t="s">
        <v>39</v>
      </c>
      <c r="M1544" t="s">
        <v>38</v>
      </c>
      <c r="N1544" s="1">
        <v>45679</v>
      </c>
      <c r="O1544" s="2">
        <v>0.58361111111111108</v>
      </c>
      <c r="P1544" s="2">
        <v>0.95835648148148145</v>
      </c>
      <c r="Q1544">
        <v>9</v>
      </c>
      <c r="R1544">
        <v>8.99</v>
      </c>
      <c r="S1544">
        <v>0.99</v>
      </c>
      <c r="T1544">
        <v>0.11</v>
      </c>
      <c r="U1544">
        <v>0</v>
      </c>
      <c r="V1544">
        <v>0.04</v>
      </c>
      <c r="W1544">
        <v>6.36</v>
      </c>
      <c r="X1544">
        <v>1.49</v>
      </c>
      <c r="Y1544">
        <v>0</v>
      </c>
      <c r="Z1544">
        <v>0</v>
      </c>
      <c r="AA1544">
        <v>0</v>
      </c>
      <c r="AB1544">
        <v>0</v>
      </c>
      <c r="AC1544">
        <v>8.99</v>
      </c>
      <c r="AD1544">
        <v>10.96</v>
      </c>
      <c r="AE1544">
        <v>1.23</v>
      </c>
      <c r="AF1544">
        <v>0</v>
      </c>
      <c r="AG1544">
        <v>0.49</v>
      </c>
      <c r="AH1544">
        <v>70.709999999999994</v>
      </c>
      <c r="AI1544">
        <v>16.57</v>
      </c>
      <c r="AJ1544">
        <v>0</v>
      </c>
      <c r="AK1544">
        <v>0</v>
      </c>
      <c r="AL1544">
        <v>0</v>
      </c>
      <c r="AM1544">
        <v>0.05</v>
      </c>
      <c r="AN1544">
        <f t="shared" si="73"/>
        <v>4</v>
      </c>
      <c r="AO1544" t="str">
        <f t="shared" si="74"/>
        <v>Wednesday</v>
      </c>
    </row>
    <row r="1545" spans="1:41" x14ac:dyDescent="0.2">
      <c r="A1545" t="s">
        <v>56</v>
      </c>
      <c r="B1545" s="1">
        <v>45679</v>
      </c>
      <c r="C1545" s="1">
        <f t="shared" si="72"/>
        <v>45688</v>
      </c>
      <c r="D1545">
        <v>35</v>
      </c>
      <c r="E1545">
        <v>46</v>
      </c>
      <c r="F1545">
        <v>3</v>
      </c>
      <c r="G1545">
        <v>3</v>
      </c>
      <c r="H1545">
        <v>7</v>
      </c>
      <c r="I1545">
        <v>0</v>
      </c>
      <c r="J1545">
        <v>0</v>
      </c>
      <c r="K1545">
        <v>26</v>
      </c>
      <c r="L1545" t="s">
        <v>56</v>
      </c>
      <c r="M1545" t="s">
        <v>38</v>
      </c>
      <c r="N1545" s="1">
        <v>45679</v>
      </c>
      <c r="O1545" s="2">
        <v>0.58474537037037033</v>
      </c>
      <c r="P1545" s="2">
        <v>0.9591898148148148</v>
      </c>
      <c r="Q1545">
        <v>8.98</v>
      </c>
      <c r="R1545">
        <v>8.99</v>
      </c>
      <c r="S1545">
        <v>0.91</v>
      </c>
      <c r="T1545">
        <v>0.15</v>
      </c>
      <c r="U1545">
        <v>0</v>
      </c>
      <c r="V1545">
        <v>0.03</v>
      </c>
      <c r="W1545">
        <v>6.39</v>
      </c>
      <c r="X1545">
        <v>1.51</v>
      </c>
      <c r="Y1545">
        <v>0</v>
      </c>
      <c r="Z1545">
        <v>0</v>
      </c>
      <c r="AA1545">
        <v>0</v>
      </c>
      <c r="AB1545">
        <v>0</v>
      </c>
      <c r="AC1545">
        <v>8.99</v>
      </c>
      <c r="AD1545">
        <v>10.17</v>
      </c>
      <c r="AE1545">
        <v>1.63</v>
      </c>
      <c r="AF1545">
        <v>0</v>
      </c>
      <c r="AG1545">
        <v>0.28999999999999998</v>
      </c>
      <c r="AH1545">
        <v>71.08</v>
      </c>
      <c r="AI1545">
        <v>16.78</v>
      </c>
      <c r="AJ1545">
        <v>0</v>
      </c>
      <c r="AK1545">
        <v>0</v>
      </c>
      <c r="AL1545">
        <v>0</v>
      </c>
      <c r="AM1545">
        <v>0.04</v>
      </c>
      <c r="AN1545">
        <f t="shared" si="73"/>
        <v>4</v>
      </c>
      <c r="AO1545" t="str">
        <f t="shared" si="74"/>
        <v>Wednesday</v>
      </c>
    </row>
    <row r="1546" spans="1:41" x14ac:dyDescent="0.2">
      <c r="A1546" t="s">
        <v>41</v>
      </c>
      <c r="B1546" s="1">
        <v>45679</v>
      </c>
      <c r="C1546" s="1">
        <f t="shared" si="72"/>
        <v>45688</v>
      </c>
      <c r="D1546">
        <v>31</v>
      </c>
      <c r="E1546">
        <v>61</v>
      </c>
      <c r="F1546">
        <v>11</v>
      </c>
      <c r="G1546">
        <v>9</v>
      </c>
      <c r="H1546">
        <v>2</v>
      </c>
      <c r="I1546">
        <v>0</v>
      </c>
      <c r="J1546">
        <v>1</v>
      </c>
      <c r="K1546">
        <v>22</v>
      </c>
      <c r="L1546" t="s">
        <v>41</v>
      </c>
      <c r="M1546" t="s">
        <v>38</v>
      </c>
      <c r="N1546" s="1">
        <v>45679</v>
      </c>
      <c r="O1546" s="2">
        <v>0.58642361111111108</v>
      </c>
      <c r="P1546" s="2">
        <v>0.95792824074074079</v>
      </c>
      <c r="Q1546">
        <v>8.92</v>
      </c>
      <c r="R1546">
        <v>8.92</v>
      </c>
      <c r="S1546">
        <v>1.04</v>
      </c>
      <c r="T1546">
        <v>0.19</v>
      </c>
      <c r="U1546">
        <v>0</v>
      </c>
      <c r="V1546">
        <v>0.51</v>
      </c>
      <c r="W1546">
        <v>5.49</v>
      </c>
      <c r="X1546">
        <v>1.48</v>
      </c>
      <c r="Y1546">
        <v>0.2</v>
      </c>
      <c r="Z1546">
        <v>0</v>
      </c>
      <c r="AA1546">
        <v>0</v>
      </c>
      <c r="AB1546">
        <v>0</v>
      </c>
      <c r="AC1546">
        <v>8.92</v>
      </c>
      <c r="AD1546">
        <v>11.65</v>
      </c>
      <c r="AE1546">
        <v>2.12</v>
      </c>
      <c r="AF1546">
        <v>0</v>
      </c>
      <c r="AG1546">
        <v>5.73</v>
      </c>
      <c r="AH1546">
        <v>61.62</v>
      </c>
      <c r="AI1546">
        <v>16.55</v>
      </c>
      <c r="AJ1546">
        <v>2.2999999999999998</v>
      </c>
      <c r="AK1546">
        <v>0</v>
      </c>
      <c r="AL1546">
        <v>0</v>
      </c>
      <c r="AM1546">
        <v>0.04</v>
      </c>
      <c r="AN1546">
        <f t="shared" si="73"/>
        <v>4</v>
      </c>
      <c r="AO1546" t="str">
        <f t="shared" si="74"/>
        <v>Wednesday</v>
      </c>
    </row>
    <row r="1547" spans="1:41" x14ac:dyDescent="0.2">
      <c r="A1547" t="s">
        <v>42</v>
      </c>
      <c r="B1547" s="1">
        <v>45679</v>
      </c>
      <c r="C1547" s="1">
        <f t="shared" si="72"/>
        <v>45688</v>
      </c>
      <c r="D1547">
        <v>18</v>
      </c>
      <c r="E1547">
        <v>22</v>
      </c>
      <c r="F1547">
        <v>2</v>
      </c>
      <c r="G1547">
        <v>1</v>
      </c>
      <c r="H1547">
        <v>4</v>
      </c>
      <c r="I1547">
        <v>0</v>
      </c>
      <c r="J1547">
        <v>0</v>
      </c>
      <c r="K1547">
        <v>10</v>
      </c>
      <c r="L1547" t="s">
        <v>42</v>
      </c>
      <c r="M1547" t="s">
        <v>38</v>
      </c>
      <c r="N1547" s="1">
        <v>45679</v>
      </c>
      <c r="O1547" s="2">
        <v>0.58432870370370371</v>
      </c>
      <c r="P1547" s="2">
        <v>0.9596527777777778</v>
      </c>
      <c r="Q1547">
        <v>9</v>
      </c>
      <c r="R1547">
        <v>9.01</v>
      </c>
      <c r="S1547">
        <v>1.68</v>
      </c>
      <c r="T1547">
        <v>0.83</v>
      </c>
      <c r="U1547">
        <v>0</v>
      </c>
      <c r="V1547">
        <v>0.34</v>
      </c>
      <c r="W1547">
        <v>4.6500000000000004</v>
      </c>
      <c r="X1547">
        <v>1.49</v>
      </c>
      <c r="Y1547">
        <v>0</v>
      </c>
      <c r="Z1547">
        <v>0</v>
      </c>
      <c r="AA1547">
        <v>0</v>
      </c>
      <c r="AB1547">
        <v>0.01</v>
      </c>
      <c r="AC1547">
        <v>9.01</v>
      </c>
      <c r="AD1547">
        <v>18.68</v>
      </c>
      <c r="AE1547">
        <v>9.23</v>
      </c>
      <c r="AF1547">
        <v>0</v>
      </c>
      <c r="AG1547">
        <v>3.83</v>
      </c>
      <c r="AH1547">
        <v>51.63</v>
      </c>
      <c r="AI1547">
        <v>16.57</v>
      </c>
      <c r="AJ1547">
        <v>0</v>
      </c>
      <c r="AK1547">
        <v>0</v>
      </c>
      <c r="AL1547">
        <v>0</v>
      </c>
      <c r="AM1547">
        <v>0.06</v>
      </c>
      <c r="AN1547">
        <f t="shared" si="73"/>
        <v>4</v>
      </c>
      <c r="AO1547" t="str">
        <f t="shared" si="74"/>
        <v>Wednesday</v>
      </c>
    </row>
    <row r="1548" spans="1:41" x14ac:dyDescent="0.2">
      <c r="A1548" t="s">
        <v>43</v>
      </c>
      <c r="B1548" s="1">
        <v>45679</v>
      </c>
      <c r="C1548" s="1">
        <f t="shared" si="72"/>
        <v>45688</v>
      </c>
      <c r="D1548">
        <v>26</v>
      </c>
      <c r="E1548">
        <v>74</v>
      </c>
      <c r="F1548">
        <v>4</v>
      </c>
      <c r="G1548">
        <v>2</v>
      </c>
      <c r="H1548">
        <v>7</v>
      </c>
      <c r="I1548">
        <v>0</v>
      </c>
      <c r="J1548">
        <v>0</v>
      </c>
      <c r="K1548">
        <v>47</v>
      </c>
      <c r="L1548" t="s">
        <v>43</v>
      </c>
      <c r="M1548" t="s">
        <v>38</v>
      </c>
      <c r="N1548" s="1">
        <v>45679</v>
      </c>
      <c r="O1548" s="2">
        <v>0.58346064814814813</v>
      </c>
      <c r="P1548" s="2">
        <v>0.95914351851851853</v>
      </c>
      <c r="Q1548">
        <v>9.02</v>
      </c>
      <c r="R1548">
        <v>9.01</v>
      </c>
      <c r="S1548">
        <v>0.47</v>
      </c>
      <c r="T1548">
        <v>0.22</v>
      </c>
      <c r="U1548">
        <v>0</v>
      </c>
      <c r="V1548">
        <v>0.52</v>
      </c>
      <c r="W1548">
        <v>5.58</v>
      </c>
      <c r="X1548">
        <v>1.48</v>
      </c>
      <c r="Y1548">
        <v>0.74</v>
      </c>
      <c r="Z1548">
        <v>0</v>
      </c>
      <c r="AA1548">
        <v>0</v>
      </c>
      <c r="AB1548">
        <v>0</v>
      </c>
      <c r="AC1548">
        <v>9.01</v>
      </c>
      <c r="AD1548">
        <v>5.22</v>
      </c>
      <c r="AE1548">
        <v>2.4500000000000002</v>
      </c>
      <c r="AF1548">
        <v>0</v>
      </c>
      <c r="AG1548">
        <v>5.8</v>
      </c>
      <c r="AH1548">
        <v>61.89</v>
      </c>
      <c r="AI1548">
        <v>16.399999999999999</v>
      </c>
      <c r="AJ1548">
        <v>8.1999999999999993</v>
      </c>
      <c r="AK1548">
        <v>0</v>
      </c>
      <c r="AL1548">
        <v>0</v>
      </c>
      <c r="AM1548">
        <v>0.04</v>
      </c>
      <c r="AN1548">
        <f t="shared" si="73"/>
        <v>4</v>
      </c>
      <c r="AO1548" t="str">
        <f t="shared" si="74"/>
        <v>Wednesday</v>
      </c>
    </row>
    <row r="1549" spans="1:41" x14ac:dyDescent="0.2">
      <c r="B1549" s="1">
        <v>45679</v>
      </c>
      <c r="C1549" s="1">
        <f t="shared" si="72"/>
        <v>45688</v>
      </c>
      <c r="D1549">
        <v>902</v>
      </c>
      <c r="E1549">
        <v>0</v>
      </c>
      <c r="F1549">
        <v>0</v>
      </c>
      <c r="G1549">
        <v>0</v>
      </c>
      <c r="H1549">
        <v>0</v>
      </c>
      <c r="I1549">
        <v>0</v>
      </c>
      <c r="J1549">
        <v>0</v>
      </c>
      <c r="K1549">
        <v>0</v>
      </c>
      <c r="AN1549">
        <f t="shared" si="73"/>
        <v>4</v>
      </c>
      <c r="AO1549" t="str">
        <f t="shared" si="74"/>
        <v>Wednesday</v>
      </c>
    </row>
    <row r="1550" spans="1:41" x14ac:dyDescent="0.2">
      <c r="A1550" t="s">
        <v>37</v>
      </c>
      <c r="B1550" s="1">
        <v>45678</v>
      </c>
      <c r="C1550" s="1">
        <f t="shared" si="72"/>
        <v>45688</v>
      </c>
      <c r="D1550">
        <v>27</v>
      </c>
      <c r="E1550">
        <v>59</v>
      </c>
      <c r="F1550">
        <v>3</v>
      </c>
      <c r="G1550">
        <v>3</v>
      </c>
      <c r="H1550">
        <v>9</v>
      </c>
      <c r="I1550">
        <v>0</v>
      </c>
      <c r="J1550">
        <v>0</v>
      </c>
      <c r="K1550">
        <v>33</v>
      </c>
      <c r="L1550" t="s">
        <v>37</v>
      </c>
      <c r="M1550" t="s">
        <v>38</v>
      </c>
      <c r="N1550" s="1">
        <v>45678</v>
      </c>
      <c r="O1550" s="2">
        <v>0.58460648148148153</v>
      </c>
      <c r="P1550" s="2">
        <v>0.9584259259259259</v>
      </c>
      <c r="Q1550">
        <v>8.98</v>
      </c>
      <c r="R1550">
        <v>8.11</v>
      </c>
      <c r="S1550">
        <v>1.01</v>
      </c>
      <c r="T1550">
        <v>0</v>
      </c>
      <c r="U1550">
        <v>0</v>
      </c>
      <c r="V1550">
        <v>0.36</v>
      </c>
      <c r="W1550">
        <v>6.12</v>
      </c>
      <c r="X1550">
        <v>0.61</v>
      </c>
      <c r="Y1550">
        <v>0</v>
      </c>
      <c r="Z1550">
        <v>0</v>
      </c>
      <c r="AA1550">
        <v>0</v>
      </c>
      <c r="AB1550">
        <v>0.01</v>
      </c>
      <c r="AC1550">
        <v>8.11</v>
      </c>
      <c r="AD1550">
        <v>12.45</v>
      </c>
      <c r="AE1550">
        <v>0</v>
      </c>
      <c r="AF1550">
        <v>0</v>
      </c>
      <c r="AG1550">
        <v>4.4400000000000004</v>
      </c>
      <c r="AH1550">
        <v>75.45</v>
      </c>
      <c r="AI1550">
        <v>7.5</v>
      </c>
      <c r="AJ1550">
        <v>0</v>
      </c>
      <c r="AK1550">
        <v>0</v>
      </c>
      <c r="AL1550">
        <v>0</v>
      </c>
      <c r="AM1550">
        <v>0.15</v>
      </c>
      <c r="AN1550">
        <f t="shared" si="73"/>
        <v>3</v>
      </c>
      <c r="AO1550" t="str">
        <f t="shared" si="74"/>
        <v>Tuesday</v>
      </c>
    </row>
    <row r="1551" spans="1:41" x14ac:dyDescent="0.2">
      <c r="A1551" t="s">
        <v>39</v>
      </c>
      <c r="B1551" s="1">
        <v>45678</v>
      </c>
      <c r="C1551" s="1">
        <f t="shared" si="72"/>
        <v>45688</v>
      </c>
      <c r="D1551">
        <v>31</v>
      </c>
      <c r="E1551">
        <v>75</v>
      </c>
      <c r="F1551">
        <v>0</v>
      </c>
      <c r="G1551">
        <v>9</v>
      </c>
      <c r="H1551">
        <v>4</v>
      </c>
      <c r="I1551">
        <v>0</v>
      </c>
      <c r="J1551">
        <v>1</v>
      </c>
      <c r="K1551">
        <v>34</v>
      </c>
      <c r="L1551" t="s">
        <v>39</v>
      </c>
      <c r="M1551" t="s">
        <v>38</v>
      </c>
      <c r="N1551" s="1">
        <v>45678</v>
      </c>
      <c r="O1551" s="2">
        <v>0.58386574074074071</v>
      </c>
      <c r="P1551" s="2">
        <v>0.95839120370370368</v>
      </c>
      <c r="Q1551">
        <v>9</v>
      </c>
      <c r="R1551">
        <v>8.99</v>
      </c>
      <c r="S1551">
        <v>0.87</v>
      </c>
      <c r="T1551">
        <v>0.23</v>
      </c>
      <c r="U1551">
        <v>0</v>
      </c>
      <c r="V1551">
        <v>0.11</v>
      </c>
      <c r="W1551">
        <v>5.71</v>
      </c>
      <c r="X1551">
        <v>1.49</v>
      </c>
      <c r="Y1551">
        <v>0.56000000000000005</v>
      </c>
      <c r="Z1551">
        <v>0</v>
      </c>
      <c r="AA1551">
        <v>0</v>
      </c>
      <c r="AB1551">
        <v>0</v>
      </c>
      <c r="AC1551">
        <v>8.99</v>
      </c>
      <c r="AD1551">
        <v>9.69</v>
      </c>
      <c r="AE1551">
        <v>2.61</v>
      </c>
      <c r="AF1551">
        <v>0</v>
      </c>
      <c r="AG1551">
        <v>1.27</v>
      </c>
      <c r="AH1551">
        <v>63.53</v>
      </c>
      <c r="AI1551">
        <v>16.61</v>
      </c>
      <c r="AJ1551">
        <v>6.24</v>
      </c>
      <c r="AK1551">
        <v>0</v>
      </c>
      <c r="AL1551">
        <v>0</v>
      </c>
      <c r="AM1551">
        <v>0.05</v>
      </c>
      <c r="AN1551">
        <f t="shared" si="73"/>
        <v>3</v>
      </c>
      <c r="AO1551" t="str">
        <f t="shared" si="74"/>
        <v>Tuesday</v>
      </c>
    </row>
    <row r="1552" spans="1:41" x14ac:dyDescent="0.2">
      <c r="A1552" t="s">
        <v>56</v>
      </c>
      <c r="B1552" s="1">
        <v>45678</v>
      </c>
      <c r="C1552" s="1">
        <f t="shared" si="72"/>
        <v>45688</v>
      </c>
      <c r="D1552">
        <v>31</v>
      </c>
      <c r="E1552">
        <v>40</v>
      </c>
      <c r="F1552">
        <v>4</v>
      </c>
      <c r="G1552">
        <v>0</v>
      </c>
      <c r="H1552">
        <v>1</v>
      </c>
      <c r="I1552">
        <v>0</v>
      </c>
      <c r="J1552">
        <v>1</v>
      </c>
      <c r="K1552">
        <v>23</v>
      </c>
      <c r="L1552" t="s">
        <v>56</v>
      </c>
      <c r="M1552" t="s">
        <v>38</v>
      </c>
      <c r="N1552" s="1">
        <v>45678</v>
      </c>
      <c r="O1552" s="2">
        <v>0.58447916666666666</v>
      </c>
      <c r="P1552" s="2">
        <v>0.95891203703703709</v>
      </c>
      <c r="Q1552">
        <v>8.98</v>
      </c>
      <c r="R1552">
        <v>8.99</v>
      </c>
      <c r="S1552">
        <v>1.21</v>
      </c>
      <c r="T1552">
        <v>0</v>
      </c>
      <c r="U1552">
        <v>0</v>
      </c>
      <c r="V1552">
        <v>0.02</v>
      </c>
      <c r="W1552">
        <v>6.24</v>
      </c>
      <c r="X1552">
        <v>1.51</v>
      </c>
      <c r="Y1552">
        <v>0</v>
      </c>
      <c r="Z1552">
        <v>0</v>
      </c>
      <c r="AA1552">
        <v>0</v>
      </c>
      <c r="AB1552">
        <v>0</v>
      </c>
      <c r="AC1552">
        <v>8.99</v>
      </c>
      <c r="AD1552">
        <v>13.52</v>
      </c>
      <c r="AE1552">
        <v>0</v>
      </c>
      <c r="AF1552">
        <v>0</v>
      </c>
      <c r="AG1552">
        <v>0.27</v>
      </c>
      <c r="AH1552">
        <v>69.400000000000006</v>
      </c>
      <c r="AI1552">
        <v>16.760000000000002</v>
      </c>
      <c r="AJ1552">
        <v>0</v>
      </c>
      <c r="AK1552">
        <v>0</v>
      </c>
      <c r="AL1552">
        <v>0</v>
      </c>
      <c r="AM1552">
        <v>0.05</v>
      </c>
      <c r="AN1552">
        <f t="shared" si="73"/>
        <v>3</v>
      </c>
      <c r="AO1552" t="str">
        <f t="shared" si="74"/>
        <v>Tuesday</v>
      </c>
    </row>
    <row r="1553" spans="1:41" x14ac:dyDescent="0.2">
      <c r="A1553" t="s">
        <v>41</v>
      </c>
      <c r="B1553" s="1">
        <v>45678</v>
      </c>
      <c r="C1553" s="1">
        <f t="shared" si="72"/>
        <v>45688</v>
      </c>
      <c r="D1553">
        <v>43</v>
      </c>
      <c r="E1553">
        <v>90</v>
      </c>
      <c r="F1553">
        <v>6</v>
      </c>
      <c r="G1553">
        <v>10</v>
      </c>
      <c r="H1553">
        <v>12</v>
      </c>
      <c r="I1553">
        <v>0</v>
      </c>
      <c r="J1553">
        <v>0</v>
      </c>
      <c r="K1553">
        <v>36</v>
      </c>
      <c r="L1553" t="s">
        <v>41</v>
      </c>
      <c r="M1553" t="s">
        <v>38</v>
      </c>
      <c r="N1553" s="1">
        <v>45678</v>
      </c>
      <c r="O1553" s="2">
        <v>0.58362268518518523</v>
      </c>
      <c r="P1553" s="2">
        <v>0.95824074074074073</v>
      </c>
      <c r="Q1553">
        <v>8.98</v>
      </c>
      <c r="R1553">
        <v>8.83</v>
      </c>
      <c r="S1553">
        <v>1.56</v>
      </c>
      <c r="T1553">
        <v>0.18</v>
      </c>
      <c r="U1553">
        <v>0</v>
      </c>
      <c r="V1553">
        <v>0.49</v>
      </c>
      <c r="W1553">
        <v>5.28</v>
      </c>
      <c r="X1553">
        <v>1.32</v>
      </c>
      <c r="Y1553">
        <v>0</v>
      </c>
      <c r="Z1553">
        <v>0</v>
      </c>
      <c r="AA1553">
        <v>0</v>
      </c>
      <c r="AB1553">
        <v>0.01</v>
      </c>
      <c r="AC1553">
        <v>8.83</v>
      </c>
      <c r="AD1553">
        <v>17.64</v>
      </c>
      <c r="AE1553">
        <v>1.98</v>
      </c>
      <c r="AF1553">
        <v>0</v>
      </c>
      <c r="AG1553">
        <v>5.51</v>
      </c>
      <c r="AH1553">
        <v>59.85</v>
      </c>
      <c r="AI1553">
        <v>14.9</v>
      </c>
      <c r="AJ1553">
        <v>0</v>
      </c>
      <c r="AK1553">
        <v>0</v>
      </c>
      <c r="AL1553">
        <v>0</v>
      </c>
      <c r="AM1553">
        <v>0.12</v>
      </c>
      <c r="AN1553">
        <f t="shared" si="73"/>
        <v>3</v>
      </c>
      <c r="AO1553" t="str">
        <f t="shared" si="74"/>
        <v>Tuesday</v>
      </c>
    </row>
    <row r="1554" spans="1:41" x14ac:dyDescent="0.2">
      <c r="A1554" t="s">
        <v>42</v>
      </c>
      <c r="B1554" s="1">
        <v>45678</v>
      </c>
      <c r="C1554" s="1">
        <f t="shared" si="72"/>
        <v>45688</v>
      </c>
      <c r="D1554">
        <v>14</v>
      </c>
      <c r="E1554">
        <v>19</v>
      </c>
      <c r="F1554">
        <v>3</v>
      </c>
      <c r="G1554">
        <v>1</v>
      </c>
      <c r="H1554">
        <v>1</v>
      </c>
      <c r="I1554">
        <v>0</v>
      </c>
      <c r="J1554">
        <v>0</v>
      </c>
      <c r="K1554">
        <v>12</v>
      </c>
      <c r="L1554" t="s">
        <v>42</v>
      </c>
      <c r="M1554" t="s">
        <v>38</v>
      </c>
      <c r="N1554" s="1">
        <v>45678</v>
      </c>
      <c r="O1554" s="2">
        <v>0.58378472222222222</v>
      </c>
      <c r="P1554" s="2">
        <v>0.95923611111111107</v>
      </c>
      <c r="Q1554">
        <v>9.02</v>
      </c>
      <c r="R1554">
        <v>9.01</v>
      </c>
      <c r="S1554">
        <v>1.43</v>
      </c>
      <c r="T1554">
        <v>0.71</v>
      </c>
      <c r="U1554">
        <v>0</v>
      </c>
      <c r="V1554">
        <v>0.25</v>
      </c>
      <c r="W1554">
        <v>5.13</v>
      </c>
      <c r="X1554">
        <v>1.48</v>
      </c>
      <c r="Y1554">
        <v>0</v>
      </c>
      <c r="Z1554">
        <v>0</v>
      </c>
      <c r="AA1554">
        <v>0</v>
      </c>
      <c r="AB1554">
        <v>0.01</v>
      </c>
      <c r="AC1554">
        <v>9.01</v>
      </c>
      <c r="AD1554">
        <v>15.82</v>
      </c>
      <c r="AE1554">
        <v>7.92</v>
      </c>
      <c r="AF1554">
        <v>0</v>
      </c>
      <c r="AG1554">
        <v>2.82</v>
      </c>
      <c r="AH1554">
        <v>56.93</v>
      </c>
      <c r="AI1554">
        <v>16.45</v>
      </c>
      <c r="AJ1554">
        <v>0</v>
      </c>
      <c r="AK1554">
        <v>0</v>
      </c>
      <c r="AL1554">
        <v>0</v>
      </c>
      <c r="AM1554">
        <v>0.06</v>
      </c>
      <c r="AN1554">
        <f t="shared" si="73"/>
        <v>3</v>
      </c>
      <c r="AO1554" t="str">
        <f t="shared" si="74"/>
        <v>Tuesday</v>
      </c>
    </row>
    <row r="1555" spans="1:41" x14ac:dyDescent="0.2">
      <c r="A1555" t="s">
        <v>43</v>
      </c>
      <c r="B1555" s="1">
        <v>45678</v>
      </c>
      <c r="C1555" s="1">
        <f t="shared" si="72"/>
        <v>45688</v>
      </c>
      <c r="D1555">
        <v>25</v>
      </c>
      <c r="E1555">
        <v>62</v>
      </c>
      <c r="F1555">
        <v>1</v>
      </c>
      <c r="G1555">
        <v>3</v>
      </c>
      <c r="H1555">
        <v>2</v>
      </c>
      <c r="I1555">
        <v>3</v>
      </c>
      <c r="J1555">
        <v>0</v>
      </c>
      <c r="K1555">
        <v>38</v>
      </c>
      <c r="L1555" t="s">
        <v>43</v>
      </c>
      <c r="M1555" t="s">
        <v>38</v>
      </c>
      <c r="N1555" s="1">
        <v>45678</v>
      </c>
      <c r="O1555" s="2">
        <v>0.58309027777777778</v>
      </c>
      <c r="P1555" s="2">
        <v>0.95900462962962962</v>
      </c>
      <c r="Q1555">
        <v>9.02</v>
      </c>
      <c r="R1555">
        <v>9.02</v>
      </c>
      <c r="S1555">
        <v>0.96</v>
      </c>
      <c r="T1555">
        <v>0.17</v>
      </c>
      <c r="U1555">
        <v>0</v>
      </c>
      <c r="V1555">
        <v>0.26</v>
      </c>
      <c r="W1555">
        <v>5.73</v>
      </c>
      <c r="X1555">
        <v>1.55</v>
      </c>
      <c r="Y1555">
        <v>0.34</v>
      </c>
      <c r="Z1555">
        <v>0</v>
      </c>
      <c r="AA1555">
        <v>0</v>
      </c>
      <c r="AB1555">
        <v>0</v>
      </c>
      <c r="AC1555">
        <v>9.02</v>
      </c>
      <c r="AD1555">
        <v>10.63</v>
      </c>
      <c r="AE1555">
        <v>1.9</v>
      </c>
      <c r="AF1555">
        <v>0</v>
      </c>
      <c r="AG1555">
        <v>2.93</v>
      </c>
      <c r="AH1555">
        <v>63.56</v>
      </c>
      <c r="AI1555">
        <v>17.18</v>
      </c>
      <c r="AJ1555">
        <v>3.76</v>
      </c>
      <c r="AK1555">
        <v>0</v>
      </c>
      <c r="AL1555">
        <v>0</v>
      </c>
      <c r="AM1555">
        <v>0.03</v>
      </c>
      <c r="AN1555">
        <f t="shared" si="73"/>
        <v>3</v>
      </c>
      <c r="AO1555" t="str">
        <f t="shared" si="74"/>
        <v>Tuesday</v>
      </c>
    </row>
    <row r="1556" spans="1:41" x14ac:dyDescent="0.2">
      <c r="B1556" s="1">
        <v>45678</v>
      </c>
      <c r="C1556" s="1">
        <f t="shared" si="72"/>
        <v>45688</v>
      </c>
      <c r="D1556">
        <v>825</v>
      </c>
      <c r="E1556">
        <v>0</v>
      </c>
      <c r="F1556">
        <v>0</v>
      </c>
      <c r="G1556">
        <v>0</v>
      </c>
      <c r="H1556">
        <v>0</v>
      </c>
      <c r="I1556">
        <v>0</v>
      </c>
      <c r="J1556">
        <v>0</v>
      </c>
      <c r="K1556">
        <v>0</v>
      </c>
      <c r="AN1556">
        <f t="shared" si="73"/>
        <v>3</v>
      </c>
      <c r="AO1556" t="str">
        <f t="shared" si="74"/>
        <v>Tuesday</v>
      </c>
    </row>
    <row r="1557" spans="1:41" x14ac:dyDescent="0.2">
      <c r="A1557" t="s">
        <v>37</v>
      </c>
      <c r="B1557" s="1">
        <v>45674</v>
      </c>
      <c r="C1557" s="1">
        <f t="shared" si="72"/>
        <v>45688</v>
      </c>
      <c r="D1557">
        <v>27</v>
      </c>
      <c r="E1557">
        <v>56</v>
      </c>
      <c r="F1557">
        <v>2</v>
      </c>
      <c r="G1557">
        <v>5</v>
      </c>
      <c r="H1557">
        <v>5</v>
      </c>
      <c r="I1557">
        <v>0</v>
      </c>
      <c r="J1557">
        <v>0</v>
      </c>
      <c r="K1557">
        <v>31</v>
      </c>
      <c r="L1557" t="s">
        <v>37</v>
      </c>
      <c r="M1557" t="s">
        <v>38</v>
      </c>
      <c r="N1557" s="1">
        <v>45674</v>
      </c>
      <c r="O1557" s="2">
        <v>0.58347222222222217</v>
      </c>
      <c r="P1557" s="2">
        <v>0.95883101851851849</v>
      </c>
      <c r="Q1557">
        <v>9</v>
      </c>
      <c r="R1557">
        <v>8.06</v>
      </c>
      <c r="S1557">
        <v>1.05</v>
      </c>
      <c r="T1557">
        <v>0</v>
      </c>
      <c r="U1557">
        <v>0</v>
      </c>
      <c r="V1557">
        <v>0.28999999999999998</v>
      </c>
      <c r="W1557">
        <v>5.99</v>
      </c>
      <c r="X1557">
        <v>0.38</v>
      </c>
      <c r="Y1557">
        <v>0.34</v>
      </c>
      <c r="Z1557">
        <v>0</v>
      </c>
      <c r="AA1557">
        <v>0</v>
      </c>
      <c r="AB1557">
        <v>0.01</v>
      </c>
      <c r="AC1557">
        <v>8.06</v>
      </c>
      <c r="AD1557">
        <v>12.98</v>
      </c>
      <c r="AE1557">
        <v>0</v>
      </c>
      <c r="AF1557">
        <v>0</v>
      </c>
      <c r="AG1557">
        <v>3.57</v>
      </c>
      <c r="AH1557">
        <v>74.34</v>
      </c>
      <c r="AI1557">
        <v>4.76</v>
      </c>
      <c r="AJ1557">
        <v>4.2</v>
      </c>
      <c r="AK1557">
        <v>0</v>
      </c>
      <c r="AL1557">
        <v>0</v>
      </c>
      <c r="AM1557">
        <v>0.16</v>
      </c>
      <c r="AN1557">
        <f t="shared" si="73"/>
        <v>6</v>
      </c>
      <c r="AO1557" t="str">
        <f t="shared" si="74"/>
        <v>Friday</v>
      </c>
    </row>
    <row r="1558" spans="1:41" x14ac:dyDescent="0.2">
      <c r="A1558" t="s">
        <v>39</v>
      </c>
      <c r="B1558" s="1">
        <v>45674</v>
      </c>
      <c r="C1558" s="1">
        <f t="shared" si="72"/>
        <v>45688</v>
      </c>
      <c r="D1558">
        <v>21</v>
      </c>
      <c r="E1558">
        <v>37</v>
      </c>
      <c r="F1558">
        <v>3</v>
      </c>
      <c r="G1558">
        <v>3</v>
      </c>
      <c r="H1558">
        <v>5</v>
      </c>
      <c r="I1558">
        <v>0</v>
      </c>
      <c r="J1558">
        <v>0</v>
      </c>
      <c r="K1558">
        <v>20</v>
      </c>
      <c r="L1558" t="s">
        <v>39</v>
      </c>
      <c r="M1558" t="s">
        <v>38</v>
      </c>
      <c r="N1558" s="1">
        <v>45674</v>
      </c>
      <c r="O1558" s="2">
        <v>0.58326388888888892</v>
      </c>
      <c r="P1558" s="2">
        <v>0.95835648148148145</v>
      </c>
      <c r="Q1558">
        <v>9.02</v>
      </c>
      <c r="R1558">
        <v>8.93</v>
      </c>
      <c r="S1558">
        <v>1.1200000000000001</v>
      </c>
      <c r="T1558">
        <v>0.15</v>
      </c>
      <c r="U1558">
        <v>0</v>
      </c>
      <c r="V1558">
        <v>0.03</v>
      </c>
      <c r="W1558">
        <v>6.11</v>
      </c>
      <c r="X1558">
        <v>1.5</v>
      </c>
      <c r="Y1558">
        <v>0</v>
      </c>
      <c r="Z1558">
        <v>0</v>
      </c>
      <c r="AA1558">
        <v>0</v>
      </c>
      <c r="AB1558">
        <v>0.01</v>
      </c>
      <c r="AC1558">
        <v>8.93</v>
      </c>
      <c r="AD1558">
        <v>12.51</v>
      </c>
      <c r="AE1558">
        <v>1.69</v>
      </c>
      <c r="AF1558">
        <v>0</v>
      </c>
      <c r="AG1558">
        <v>0.37</v>
      </c>
      <c r="AH1558">
        <v>68.5</v>
      </c>
      <c r="AI1558">
        <v>16.850000000000001</v>
      </c>
      <c r="AJ1558">
        <v>0</v>
      </c>
      <c r="AK1558">
        <v>0</v>
      </c>
      <c r="AL1558">
        <v>0</v>
      </c>
      <c r="AM1558">
        <v>0.09</v>
      </c>
      <c r="AN1558">
        <f t="shared" si="73"/>
        <v>6</v>
      </c>
      <c r="AO1558" t="str">
        <f t="shared" si="74"/>
        <v>Friday</v>
      </c>
    </row>
    <row r="1559" spans="1:41" x14ac:dyDescent="0.2">
      <c r="A1559" t="s">
        <v>56</v>
      </c>
      <c r="B1559" s="1">
        <v>45674</v>
      </c>
      <c r="C1559" s="1">
        <f t="shared" si="72"/>
        <v>45688</v>
      </c>
      <c r="D1559">
        <v>21</v>
      </c>
      <c r="E1559">
        <v>27</v>
      </c>
      <c r="F1559">
        <v>0</v>
      </c>
      <c r="G1559">
        <v>0</v>
      </c>
      <c r="H1559">
        <v>3</v>
      </c>
      <c r="I1559">
        <v>1</v>
      </c>
      <c r="J1559">
        <v>0</v>
      </c>
      <c r="K1559">
        <v>18</v>
      </c>
      <c r="L1559" t="s">
        <v>56</v>
      </c>
      <c r="M1559" t="s">
        <v>38</v>
      </c>
      <c r="N1559" s="1">
        <v>45674</v>
      </c>
      <c r="O1559" s="2">
        <v>0.58002314814814815</v>
      </c>
      <c r="P1559" s="2">
        <v>0.9585069444444444</v>
      </c>
      <c r="Q1559">
        <v>9.08</v>
      </c>
      <c r="R1559">
        <v>9.08</v>
      </c>
      <c r="S1559">
        <v>0.7</v>
      </c>
      <c r="T1559">
        <v>0.89</v>
      </c>
      <c r="U1559">
        <v>0</v>
      </c>
      <c r="V1559">
        <v>0.02</v>
      </c>
      <c r="W1559">
        <v>5.94</v>
      </c>
      <c r="X1559">
        <v>1.5</v>
      </c>
      <c r="Y1559">
        <v>0</v>
      </c>
      <c r="Z1559">
        <v>0</v>
      </c>
      <c r="AA1559">
        <v>0</v>
      </c>
      <c r="AB1559">
        <v>0.02</v>
      </c>
      <c r="AC1559">
        <v>9.08</v>
      </c>
      <c r="AD1559">
        <v>7.73</v>
      </c>
      <c r="AE1559">
        <v>9.83</v>
      </c>
      <c r="AF1559">
        <v>0</v>
      </c>
      <c r="AG1559">
        <v>0.22</v>
      </c>
      <c r="AH1559">
        <v>65.45</v>
      </c>
      <c r="AI1559">
        <v>16.55</v>
      </c>
      <c r="AJ1559">
        <v>0</v>
      </c>
      <c r="AK1559">
        <v>0</v>
      </c>
      <c r="AL1559">
        <v>0</v>
      </c>
      <c r="AM1559">
        <v>0.21</v>
      </c>
      <c r="AN1559">
        <f t="shared" si="73"/>
        <v>6</v>
      </c>
      <c r="AO1559" t="str">
        <f t="shared" si="74"/>
        <v>Friday</v>
      </c>
    </row>
    <row r="1560" spans="1:41" x14ac:dyDescent="0.2">
      <c r="A1560" t="s">
        <v>41</v>
      </c>
      <c r="B1560" s="1">
        <v>45674</v>
      </c>
      <c r="C1560" s="1">
        <f t="shared" si="72"/>
        <v>45688</v>
      </c>
      <c r="D1560">
        <v>26</v>
      </c>
      <c r="E1560">
        <v>67</v>
      </c>
      <c r="F1560">
        <v>13</v>
      </c>
      <c r="G1560">
        <v>13</v>
      </c>
      <c r="H1560">
        <v>9</v>
      </c>
      <c r="I1560">
        <v>0</v>
      </c>
      <c r="J1560">
        <v>0</v>
      </c>
      <c r="K1560">
        <v>29</v>
      </c>
      <c r="L1560" t="s">
        <v>41</v>
      </c>
      <c r="M1560" t="s">
        <v>38</v>
      </c>
      <c r="N1560" s="1">
        <v>45674</v>
      </c>
      <c r="O1560" s="2">
        <v>0.58438657407407413</v>
      </c>
      <c r="P1560" s="2">
        <v>0.95868055555555554</v>
      </c>
      <c r="Q1560">
        <v>8.98</v>
      </c>
      <c r="R1560">
        <v>8.9700000000000006</v>
      </c>
      <c r="S1560">
        <v>1.37</v>
      </c>
      <c r="T1560">
        <v>0.41</v>
      </c>
      <c r="U1560">
        <v>0</v>
      </c>
      <c r="V1560">
        <v>0.27</v>
      </c>
      <c r="W1560">
        <v>5.41</v>
      </c>
      <c r="X1560">
        <v>1.48</v>
      </c>
      <c r="Y1560">
        <v>0</v>
      </c>
      <c r="Z1560">
        <v>0</v>
      </c>
      <c r="AA1560">
        <v>0</v>
      </c>
      <c r="AB1560">
        <v>0.04</v>
      </c>
      <c r="AC1560">
        <v>8.9700000000000006</v>
      </c>
      <c r="AD1560">
        <v>15.28</v>
      </c>
      <c r="AE1560">
        <v>4.5199999999999996</v>
      </c>
      <c r="AF1560">
        <v>0</v>
      </c>
      <c r="AG1560">
        <v>3.02</v>
      </c>
      <c r="AH1560">
        <v>60.33</v>
      </c>
      <c r="AI1560">
        <v>16.47</v>
      </c>
      <c r="AJ1560">
        <v>0</v>
      </c>
      <c r="AK1560">
        <v>0</v>
      </c>
      <c r="AL1560">
        <v>0</v>
      </c>
      <c r="AM1560">
        <v>0.39</v>
      </c>
      <c r="AN1560">
        <f t="shared" si="73"/>
        <v>6</v>
      </c>
      <c r="AO1560" t="str">
        <f t="shared" si="74"/>
        <v>Friday</v>
      </c>
    </row>
    <row r="1561" spans="1:41" x14ac:dyDescent="0.2">
      <c r="A1561" t="s">
        <v>42</v>
      </c>
      <c r="B1561" s="1">
        <v>45674</v>
      </c>
      <c r="C1561" s="1">
        <f t="shared" si="72"/>
        <v>45688</v>
      </c>
      <c r="D1561">
        <v>14</v>
      </c>
      <c r="E1561">
        <v>15</v>
      </c>
      <c r="F1561">
        <v>1</v>
      </c>
      <c r="G1561">
        <v>3</v>
      </c>
      <c r="H1561">
        <v>2</v>
      </c>
      <c r="I1561">
        <v>1</v>
      </c>
      <c r="J1561">
        <v>0</v>
      </c>
      <c r="K1561">
        <v>4</v>
      </c>
      <c r="L1561" t="s">
        <v>42</v>
      </c>
      <c r="M1561" t="s">
        <v>38</v>
      </c>
      <c r="N1561" s="1">
        <v>45674</v>
      </c>
      <c r="O1561" s="2">
        <v>0.58348379629629632</v>
      </c>
      <c r="P1561" s="2">
        <v>0.95894675925925921</v>
      </c>
      <c r="Q1561">
        <v>9</v>
      </c>
      <c r="R1561">
        <v>9.01</v>
      </c>
      <c r="S1561">
        <v>1.87</v>
      </c>
      <c r="T1561">
        <v>0.37</v>
      </c>
      <c r="U1561">
        <v>0</v>
      </c>
      <c r="V1561">
        <v>0.51</v>
      </c>
      <c r="W1561">
        <v>4.78</v>
      </c>
      <c r="X1561">
        <v>1.48</v>
      </c>
      <c r="Y1561">
        <v>0</v>
      </c>
      <c r="Z1561">
        <v>0</v>
      </c>
      <c r="AA1561">
        <v>0</v>
      </c>
      <c r="AB1561">
        <v>0.01</v>
      </c>
      <c r="AC1561">
        <v>9.01</v>
      </c>
      <c r="AD1561">
        <v>20.79</v>
      </c>
      <c r="AE1561">
        <v>4.07</v>
      </c>
      <c r="AF1561">
        <v>0</v>
      </c>
      <c r="AG1561">
        <v>5.64</v>
      </c>
      <c r="AH1561">
        <v>53.01</v>
      </c>
      <c r="AI1561">
        <v>16.43</v>
      </c>
      <c r="AJ1561">
        <v>0</v>
      </c>
      <c r="AK1561">
        <v>0</v>
      </c>
      <c r="AL1561">
        <v>0</v>
      </c>
      <c r="AM1561">
        <v>0.06</v>
      </c>
      <c r="AN1561">
        <f t="shared" si="73"/>
        <v>6</v>
      </c>
      <c r="AO1561" t="str">
        <f t="shared" si="74"/>
        <v>Friday</v>
      </c>
    </row>
    <row r="1562" spans="1:41" x14ac:dyDescent="0.2">
      <c r="A1562" t="s">
        <v>43</v>
      </c>
      <c r="B1562" s="1">
        <v>45674</v>
      </c>
      <c r="C1562" s="1">
        <f t="shared" si="72"/>
        <v>45688</v>
      </c>
      <c r="D1562">
        <v>22</v>
      </c>
      <c r="E1562">
        <v>55</v>
      </c>
      <c r="F1562">
        <v>9</v>
      </c>
      <c r="G1562">
        <v>1</v>
      </c>
      <c r="H1562">
        <v>6</v>
      </c>
      <c r="I1562">
        <v>0</v>
      </c>
      <c r="J1562">
        <v>0</v>
      </c>
      <c r="K1562">
        <v>32</v>
      </c>
      <c r="L1562" t="s">
        <v>43</v>
      </c>
      <c r="M1562" t="s">
        <v>38</v>
      </c>
      <c r="N1562" s="1">
        <v>45674</v>
      </c>
      <c r="O1562" s="2">
        <v>0.58259259259259255</v>
      </c>
      <c r="P1562" s="2">
        <v>0.9588888888888889</v>
      </c>
      <c r="Q1562">
        <v>9.0299999999999994</v>
      </c>
      <c r="R1562">
        <v>9.0299999999999994</v>
      </c>
      <c r="S1562">
        <v>1.0900000000000001</v>
      </c>
      <c r="T1562">
        <v>0.17</v>
      </c>
      <c r="U1562">
        <v>0</v>
      </c>
      <c r="V1562">
        <v>0.5</v>
      </c>
      <c r="W1562">
        <v>5.35</v>
      </c>
      <c r="X1562">
        <v>1.92</v>
      </c>
      <c r="Y1562">
        <v>0</v>
      </c>
      <c r="Z1562">
        <v>0</v>
      </c>
      <c r="AA1562">
        <v>0</v>
      </c>
      <c r="AB1562">
        <v>0</v>
      </c>
      <c r="AC1562">
        <v>9.0299999999999994</v>
      </c>
      <c r="AD1562">
        <v>12.1</v>
      </c>
      <c r="AE1562">
        <v>1.85</v>
      </c>
      <c r="AF1562">
        <v>0</v>
      </c>
      <c r="AG1562">
        <v>5.49</v>
      </c>
      <c r="AH1562">
        <v>59.22</v>
      </c>
      <c r="AI1562">
        <v>21.31</v>
      </c>
      <c r="AJ1562">
        <v>0</v>
      </c>
      <c r="AK1562">
        <v>0</v>
      </c>
      <c r="AL1562">
        <v>0</v>
      </c>
      <c r="AM1562">
        <v>0.04</v>
      </c>
      <c r="AN1562">
        <f t="shared" si="73"/>
        <v>6</v>
      </c>
      <c r="AO1562" t="str">
        <f t="shared" si="74"/>
        <v>Friday</v>
      </c>
    </row>
    <row r="1563" spans="1:41" x14ac:dyDescent="0.2">
      <c r="B1563" s="1">
        <v>45674</v>
      </c>
      <c r="C1563" s="1">
        <f t="shared" si="72"/>
        <v>45688</v>
      </c>
      <c r="D1563">
        <v>765</v>
      </c>
      <c r="E1563">
        <v>0</v>
      </c>
      <c r="F1563">
        <v>0</v>
      </c>
      <c r="G1563">
        <v>0</v>
      </c>
      <c r="H1563">
        <v>0</v>
      </c>
      <c r="I1563">
        <v>0</v>
      </c>
      <c r="J1563">
        <v>0</v>
      </c>
      <c r="K1563">
        <v>0</v>
      </c>
      <c r="AN1563">
        <f t="shared" si="73"/>
        <v>6</v>
      </c>
      <c r="AO1563" t="str">
        <f t="shared" si="74"/>
        <v>Friday</v>
      </c>
    </row>
    <row r="1564" spans="1:41" x14ac:dyDescent="0.2">
      <c r="A1564" t="s">
        <v>37</v>
      </c>
      <c r="B1564" s="1">
        <v>45673</v>
      </c>
      <c r="C1564" s="1">
        <f t="shared" si="72"/>
        <v>45688</v>
      </c>
      <c r="D1564">
        <v>14</v>
      </c>
      <c r="E1564">
        <v>30</v>
      </c>
      <c r="F1564">
        <v>0</v>
      </c>
      <c r="G1564">
        <v>4</v>
      </c>
      <c r="H1564">
        <v>4</v>
      </c>
      <c r="I1564">
        <v>0</v>
      </c>
      <c r="J1564">
        <v>1</v>
      </c>
      <c r="K1564">
        <v>14</v>
      </c>
      <c r="L1564" t="s">
        <v>37</v>
      </c>
      <c r="M1564" t="s">
        <v>38</v>
      </c>
      <c r="N1564" s="1">
        <v>45673</v>
      </c>
      <c r="O1564" s="2">
        <v>0.58333333333333337</v>
      </c>
      <c r="P1564" s="2">
        <v>0.95835648148148145</v>
      </c>
      <c r="Q1564">
        <v>9</v>
      </c>
      <c r="R1564">
        <v>8.9600000000000009</v>
      </c>
      <c r="S1564">
        <v>1.2</v>
      </c>
      <c r="T1564">
        <v>0.18</v>
      </c>
      <c r="U1564">
        <v>0</v>
      </c>
      <c r="V1564">
        <v>0.17</v>
      </c>
      <c r="W1564">
        <v>5.27</v>
      </c>
      <c r="X1564">
        <v>1.23</v>
      </c>
      <c r="Y1564">
        <v>0.81</v>
      </c>
      <c r="Z1564">
        <v>0</v>
      </c>
      <c r="AA1564">
        <v>0</v>
      </c>
      <c r="AB1564">
        <v>0.09</v>
      </c>
      <c r="AC1564">
        <v>8.9600000000000009</v>
      </c>
      <c r="AD1564">
        <v>13.4</v>
      </c>
      <c r="AE1564">
        <v>1.96</v>
      </c>
      <c r="AF1564">
        <v>0</v>
      </c>
      <c r="AG1564">
        <v>1.94</v>
      </c>
      <c r="AH1564">
        <v>58.8</v>
      </c>
      <c r="AI1564">
        <v>13.79</v>
      </c>
      <c r="AJ1564">
        <v>9.07</v>
      </c>
      <c r="AK1564">
        <v>0</v>
      </c>
      <c r="AL1564">
        <v>0</v>
      </c>
      <c r="AM1564">
        <v>1.05</v>
      </c>
      <c r="AN1564">
        <f t="shared" si="73"/>
        <v>5</v>
      </c>
      <c r="AO1564" t="str">
        <f t="shared" si="74"/>
        <v>Thursday</v>
      </c>
    </row>
    <row r="1565" spans="1:41" x14ac:dyDescent="0.2">
      <c r="A1565" t="s">
        <v>39</v>
      </c>
      <c r="B1565" s="1">
        <v>45673</v>
      </c>
      <c r="C1565" s="1">
        <f t="shared" si="72"/>
        <v>45688</v>
      </c>
      <c r="D1565">
        <v>20</v>
      </c>
      <c r="E1565">
        <v>59</v>
      </c>
      <c r="F1565">
        <v>2</v>
      </c>
      <c r="G1565">
        <v>0</v>
      </c>
      <c r="H1565">
        <v>4</v>
      </c>
      <c r="I1565">
        <v>1</v>
      </c>
      <c r="J1565">
        <v>0</v>
      </c>
      <c r="K1565">
        <v>29</v>
      </c>
      <c r="L1565" t="s">
        <v>39</v>
      </c>
      <c r="M1565" t="s">
        <v>38</v>
      </c>
      <c r="N1565" s="1">
        <v>45673</v>
      </c>
      <c r="O1565" s="2">
        <v>0.58416666666666661</v>
      </c>
      <c r="P1565" s="2">
        <v>0.95839120370370368</v>
      </c>
      <c r="Q1565">
        <v>8.98</v>
      </c>
      <c r="R1565">
        <v>8.98</v>
      </c>
      <c r="S1565">
        <v>1.03</v>
      </c>
      <c r="T1565">
        <v>0.05</v>
      </c>
      <c r="U1565">
        <v>0</v>
      </c>
      <c r="V1565">
        <v>0.03</v>
      </c>
      <c r="W1565">
        <v>5.48</v>
      </c>
      <c r="X1565">
        <v>1.48</v>
      </c>
      <c r="Y1565">
        <v>0.91</v>
      </c>
      <c r="Z1565">
        <v>0</v>
      </c>
      <c r="AA1565">
        <v>0</v>
      </c>
      <c r="AB1565">
        <v>0</v>
      </c>
      <c r="AC1565">
        <v>8.98</v>
      </c>
      <c r="AD1565">
        <v>11.45</v>
      </c>
      <c r="AE1565">
        <v>0.6</v>
      </c>
      <c r="AF1565">
        <v>0</v>
      </c>
      <c r="AG1565">
        <v>0.32</v>
      </c>
      <c r="AH1565">
        <v>60.97</v>
      </c>
      <c r="AI1565">
        <v>16.489999999999998</v>
      </c>
      <c r="AJ1565">
        <v>10.130000000000001</v>
      </c>
      <c r="AK1565">
        <v>0</v>
      </c>
      <c r="AL1565">
        <v>0</v>
      </c>
      <c r="AM1565">
        <v>0.04</v>
      </c>
      <c r="AN1565">
        <f t="shared" si="73"/>
        <v>5</v>
      </c>
      <c r="AO1565" t="str">
        <f t="shared" si="74"/>
        <v>Thursday</v>
      </c>
    </row>
    <row r="1566" spans="1:41" x14ac:dyDescent="0.2">
      <c r="A1566" t="s">
        <v>56</v>
      </c>
      <c r="B1566" s="1">
        <v>45673</v>
      </c>
      <c r="C1566" s="1">
        <f t="shared" si="72"/>
        <v>45688</v>
      </c>
      <c r="D1566">
        <v>26</v>
      </c>
      <c r="E1566">
        <v>32</v>
      </c>
      <c r="F1566">
        <v>1</v>
      </c>
      <c r="G1566">
        <v>2</v>
      </c>
      <c r="H1566">
        <v>3</v>
      </c>
      <c r="I1566">
        <v>0</v>
      </c>
      <c r="J1566">
        <v>0</v>
      </c>
      <c r="K1566">
        <v>16</v>
      </c>
      <c r="L1566" t="s">
        <v>56</v>
      </c>
      <c r="M1566" t="s">
        <v>38</v>
      </c>
      <c r="N1566" s="1">
        <v>45673</v>
      </c>
      <c r="O1566" s="2">
        <v>0.58346064814814813</v>
      </c>
      <c r="P1566" s="2">
        <v>0.95848379629629632</v>
      </c>
      <c r="Q1566">
        <v>9</v>
      </c>
      <c r="R1566">
        <v>8.99</v>
      </c>
      <c r="S1566">
        <v>0.7</v>
      </c>
      <c r="T1566">
        <v>0</v>
      </c>
      <c r="U1566">
        <v>0</v>
      </c>
      <c r="V1566">
        <v>0.02</v>
      </c>
      <c r="W1566">
        <v>6.02</v>
      </c>
      <c r="X1566">
        <v>1.45</v>
      </c>
      <c r="Y1566">
        <v>0.79</v>
      </c>
      <c r="Z1566">
        <v>0</v>
      </c>
      <c r="AA1566">
        <v>0</v>
      </c>
      <c r="AB1566">
        <v>0.01</v>
      </c>
      <c r="AC1566">
        <v>8.99</v>
      </c>
      <c r="AD1566">
        <v>7.8</v>
      </c>
      <c r="AE1566">
        <v>0</v>
      </c>
      <c r="AF1566">
        <v>0</v>
      </c>
      <c r="AG1566">
        <v>0.2</v>
      </c>
      <c r="AH1566">
        <v>66.97</v>
      </c>
      <c r="AI1566">
        <v>16.079999999999998</v>
      </c>
      <c r="AJ1566">
        <v>8.8000000000000007</v>
      </c>
      <c r="AK1566">
        <v>0</v>
      </c>
      <c r="AL1566">
        <v>0</v>
      </c>
      <c r="AM1566">
        <v>0.15</v>
      </c>
      <c r="AN1566">
        <f t="shared" si="73"/>
        <v>5</v>
      </c>
      <c r="AO1566" t="str">
        <f t="shared" si="74"/>
        <v>Thursday</v>
      </c>
    </row>
    <row r="1567" spans="1:41" x14ac:dyDescent="0.2">
      <c r="A1567" t="s">
        <v>41</v>
      </c>
      <c r="B1567" s="1">
        <v>45673</v>
      </c>
      <c r="C1567" s="1">
        <f t="shared" si="72"/>
        <v>45688</v>
      </c>
      <c r="D1567">
        <v>27</v>
      </c>
      <c r="E1567">
        <v>57</v>
      </c>
      <c r="F1567">
        <v>2</v>
      </c>
      <c r="G1567">
        <v>8</v>
      </c>
      <c r="H1567">
        <v>10</v>
      </c>
      <c r="I1567">
        <v>0</v>
      </c>
      <c r="J1567">
        <v>0</v>
      </c>
      <c r="K1567">
        <v>30</v>
      </c>
      <c r="L1567" t="s">
        <v>41</v>
      </c>
      <c r="M1567" t="s">
        <v>38</v>
      </c>
      <c r="N1567" s="1">
        <v>45673</v>
      </c>
      <c r="O1567" s="2">
        <v>0.5849537037037037</v>
      </c>
      <c r="P1567" s="2">
        <v>0.95767361111111116</v>
      </c>
      <c r="Q1567">
        <v>8.9499999999999993</v>
      </c>
      <c r="R1567">
        <v>8.9499999999999993</v>
      </c>
      <c r="S1567">
        <v>0.83</v>
      </c>
      <c r="T1567">
        <v>0</v>
      </c>
      <c r="U1567">
        <v>0</v>
      </c>
      <c r="V1567">
        <v>0.32</v>
      </c>
      <c r="W1567">
        <v>5.6</v>
      </c>
      <c r="X1567">
        <v>1.47</v>
      </c>
      <c r="Y1567">
        <v>0.73</v>
      </c>
      <c r="Z1567">
        <v>0</v>
      </c>
      <c r="AA1567">
        <v>0</v>
      </c>
      <c r="AB1567">
        <v>0</v>
      </c>
      <c r="AC1567">
        <v>8.9499999999999993</v>
      </c>
      <c r="AD1567">
        <v>9.25</v>
      </c>
      <c r="AE1567">
        <v>0</v>
      </c>
      <c r="AF1567">
        <v>0</v>
      </c>
      <c r="AG1567">
        <v>3.59</v>
      </c>
      <c r="AH1567">
        <v>62.61</v>
      </c>
      <c r="AI1567">
        <v>16.41</v>
      </c>
      <c r="AJ1567">
        <v>8.1</v>
      </c>
      <c r="AK1567">
        <v>0</v>
      </c>
      <c r="AL1567">
        <v>0</v>
      </c>
      <c r="AM1567">
        <v>0.05</v>
      </c>
      <c r="AN1567">
        <f t="shared" si="73"/>
        <v>5</v>
      </c>
      <c r="AO1567" t="str">
        <f t="shared" si="74"/>
        <v>Thursday</v>
      </c>
    </row>
    <row r="1568" spans="1:41" x14ac:dyDescent="0.2">
      <c r="A1568" t="s">
        <v>42</v>
      </c>
      <c r="B1568" s="1">
        <v>45673</v>
      </c>
      <c r="C1568" s="1">
        <f t="shared" si="72"/>
        <v>45688</v>
      </c>
      <c r="D1568">
        <v>17</v>
      </c>
      <c r="E1568">
        <v>23</v>
      </c>
      <c r="F1568">
        <v>1</v>
      </c>
      <c r="G1568">
        <v>1</v>
      </c>
      <c r="H1568">
        <v>4</v>
      </c>
      <c r="I1568">
        <v>0</v>
      </c>
      <c r="J1568">
        <v>0</v>
      </c>
      <c r="K1568">
        <v>12</v>
      </c>
      <c r="L1568" t="s">
        <v>42</v>
      </c>
      <c r="M1568" t="s">
        <v>38</v>
      </c>
      <c r="N1568" s="1">
        <v>45673</v>
      </c>
      <c r="O1568" s="2">
        <v>0.58377314814814818</v>
      </c>
      <c r="P1568" s="2">
        <v>0.95962962962962961</v>
      </c>
      <c r="Q1568">
        <v>9.02</v>
      </c>
      <c r="R1568">
        <v>9.01</v>
      </c>
      <c r="S1568">
        <v>1.26</v>
      </c>
      <c r="T1568">
        <v>0.65</v>
      </c>
      <c r="U1568">
        <v>0</v>
      </c>
      <c r="V1568">
        <v>0.31</v>
      </c>
      <c r="W1568">
        <v>4.45</v>
      </c>
      <c r="X1568">
        <v>1.49</v>
      </c>
      <c r="Y1568">
        <v>0.84</v>
      </c>
      <c r="Z1568">
        <v>0</v>
      </c>
      <c r="AA1568">
        <v>0</v>
      </c>
      <c r="AB1568">
        <v>0.01</v>
      </c>
      <c r="AC1568">
        <v>9.01</v>
      </c>
      <c r="AD1568">
        <v>13.94</v>
      </c>
      <c r="AE1568">
        <v>7.17</v>
      </c>
      <c r="AF1568">
        <v>0</v>
      </c>
      <c r="AG1568">
        <v>3.44</v>
      </c>
      <c r="AH1568">
        <v>49.44</v>
      </c>
      <c r="AI1568">
        <v>16.57</v>
      </c>
      <c r="AJ1568">
        <v>9.34</v>
      </c>
      <c r="AK1568">
        <v>0</v>
      </c>
      <c r="AL1568">
        <v>0</v>
      </c>
      <c r="AM1568">
        <v>0.1</v>
      </c>
      <c r="AN1568">
        <f t="shared" si="73"/>
        <v>5</v>
      </c>
      <c r="AO1568" t="str">
        <f t="shared" si="74"/>
        <v>Thursday</v>
      </c>
    </row>
    <row r="1569" spans="1:41" x14ac:dyDescent="0.2">
      <c r="A1569" t="s">
        <v>43</v>
      </c>
      <c r="B1569" s="1">
        <v>45673</v>
      </c>
      <c r="C1569" s="1">
        <f t="shared" si="72"/>
        <v>45688</v>
      </c>
      <c r="D1569">
        <v>17</v>
      </c>
      <c r="E1569">
        <v>38</v>
      </c>
      <c r="F1569">
        <v>1</v>
      </c>
      <c r="G1569">
        <v>0</v>
      </c>
      <c r="H1569">
        <v>0</v>
      </c>
      <c r="I1569">
        <v>0</v>
      </c>
      <c r="J1569">
        <v>0</v>
      </c>
      <c r="K1569">
        <v>27</v>
      </c>
      <c r="L1569" t="s">
        <v>43</v>
      </c>
      <c r="M1569" t="s">
        <v>38</v>
      </c>
      <c r="N1569" s="1">
        <v>45673</v>
      </c>
      <c r="O1569" s="2">
        <v>0.58285879629629633</v>
      </c>
      <c r="P1569" s="2">
        <v>0.95906250000000004</v>
      </c>
      <c r="Q1569">
        <v>9.0299999999999994</v>
      </c>
      <c r="R1569">
        <v>8.91</v>
      </c>
      <c r="S1569">
        <v>0.89</v>
      </c>
      <c r="T1569">
        <v>0.38</v>
      </c>
      <c r="U1569">
        <v>0</v>
      </c>
      <c r="V1569">
        <v>0.28999999999999998</v>
      </c>
      <c r="W1569">
        <v>4.68</v>
      </c>
      <c r="X1569">
        <v>1.46</v>
      </c>
      <c r="Y1569">
        <v>0.96</v>
      </c>
      <c r="Z1569">
        <v>0</v>
      </c>
      <c r="AA1569">
        <v>0.25</v>
      </c>
      <c r="AB1569">
        <v>0.01</v>
      </c>
      <c r="AC1569">
        <v>8.91</v>
      </c>
      <c r="AD1569">
        <v>9.99</v>
      </c>
      <c r="AE1569">
        <v>4.2300000000000004</v>
      </c>
      <c r="AF1569">
        <v>0</v>
      </c>
      <c r="AG1569">
        <v>3.29</v>
      </c>
      <c r="AH1569">
        <v>52.45</v>
      </c>
      <c r="AI1569">
        <v>16.37</v>
      </c>
      <c r="AJ1569">
        <v>10.78</v>
      </c>
      <c r="AK1569">
        <v>0</v>
      </c>
      <c r="AL1569">
        <v>2.78</v>
      </c>
      <c r="AM1569">
        <v>0.11</v>
      </c>
      <c r="AN1569">
        <f t="shared" si="73"/>
        <v>5</v>
      </c>
      <c r="AO1569" t="str">
        <f t="shared" si="74"/>
        <v>Thursday</v>
      </c>
    </row>
    <row r="1570" spans="1:41" x14ac:dyDescent="0.2">
      <c r="A1570" t="s">
        <v>49</v>
      </c>
      <c r="B1570" s="1">
        <v>45673</v>
      </c>
      <c r="C1570" s="1">
        <f t="shared" si="72"/>
        <v>45688</v>
      </c>
      <c r="D1570">
        <v>1</v>
      </c>
      <c r="E1570">
        <v>1</v>
      </c>
      <c r="F1570">
        <v>0</v>
      </c>
      <c r="G1570">
        <v>0</v>
      </c>
      <c r="H1570">
        <v>1</v>
      </c>
      <c r="I1570">
        <v>0</v>
      </c>
      <c r="J1570">
        <v>0</v>
      </c>
      <c r="K1570">
        <v>0</v>
      </c>
      <c r="L1570" t="s">
        <v>49</v>
      </c>
      <c r="M1570" t="s">
        <v>38</v>
      </c>
      <c r="N1570" s="1">
        <v>45673</v>
      </c>
      <c r="O1570" s="2">
        <v>0.71966435185185185</v>
      </c>
      <c r="P1570" s="2">
        <v>0.72714120370370372</v>
      </c>
      <c r="Q1570">
        <v>0.18</v>
      </c>
      <c r="R1570">
        <v>0.18</v>
      </c>
      <c r="S1570">
        <v>0.03</v>
      </c>
      <c r="T1570">
        <v>0</v>
      </c>
      <c r="U1570">
        <v>0</v>
      </c>
      <c r="V1570">
        <v>0.01</v>
      </c>
      <c r="W1570">
        <v>0</v>
      </c>
      <c r="X1570">
        <v>0</v>
      </c>
      <c r="Y1570">
        <v>0</v>
      </c>
      <c r="Z1570">
        <v>0</v>
      </c>
      <c r="AA1570">
        <v>0</v>
      </c>
      <c r="AB1570">
        <v>0.13</v>
      </c>
      <c r="AC1570">
        <v>0.18</v>
      </c>
      <c r="AD1570">
        <v>18.45</v>
      </c>
      <c r="AE1570">
        <v>0</v>
      </c>
      <c r="AF1570">
        <v>0</v>
      </c>
      <c r="AG1570">
        <v>6.98</v>
      </c>
      <c r="AH1570">
        <v>0</v>
      </c>
      <c r="AI1570">
        <v>0</v>
      </c>
      <c r="AJ1570">
        <v>0</v>
      </c>
      <c r="AK1570">
        <v>0</v>
      </c>
      <c r="AL1570">
        <v>0</v>
      </c>
      <c r="AM1570">
        <v>74.569999999999993</v>
      </c>
      <c r="AN1570">
        <f t="shared" si="73"/>
        <v>5</v>
      </c>
      <c r="AO1570" t="str">
        <f t="shared" si="74"/>
        <v>Thursday</v>
      </c>
    </row>
    <row r="1571" spans="1:41" x14ac:dyDescent="0.2">
      <c r="B1571" s="1">
        <v>45673</v>
      </c>
      <c r="C1571" s="1">
        <f t="shared" si="72"/>
        <v>45688</v>
      </c>
      <c r="D1571">
        <v>791</v>
      </c>
      <c r="E1571">
        <v>0</v>
      </c>
      <c r="F1571">
        <v>0</v>
      </c>
      <c r="G1571">
        <v>0</v>
      </c>
      <c r="H1571">
        <v>0</v>
      </c>
      <c r="I1571">
        <v>0</v>
      </c>
      <c r="J1571">
        <v>0</v>
      </c>
      <c r="K1571">
        <v>0</v>
      </c>
      <c r="AN1571">
        <f t="shared" si="73"/>
        <v>5</v>
      </c>
      <c r="AO1571" t="str">
        <f t="shared" si="74"/>
        <v>Thursday</v>
      </c>
    </row>
    <row r="1572" spans="1:41" x14ac:dyDescent="0.2">
      <c r="A1572" t="s">
        <v>37</v>
      </c>
      <c r="B1572" s="1">
        <v>45672</v>
      </c>
      <c r="C1572" s="1">
        <f t="shared" si="72"/>
        <v>45688</v>
      </c>
      <c r="D1572">
        <v>26</v>
      </c>
      <c r="E1572">
        <v>71</v>
      </c>
      <c r="F1572">
        <v>2</v>
      </c>
      <c r="G1572">
        <v>3</v>
      </c>
      <c r="H1572">
        <v>14</v>
      </c>
      <c r="I1572">
        <v>2</v>
      </c>
      <c r="J1572">
        <v>3</v>
      </c>
      <c r="K1572">
        <v>37</v>
      </c>
      <c r="L1572" t="s">
        <v>37</v>
      </c>
      <c r="M1572" t="s">
        <v>38</v>
      </c>
      <c r="N1572" s="1">
        <v>45672</v>
      </c>
      <c r="O1572" s="2">
        <v>0.58371527777777776</v>
      </c>
      <c r="P1572" s="2">
        <v>0.96714120370370371</v>
      </c>
      <c r="Q1572">
        <v>9.1999999999999993</v>
      </c>
      <c r="R1572">
        <v>8.16</v>
      </c>
      <c r="S1572">
        <v>1.59</v>
      </c>
      <c r="T1572">
        <v>0</v>
      </c>
      <c r="U1572">
        <v>0</v>
      </c>
      <c r="V1572">
        <v>0.26</v>
      </c>
      <c r="W1572">
        <v>6.01</v>
      </c>
      <c r="X1572">
        <v>0.25</v>
      </c>
      <c r="Y1572">
        <v>0</v>
      </c>
      <c r="Z1572">
        <v>0</v>
      </c>
      <c r="AA1572">
        <v>0</v>
      </c>
      <c r="AB1572">
        <v>0.05</v>
      </c>
      <c r="AC1572">
        <v>8.16</v>
      </c>
      <c r="AD1572">
        <v>19.45</v>
      </c>
      <c r="AE1572">
        <v>0</v>
      </c>
      <c r="AF1572">
        <v>0</v>
      </c>
      <c r="AG1572">
        <v>3.24</v>
      </c>
      <c r="AH1572">
        <v>73.61</v>
      </c>
      <c r="AI1572">
        <v>3.06</v>
      </c>
      <c r="AJ1572">
        <v>0</v>
      </c>
      <c r="AK1572">
        <v>0</v>
      </c>
      <c r="AL1572">
        <v>0</v>
      </c>
      <c r="AM1572">
        <v>0.65</v>
      </c>
      <c r="AN1572">
        <f t="shared" si="73"/>
        <v>4</v>
      </c>
      <c r="AO1572" t="str">
        <f t="shared" si="74"/>
        <v>Wednesday</v>
      </c>
    </row>
    <row r="1573" spans="1:41" x14ac:dyDescent="0.2">
      <c r="A1573" t="s">
        <v>39</v>
      </c>
      <c r="B1573" s="1">
        <v>45672</v>
      </c>
      <c r="C1573" s="1">
        <f t="shared" si="72"/>
        <v>45688</v>
      </c>
      <c r="D1573">
        <v>23</v>
      </c>
      <c r="E1573">
        <v>48</v>
      </c>
      <c r="F1573">
        <v>5</v>
      </c>
      <c r="G1573">
        <v>2</v>
      </c>
      <c r="H1573">
        <v>11</v>
      </c>
      <c r="I1573">
        <v>0</v>
      </c>
      <c r="J1573">
        <v>0</v>
      </c>
      <c r="K1573">
        <v>14</v>
      </c>
      <c r="L1573" t="s">
        <v>39</v>
      </c>
      <c r="M1573" t="s">
        <v>38</v>
      </c>
      <c r="N1573" s="1">
        <v>45672</v>
      </c>
      <c r="O1573" s="2">
        <v>0.58361111111111108</v>
      </c>
      <c r="P1573" s="2">
        <v>0.9584259259259259</v>
      </c>
      <c r="Q1573">
        <v>9</v>
      </c>
      <c r="R1573">
        <v>8.99</v>
      </c>
      <c r="S1573">
        <v>1.1200000000000001</v>
      </c>
      <c r="T1573">
        <v>0.17</v>
      </c>
      <c r="U1573">
        <v>0</v>
      </c>
      <c r="V1573">
        <v>0.03</v>
      </c>
      <c r="W1573">
        <v>6.17</v>
      </c>
      <c r="X1573">
        <v>1.5</v>
      </c>
      <c r="Y1573">
        <v>0</v>
      </c>
      <c r="Z1573">
        <v>0</v>
      </c>
      <c r="AA1573">
        <v>0</v>
      </c>
      <c r="AB1573">
        <v>0</v>
      </c>
      <c r="AC1573">
        <v>8.99</v>
      </c>
      <c r="AD1573">
        <v>12.42</v>
      </c>
      <c r="AE1573">
        <v>1.87</v>
      </c>
      <c r="AF1573">
        <v>0</v>
      </c>
      <c r="AG1573">
        <v>0.36</v>
      </c>
      <c r="AH1573">
        <v>68.59</v>
      </c>
      <c r="AI1573">
        <v>16.71</v>
      </c>
      <c r="AJ1573">
        <v>0</v>
      </c>
      <c r="AK1573">
        <v>0</v>
      </c>
      <c r="AL1573">
        <v>0</v>
      </c>
      <c r="AM1573">
        <v>0.04</v>
      </c>
      <c r="AN1573">
        <f t="shared" si="73"/>
        <v>4</v>
      </c>
      <c r="AO1573" t="str">
        <f t="shared" si="74"/>
        <v>Wednesday</v>
      </c>
    </row>
    <row r="1574" spans="1:41" x14ac:dyDescent="0.2">
      <c r="A1574" t="s">
        <v>56</v>
      </c>
      <c r="B1574" s="1">
        <v>45672</v>
      </c>
      <c r="C1574" s="1">
        <f t="shared" si="72"/>
        <v>45688</v>
      </c>
      <c r="D1574">
        <v>24</v>
      </c>
      <c r="E1574">
        <v>37</v>
      </c>
      <c r="F1574">
        <v>3</v>
      </c>
      <c r="G1574">
        <v>2</v>
      </c>
      <c r="H1574">
        <v>12</v>
      </c>
      <c r="I1574">
        <v>0</v>
      </c>
      <c r="J1574">
        <v>0</v>
      </c>
      <c r="K1574">
        <v>16</v>
      </c>
      <c r="L1574" t="s">
        <v>56</v>
      </c>
      <c r="M1574" t="s">
        <v>38</v>
      </c>
      <c r="N1574" s="1">
        <v>45672</v>
      </c>
      <c r="O1574" s="2">
        <v>0.58237268518518515</v>
      </c>
      <c r="P1574" s="2">
        <v>0.95840277777777783</v>
      </c>
      <c r="Q1574">
        <v>9.0299999999999994</v>
      </c>
      <c r="R1574">
        <v>8.93</v>
      </c>
      <c r="S1574">
        <v>0.78</v>
      </c>
      <c r="T1574">
        <v>0.56000000000000005</v>
      </c>
      <c r="U1574">
        <v>0</v>
      </c>
      <c r="V1574">
        <v>0.03</v>
      </c>
      <c r="W1574">
        <v>5.58</v>
      </c>
      <c r="X1574">
        <v>1.4</v>
      </c>
      <c r="Y1574">
        <v>0.56000000000000005</v>
      </c>
      <c r="Z1574">
        <v>0</v>
      </c>
      <c r="AA1574">
        <v>0</v>
      </c>
      <c r="AB1574">
        <v>0.01</v>
      </c>
      <c r="AC1574">
        <v>8.93</v>
      </c>
      <c r="AD1574">
        <v>8.74</v>
      </c>
      <c r="AE1574">
        <v>6.23</v>
      </c>
      <c r="AF1574">
        <v>0</v>
      </c>
      <c r="AG1574">
        <v>0.38</v>
      </c>
      <c r="AH1574">
        <v>62.49</v>
      </c>
      <c r="AI1574">
        <v>15.7</v>
      </c>
      <c r="AJ1574">
        <v>6.32</v>
      </c>
      <c r="AK1574">
        <v>0</v>
      </c>
      <c r="AL1574">
        <v>0</v>
      </c>
      <c r="AM1574">
        <v>0.14000000000000001</v>
      </c>
      <c r="AN1574">
        <f t="shared" si="73"/>
        <v>4</v>
      </c>
      <c r="AO1574" t="str">
        <f t="shared" si="74"/>
        <v>Wednesday</v>
      </c>
    </row>
    <row r="1575" spans="1:41" x14ac:dyDescent="0.2">
      <c r="A1575" t="s">
        <v>41</v>
      </c>
      <c r="B1575" s="1">
        <v>45672</v>
      </c>
      <c r="C1575" s="1">
        <f t="shared" si="72"/>
        <v>45688</v>
      </c>
      <c r="D1575">
        <v>32</v>
      </c>
      <c r="E1575">
        <v>89</v>
      </c>
      <c r="F1575">
        <v>8</v>
      </c>
      <c r="G1575">
        <v>12</v>
      </c>
      <c r="H1575">
        <v>7</v>
      </c>
      <c r="I1575">
        <v>0</v>
      </c>
      <c r="J1575">
        <v>2</v>
      </c>
      <c r="K1575">
        <v>45</v>
      </c>
      <c r="L1575" t="s">
        <v>41</v>
      </c>
      <c r="M1575" t="s">
        <v>38</v>
      </c>
      <c r="N1575" s="1">
        <v>45672</v>
      </c>
      <c r="O1575" s="2">
        <v>0.58347222222222217</v>
      </c>
      <c r="P1575" s="2">
        <v>0.95793981481481483</v>
      </c>
      <c r="Q1575">
        <v>8.98</v>
      </c>
      <c r="R1575">
        <v>8.99</v>
      </c>
      <c r="S1575">
        <v>0.83</v>
      </c>
      <c r="T1575">
        <v>0</v>
      </c>
      <c r="U1575">
        <v>0</v>
      </c>
      <c r="V1575">
        <v>0.27</v>
      </c>
      <c r="W1575">
        <v>5.4</v>
      </c>
      <c r="X1575">
        <v>1.49</v>
      </c>
      <c r="Y1575">
        <v>0.99</v>
      </c>
      <c r="Z1575">
        <v>0</v>
      </c>
      <c r="AA1575">
        <v>0</v>
      </c>
      <c r="AB1575">
        <v>0</v>
      </c>
      <c r="AC1575">
        <v>8.99</v>
      </c>
      <c r="AD1575">
        <v>9.26</v>
      </c>
      <c r="AE1575">
        <v>0</v>
      </c>
      <c r="AF1575">
        <v>0</v>
      </c>
      <c r="AG1575">
        <v>3.02</v>
      </c>
      <c r="AH1575">
        <v>60.11</v>
      </c>
      <c r="AI1575">
        <v>16.59</v>
      </c>
      <c r="AJ1575">
        <v>10.97</v>
      </c>
      <c r="AK1575">
        <v>0</v>
      </c>
      <c r="AL1575">
        <v>0</v>
      </c>
      <c r="AM1575">
        <v>0.05</v>
      </c>
      <c r="AN1575">
        <f t="shared" si="73"/>
        <v>4</v>
      </c>
      <c r="AO1575" t="str">
        <f t="shared" si="74"/>
        <v>Wednesday</v>
      </c>
    </row>
    <row r="1576" spans="1:41" x14ac:dyDescent="0.2">
      <c r="A1576" t="s">
        <v>42</v>
      </c>
      <c r="B1576" s="1">
        <v>45672</v>
      </c>
      <c r="C1576" s="1">
        <f t="shared" si="72"/>
        <v>45688</v>
      </c>
      <c r="D1576">
        <v>16</v>
      </c>
      <c r="E1576">
        <v>20</v>
      </c>
      <c r="F1576">
        <v>2</v>
      </c>
      <c r="G1576">
        <v>2</v>
      </c>
      <c r="H1576">
        <v>0</v>
      </c>
      <c r="I1576">
        <v>0</v>
      </c>
      <c r="J1576">
        <v>0</v>
      </c>
      <c r="K1576">
        <v>11</v>
      </c>
      <c r="L1576" t="s">
        <v>42</v>
      </c>
      <c r="M1576" t="s">
        <v>38</v>
      </c>
      <c r="N1576" s="1">
        <v>45672</v>
      </c>
      <c r="O1576" s="2">
        <v>0.58407407407407408</v>
      </c>
      <c r="P1576" s="2">
        <v>0.95910879629629631</v>
      </c>
      <c r="Q1576">
        <v>9</v>
      </c>
      <c r="R1576">
        <v>9</v>
      </c>
      <c r="S1576">
        <v>2.0699999999999998</v>
      </c>
      <c r="T1576">
        <v>0.39</v>
      </c>
      <c r="U1576">
        <v>0</v>
      </c>
      <c r="V1576">
        <v>0.28999999999999998</v>
      </c>
      <c r="W1576">
        <v>3.72</v>
      </c>
      <c r="X1576">
        <v>1.47</v>
      </c>
      <c r="Y1576">
        <v>1.05</v>
      </c>
      <c r="Z1576">
        <v>0</v>
      </c>
      <c r="AA1576">
        <v>0</v>
      </c>
      <c r="AB1576">
        <v>0.01</v>
      </c>
      <c r="AC1576">
        <v>9</v>
      </c>
      <c r="AD1576">
        <v>23.05</v>
      </c>
      <c r="AE1576">
        <v>4.34</v>
      </c>
      <c r="AF1576">
        <v>0</v>
      </c>
      <c r="AG1576">
        <v>3.2</v>
      </c>
      <c r="AH1576">
        <v>41.37</v>
      </c>
      <c r="AI1576">
        <v>16.34</v>
      </c>
      <c r="AJ1576">
        <v>11.65</v>
      </c>
      <c r="AK1576">
        <v>0</v>
      </c>
      <c r="AL1576">
        <v>0</v>
      </c>
      <c r="AM1576">
        <v>0.06</v>
      </c>
      <c r="AN1576">
        <f t="shared" si="73"/>
        <v>4</v>
      </c>
      <c r="AO1576" t="str">
        <f t="shared" si="74"/>
        <v>Wednesday</v>
      </c>
    </row>
    <row r="1577" spans="1:41" x14ac:dyDescent="0.2">
      <c r="A1577" t="s">
        <v>43</v>
      </c>
      <c r="B1577" s="1">
        <v>45672</v>
      </c>
      <c r="C1577" s="1">
        <f t="shared" si="72"/>
        <v>45688</v>
      </c>
      <c r="D1577">
        <v>33</v>
      </c>
      <c r="E1577">
        <v>97</v>
      </c>
      <c r="F1577">
        <v>1</v>
      </c>
      <c r="G1577">
        <v>1</v>
      </c>
      <c r="H1577">
        <v>18</v>
      </c>
      <c r="I1577">
        <v>0</v>
      </c>
      <c r="J1577">
        <v>2</v>
      </c>
      <c r="K1577">
        <v>58</v>
      </c>
      <c r="L1577" t="s">
        <v>43</v>
      </c>
      <c r="M1577" t="s">
        <v>38</v>
      </c>
      <c r="N1577" s="1">
        <v>45672</v>
      </c>
      <c r="O1577" s="2">
        <v>0.5832060185185185</v>
      </c>
      <c r="P1577" s="2">
        <v>0.95893518518518517</v>
      </c>
      <c r="Q1577">
        <v>9.02</v>
      </c>
      <c r="R1577">
        <v>9.01</v>
      </c>
      <c r="S1577">
        <v>0.46</v>
      </c>
      <c r="T1577">
        <v>0.14000000000000001</v>
      </c>
      <c r="U1577">
        <v>0</v>
      </c>
      <c r="V1577">
        <v>0.56000000000000005</v>
      </c>
      <c r="W1577">
        <v>5.73</v>
      </c>
      <c r="X1577">
        <v>1.49</v>
      </c>
      <c r="Y1577">
        <v>0.27</v>
      </c>
      <c r="Z1577">
        <v>0</v>
      </c>
      <c r="AA1577">
        <v>0.33</v>
      </c>
      <c r="AB1577">
        <v>0.04</v>
      </c>
      <c r="AC1577">
        <v>9.01</v>
      </c>
      <c r="AD1577">
        <v>5.0599999999999996</v>
      </c>
      <c r="AE1577">
        <v>1.54</v>
      </c>
      <c r="AF1577">
        <v>0</v>
      </c>
      <c r="AG1577">
        <v>6.16</v>
      </c>
      <c r="AH1577">
        <v>63.58</v>
      </c>
      <c r="AI1577">
        <v>16.54</v>
      </c>
      <c r="AJ1577">
        <v>3.01</v>
      </c>
      <c r="AK1577">
        <v>0</v>
      </c>
      <c r="AL1577">
        <v>3.65</v>
      </c>
      <c r="AM1577">
        <v>0.44</v>
      </c>
      <c r="AN1577">
        <f t="shared" si="73"/>
        <v>4</v>
      </c>
      <c r="AO1577" t="str">
        <f t="shared" si="74"/>
        <v>Wednesday</v>
      </c>
    </row>
    <row r="1578" spans="1:41" x14ac:dyDescent="0.2">
      <c r="B1578" s="1">
        <v>45672</v>
      </c>
      <c r="C1578" s="1">
        <f t="shared" si="72"/>
        <v>45688</v>
      </c>
      <c r="D1578">
        <v>797</v>
      </c>
      <c r="E1578">
        <v>0</v>
      </c>
      <c r="F1578">
        <v>0</v>
      </c>
      <c r="G1578">
        <v>0</v>
      </c>
      <c r="H1578">
        <v>0</v>
      </c>
      <c r="I1578">
        <v>0</v>
      </c>
      <c r="J1578">
        <v>0</v>
      </c>
      <c r="K1578">
        <v>0</v>
      </c>
      <c r="AN1578">
        <f t="shared" si="73"/>
        <v>4</v>
      </c>
      <c r="AO1578" t="str">
        <f t="shared" si="74"/>
        <v>Wednesday</v>
      </c>
    </row>
    <row r="1579" spans="1:41" x14ac:dyDescent="0.2">
      <c r="A1579" t="s">
        <v>37</v>
      </c>
      <c r="B1579" s="1">
        <v>45671</v>
      </c>
      <c r="C1579" s="1">
        <f t="shared" si="72"/>
        <v>45688</v>
      </c>
      <c r="D1579">
        <v>24</v>
      </c>
      <c r="E1579">
        <v>51</v>
      </c>
      <c r="F1579">
        <v>6</v>
      </c>
      <c r="G1579">
        <v>7</v>
      </c>
      <c r="H1579">
        <v>5</v>
      </c>
      <c r="I1579">
        <v>1</v>
      </c>
      <c r="J1579">
        <v>4</v>
      </c>
      <c r="K1579">
        <v>23</v>
      </c>
      <c r="L1579" t="s">
        <v>37</v>
      </c>
      <c r="M1579" t="s">
        <v>38</v>
      </c>
      <c r="N1579" s="1">
        <v>45671</v>
      </c>
      <c r="O1579" s="2">
        <v>0.58333333333333337</v>
      </c>
      <c r="P1579" s="2">
        <v>0.95981481481481479</v>
      </c>
      <c r="Q1579">
        <v>9.0299999999999994</v>
      </c>
      <c r="R1579">
        <v>8.08</v>
      </c>
      <c r="S1579">
        <v>1.19</v>
      </c>
      <c r="T1579">
        <v>0.38</v>
      </c>
      <c r="U1579">
        <v>0</v>
      </c>
      <c r="V1579">
        <v>0.35</v>
      </c>
      <c r="W1579">
        <v>5.82</v>
      </c>
      <c r="X1579">
        <v>0.3</v>
      </c>
      <c r="Y1579">
        <v>0</v>
      </c>
      <c r="Z1579">
        <v>0</v>
      </c>
      <c r="AA1579">
        <v>0</v>
      </c>
      <c r="AB1579">
        <v>0.04</v>
      </c>
      <c r="AC1579">
        <v>8.08</v>
      </c>
      <c r="AD1579">
        <v>14.67</v>
      </c>
      <c r="AE1579">
        <v>4.6900000000000004</v>
      </c>
      <c r="AF1579">
        <v>0</v>
      </c>
      <c r="AG1579">
        <v>4.3899999999999997</v>
      </c>
      <c r="AH1579">
        <v>72</v>
      </c>
      <c r="AI1579">
        <v>3.7</v>
      </c>
      <c r="AJ1579">
        <v>0</v>
      </c>
      <c r="AK1579">
        <v>0</v>
      </c>
      <c r="AL1579">
        <v>0</v>
      </c>
      <c r="AM1579">
        <v>0.55000000000000004</v>
      </c>
      <c r="AN1579">
        <f t="shared" si="73"/>
        <v>3</v>
      </c>
      <c r="AO1579" t="str">
        <f t="shared" si="74"/>
        <v>Tuesday</v>
      </c>
    </row>
    <row r="1580" spans="1:41" x14ac:dyDescent="0.2">
      <c r="A1580" t="s">
        <v>39</v>
      </c>
      <c r="B1580" s="1">
        <v>45671</v>
      </c>
      <c r="C1580" s="1">
        <f t="shared" si="72"/>
        <v>45688</v>
      </c>
      <c r="D1580">
        <v>28</v>
      </c>
      <c r="E1580">
        <v>59</v>
      </c>
      <c r="F1580">
        <v>14</v>
      </c>
      <c r="G1580">
        <v>2</v>
      </c>
      <c r="H1580">
        <v>4</v>
      </c>
      <c r="I1580">
        <v>0</v>
      </c>
      <c r="J1580">
        <v>0</v>
      </c>
      <c r="K1580">
        <v>22</v>
      </c>
      <c r="L1580" t="s">
        <v>39</v>
      </c>
      <c r="M1580" t="s">
        <v>38</v>
      </c>
      <c r="N1580" s="1">
        <v>45671</v>
      </c>
      <c r="O1580" s="2">
        <v>0.5837268518518518</v>
      </c>
      <c r="P1580" s="2">
        <v>0.96607638888888892</v>
      </c>
      <c r="Q1580">
        <v>9.18</v>
      </c>
      <c r="R1580">
        <v>9.17</v>
      </c>
      <c r="S1580">
        <v>1.87</v>
      </c>
      <c r="T1580">
        <v>0.13</v>
      </c>
      <c r="U1580">
        <v>0</v>
      </c>
      <c r="V1580">
        <v>0.04</v>
      </c>
      <c r="W1580">
        <v>5.31</v>
      </c>
      <c r="X1580">
        <v>1.49</v>
      </c>
      <c r="Y1580">
        <v>0.32</v>
      </c>
      <c r="Z1580">
        <v>0</v>
      </c>
      <c r="AA1580">
        <v>0</v>
      </c>
      <c r="AB1580">
        <v>0</v>
      </c>
      <c r="AC1580">
        <v>9.17</v>
      </c>
      <c r="AD1580">
        <v>20.420000000000002</v>
      </c>
      <c r="AE1580">
        <v>1.47</v>
      </c>
      <c r="AF1580">
        <v>0</v>
      </c>
      <c r="AG1580">
        <v>0.4</v>
      </c>
      <c r="AH1580">
        <v>57.91</v>
      </c>
      <c r="AI1580">
        <v>16.27</v>
      </c>
      <c r="AJ1580">
        <v>3.48</v>
      </c>
      <c r="AK1580">
        <v>0</v>
      </c>
      <c r="AL1580">
        <v>0</v>
      </c>
      <c r="AM1580">
        <v>0.04</v>
      </c>
      <c r="AN1580">
        <f t="shared" si="73"/>
        <v>3</v>
      </c>
      <c r="AO1580" t="str">
        <f t="shared" si="74"/>
        <v>Tuesday</v>
      </c>
    </row>
    <row r="1581" spans="1:41" x14ac:dyDescent="0.2">
      <c r="A1581" t="s">
        <v>56</v>
      </c>
      <c r="B1581" s="1">
        <v>45671</v>
      </c>
      <c r="C1581" s="1">
        <f t="shared" si="72"/>
        <v>45688</v>
      </c>
      <c r="D1581">
        <v>31</v>
      </c>
      <c r="E1581">
        <v>36</v>
      </c>
      <c r="F1581">
        <v>2</v>
      </c>
      <c r="G1581">
        <v>4</v>
      </c>
      <c r="H1581">
        <v>5</v>
      </c>
      <c r="I1581">
        <v>1</v>
      </c>
      <c r="J1581">
        <v>0</v>
      </c>
      <c r="K1581">
        <v>13</v>
      </c>
      <c r="L1581" t="s">
        <v>56</v>
      </c>
      <c r="M1581" t="s">
        <v>38</v>
      </c>
      <c r="N1581" s="1">
        <v>45671</v>
      </c>
      <c r="O1581" s="2">
        <v>0.5841319444444445</v>
      </c>
      <c r="P1581" s="2">
        <v>0.95835648148148145</v>
      </c>
      <c r="Q1581">
        <v>8.98</v>
      </c>
      <c r="R1581">
        <v>8.98</v>
      </c>
      <c r="S1581">
        <v>1.54</v>
      </c>
      <c r="T1581">
        <v>0.1</v>
      </c>
      <c r="U1581">
        <v>0</v>
      </c>
      <c r="V1581">
        <v>0.02</v>
      </c>
      <c r="W1581">
        <v>5.81</v>
      </c>
      <c r="X1581">
        <v>1.51</v>
      </c>
      <c r="Y1581">
        <v>0</v>
      </c>
      <c r="Z1581">
        <v>0</v>
      </c>
      <c r="AA1581">
        <v>0</v>
      </c>
      <c r="AB1581">
        <v>0</v>
      </c>
      <c r="AC1581">
        <v>8.98</v>
      </c>
      <c r="AD1581">
        <v>17.13</v>
      </c>
      <c r="AE1581">
        <v>1.1599999999999999</v>
      </c>
      <c r="AF1581">
        <v>0</v>
      </c>
      <c r="AG1581">
        <v>0.2</v>
      </c>
      <c r="AH1581">
        <v>64.7</v>
      </c>
      <c r="AI1581">
        <v>16.760000000000002</v>
      </c>
      <c r="AJ1581">
        <v>0</v>
      </c>
      <c r="AK1581">
        <v>0</v>
      </c>
      <c r="AL1581">
        <v>0</v>
      </c>
      <c r="AM1581">
        <v>0.04</v>
      </c>
      <c r="AN1581">
        <f t="shared" si="73"/>
        <v>3</v>
      </c>
      <c r="AO1581" t="str">
        <f t="shared" si="74"/>
        <v>Tuesday</v>
      </c>
    </row>
    <row r="1582" spans="1:41" x14ac:dyDescent="0.2">
      <c r="A1582" t="s">
        <v>41</v>
      </c>
      <c r="B1582" s="1">
        <v>45671</v>
      </c>
      <c r="C1582" s="1">
        <f t="shared" si="72"/>
        <v>45688</v>
      </c>
      <c r="D1582">
        <v>30</v>
      </c>
      <c r="E1582">
        <v>61</v>
      </c>
      <c r="F1582">
        <v>4</v>
      </c>
      <c r="G1582">
        <v>6</v>
      </c>
      <c r="H1582">
        <v>1</v>
      </c>
      <c r="I1582">
        <v>0</v>
      </c>
      <c r="J1582">
        <v>0</v>
      </c>
      <c r="K1582">
        <v>29</v>
      </c>
      <c r="L1582" t="s">
        <v>41</v>
      </c>
      <c r="M1582" t="s">
        <v>38</v>
      </c>
      <c r="N1582" s="1">
        <v>45671</v>
      </c>
      <c r="O1582" s="2">
        <v>0.58273148148148146</v>
      </c>
      <c r="P1582" s="2">
        <v>0.79109953703703706</v>
      </c>
      <c r="Q1582">
        <v>5</v>
      </c>
      <c r="R1582">
        <v>5</v>
      </c>
      <c r="S1582">
        <v>0.59</v>
      </c>
      <c r="T1582">
        <v>0.05</v>
      </c>
      <c r="U1582">
        <v>0</v>
      </c>
      <c r="V1582">
        <v>0.32</v>
      </c>
      <c r="W1582">
        <v>2.62</v>
      </c>
      <c r="X1582">
        <v>1.37</v>
      </c>
      <c r="Y1582">
        <v>0</v>
      </c>
      <c r="Z1582">
        <v>0</v>
      </c>
      <c r="AA1582">
        <v>0.04</v>
      </c>
      <c r="AB1582">
        <v>0</v>
      </c>
      <c r="AC1582">
        <v>5</v>
      </c>
      <c r="AD1582">
        <v>11.77</v>
      </c>
      <c r="AE1582">
        <v>1.01</v>
      </c>
      <c r="AF1582">
        <v>0</v>
      </c>
      <c r="AG1582">
        <v>6.45</v>
      </c>
      <c r="AH1582">
        <v>52.41</v>
      </c>
      <c r="AI1582">
        <v>27.44</v>
      </c>
      <c r="AJ1582">
        <v>0</v>
      </c>
      <c r="AK1582">
        <v>0</v>
      </c>
      <c r="AL1582">
        <v>0.86</v>
      </c>
      <c r="AM1582">
        <v>7.0000000000000007E-2</v>
      </c>
      <c r="AN1582">
        <f t="shared" si="73"/>
        <v>3</v>
      </c>
      <c r="AO1582" t="str">
        <f t="shared" si="74"/>
        <v>Tuesday</v>
      </c>
    </row>
    <row r="1583" spans="1:41" x14ac:dyDescent="0.2">
      <c r="A1583" t="s">
        <v>42</v>
      </c>
      <c r="B1583" s="1">
        <v>45671</v>
      </c>
      <c r="C1583" s="1">
        <f t="shared" si="72"/>
        <v>45688</v>
      </c>
      <c r="D1583">
        <v>25</v>
      </c>
      <c r="E1583">
        <v>30</v>
      </c>
      <c r="F1583">
        <v>2</v>
      </c>
      <c r="G1583">
        <v>4</v>
      </c>
      <c r="H1583">
        <v>1</v>
      </c>
      <c r="I1583">
        <v>0</v>
      </c>
      <c r="J1583">
        <v>1</v>
      </c>
      <c r="K1583">
        <v>10</v>
      </c>
      <c r="L1583" t="s">
        <v>42</v>
      </c>
      <c r="M1583" t="s">
        <v>38</v>
      </c>
      <c r="N1583" s="1">
        <v>45671</v>
      </c>
      <c r="O1583" s="2">
        <v>0.58446759259259262</v>
      </c>
      <c r="P1583" s="2">
        <v>0.95907407407407408</v>
      </c>
      <c r="Q1583">
        <v>9</v>
      </c>
      <c r="R1583">
        <v>8.99</v>
      </c>
      <c r="S1583">
        <v>1.84</v>
      </c>
      <c r="T1583">
        <v>0.72</v>
      </c>
      <c r="U1583">
        <v>0</v>
      </c>
      <c r="V1583">
        <v>0.32</v>
      </c>
      <c r="W1583">
        <v>4.63</v>
      </c>
      <c r="X1583">
        <v>1.47</v>
      </c>
      <c r="Y1583">
        <v>0</v>
      </c>
      <c r="Z1583">
        <v>0</v>
      </c>
      <c r="AA1583">
        <v>0</v>
      </c>
      <c r="AB1583">
        <v>0</v>
      </c>
      <c r="AC1583">
        <v>8.99</v>
      </c>
      <c r="AD1583">
        <v>20.46</v>
      </c>
      <c r="AE1583">
        <v>8.02</v>
      </c>
      <c r="AF1583">
        <v>0</v>
      </c>
      <c r="AG1583">
        <v>3.55</v>
      </c>
      <c r="AH1583">
        <v>51.55</v>
      </c>
      <c r="AI1583">
        <v>16.37</v>
      </c>
      <c r="AJ1583">
        <v>0</v>
      </c>
      <c r="AK1583">
        <v>0</v>
      </c>
      <c r="AL1583">
        <v>0</v>
      </c>
      <c r="AM1583">
        <v>0.05</v>
      </c>
      <c r="AN1583">
        <f t="shared" si="73"/>
        <v>3</v>
      </c>
      <c r="AO1583" t="str">
        <f t="shared" si="74"/>
        <v>Tuesday</v>
      </c>
    </row>
    <row r="1584" spans="1:41" x14ac:dyDescent="0.2">
      <c r="A1584" t="s">
        <v>43</v>
      </c>
      <c r="B1584" s="1">
        <v>45671</v>
      </c>
      <c r="C1584" s="1">
        <f t="shared" si="72"/>
        <v>45688</v>
      </c>
      <c r="D1584">
        <v>27</v>
      </c>
      <c r="E1584">
        <v>71</v>
      </c>
      <c r="F1584">
        <v>6</v>
      </c>
      <c r="G1584">
        <v>8</v>
      </c>
      <c r="H1584">
        <v>8</v>
      </c>
      <c r="I1584">
        <v>0</v>
      </c>
      <c r="J1584">
        <v>0</v>
      </c>
      <c r="K1584">
        <v>37</v>
      </c>
      <c r="L1584" t="s">
        <v>43</v>
      </c>
      <c r="M1584" t="s">
        <v>38</v>
      </c>
      <c r="N1584" s="1">
        <v>45671</v>
      </c>
      <c r="O1584" s="2">
        <v>0.58565972222222218</v>
      </c>
      <c r="P1584" s="2">
        <v>0.96075231481481482</v>
      </c>
      <c r="Q1584">
        <v>9</v>
      </c>
      <c r="R1584">
        <v>9</v>
      </c>
      <c r="S1584">
        <v>0.71</v>
      </c>
      <c r="T1584">
        <v>0.16</v>
      </c>
      <c r="U1584">
        <v>0</v>
      </c>
      <c r="V1584">
        <v>0.62</v>
      </c>
      <c r="W1584">
        <v>5.45</v>
      </c>
      <c r="X1584">
        <v>1.52</v>
      </c>
      <c r="Y1584">
        <v>0.27</v>
      </c>
      <c r="Z1584">
        <v>0</v>
      </c>
      <c r="AA1584">
        <v>0.27</v>
      </c>
      <c r="AB1584">
        <v>0</v>
      </c>
      <c r="AC1584">
        <v>9</v>
      </c>
      <c r="AD1584">
        <v>7.86</v>
      </c>
      <c r="AE1584">
        <v>1.83</v>
      </c>
      <c r="AF1584">
        <v>0</v>
      </c>
      <c r="AG1584">
        <v>6.92</v>
      </c>
      <c r="AH1584">
        <v>60.55</v>
      </c>
      <c r="AI1584">
        <v>16.86</v>
      </c>
      <c r="AJ1584">
        <v>2.96</v>
      </c>
      <c r="AK1584">
        <v>0</v>
      </c>
      <c r="AL1584">
        <v>2.99</v>
      </c>
      <c r="AM1584">
        <v>0.03</v>
      </c>
      <c r="AN1584">
        <f t="shared" si="73"/>
        <v>3</v>
      </c>
      <c r="AO1584" t="str">
        <f t="shared" si="74"/>
        <v>Tuesday</v>
      </c>
    </row>
    <row r="1585" spans="1:41" x14ac:dyDescent="0.2">
      <c r="B1585" s="1">
        <v>45671</v>
      </c>
      <c r="C1585" s="1">
        <f t="shared" si="72"/>
        <v>45688</v>
      </c>
      <c r="D1585">
        <v>829</v>
      </c>
      <c r="E1585">
        <v>0</v>
      </c>
      <c r="F1585">
        <v>0</v>
      </c>
      <c r="G1585">
        <v>0</v>
      </c>
      <c r="H1585">
        <v>0</v>
      </c>
      <c r="I1585">
        <v>0</v>
      </c>
      <c r="J1585">
        <v>0</v>
      </c>
      <c r="K1585">
        <v>0</v>
      </c>
      <c r="AN1585">
        <f t="shared" si="73"/>
        <v>3</v>
      </c>
      <c r="AO1585" t="str">
        <f t="shared" si="74"/>
        <v>Tuesday</v>
      </c>
    </row>
    <row r="1586" spans="1:41" x14ac:dyDescent="0.2">
      <c r="A1586" t="s">
        <v>39</v>
      </c>
      <c r="B1586" s="1">
        <v>45670</v>
      </c>
      <c r="C1586" s="1">
        <f t="shared" si="72"/>
        <v>45688</v>
      </c>
      <c r="D1586">
        <v>27</v>
      </c>
      <c r="E1586">
        <v>66</v>
      </c>
      <c r="F1586">
        <v>3</v>
      </c>
      <c r="G1586">
        <v>6</v>
      </c>
      <c r="H1586">
        <v>5</v>
      </c>
      <c r="I1586">
        <v>0</v>
      </c>
      <c r="J1586">
        <v>3</v>
      </c>
      <c r="K1586">
        <v>36</v>
      </c>
      <c r="L1586" t="s">
        <v>39</v>
      </c>
      <c r="M1586" t="s">
        <v>38</v>
      </c>
      <c r="N1586" s="1">
        <v>45670</v>
      </c>
      <c r="O1586" s="2">
        <v>0.58368055555555554</v>
      </c>
      <c r="P1586" s="2">
        <v>0.95863425925925927</v>
      </c>
      <c r="Q1586">
        <v>9</v>
      </c>
      <c r="R1586">
        <v>8.99</v>
      </c>
      <c r="S1586">
        <v>1.35</v>
      </c>
      <c r="T1586">
        <v>0.14000000000000001</v>
      </c>
      <c r="U1586">
        <v>0</v>
      </c>
      <c r="V1586">
        <v>0.03</v>
      </c>
      <c r="W1586">
        <v>5.36</v>
      </c>
      <c r="X1586">
        <v>1.49</v>
      </c>
      <c r="Y1586">
        <v>0.6</v>
      </c>
      <c r="Z1586">
        <v>0</v>
      </c>
      <c r="AA1586">
        <v>0</v>
      </c>
      <c r="AB1586">
        <v>0.01</v>
      </c>
      <c r="AC1586">
        <v>8.99</v>
      </c>
      <c r="AD1586">
        <v>15.01</v>
      </c>
      <c r="AE1586">
        <v>1.6</v>
      </c>
      <c r="AF1586">
        <v>0</v>
      </c>
      <c r="AG1586">
        <v>0.38</v>
      </c>
      <c r="AH1586">
        <v>59.67</v>
      </c>
      <c r="AI1586">
        <v>16.54</v>
      </c>
      <c r="AJ1586">
        <v>6.69</v>
      </c>
      <c r="AK1586">
        <v>0</v>
      </c>
      <c r="AL1586">
        <v>0</v>
      </c>
      <c r="AM1586">
        <v>0.11</v>
      </c>
      <c r="AN1586">
        <f t="shared" si="73"/>
        <v>2</v>
      </c>
      <c r="AO1586" t="str">
        <f t="shared" si="74"/>
        <v>Monday</v>
      </c>
    </row>
    <row r="1587" spans="1:41" x14ac:dyDescent="0.2">
      <c r="A1587" t="s">
        <v>56</v>
      </c>
      <c r="B1587" s="1">
        <v>45670</v>
      </c>
      <c r="C1587" s="1">
        <f t="shared" si="72"/>
        <v>45688</v>
      </c>
      <c r="D1587">
        <v>37</v>
      </c>
      <c r="E1587">
        <v>46</v>
      </c>
      <c r="F1587">
        <v>4</v>
      </c>
      <c r="G1587">
        <v>6</v>
      </c>
      <c r="H1587">
        <v>4</v>
      </c>
      <c r="I1587">
        <v>0</v>
      </c>
      <c r="J1587">
        <v>0</v>
      </c>
      <c r="K1587">
        <v>19</v>
      </c>
      <c r="L1587" t="s">
        <v>56</v>
      </c>
      <c r="M1587" t="s">
        <v>38</v>
      </c>
      <c r="N1587" s="1">
        <v>45670</v>
      </c>
      <c r="O1587" s="2">
        <v>0.58202546296296298</v>
      </c>
      <c r="P1587" s="2">
        <v>0.95843750000000005</v>
      </c>
      <c r="Q1587">
        <v>9.0299999999999994</v>
      </c>
      <c r="R1587">
        <v>9.0299999999999994</v>
      </c>
      <c r="S1587">
        <v>2.13</v>
      </c>
      <c r="T1587">
        <v>0</v>
      </c>
      <c r="U1587">
        <v>0</v>
      </c>
      <c r="V1587">
        <v>0.12</v>
      </c>
      <c r="W1587">
        <v>5.36</v>
      </c>
      <c r="X1587">
        <v>1.42</v>
      </c>
      <c r="Y1587">
        <v>0</v>
      </c>
      <c r="Z1587">
        <v>0</v>
      </c>
      <c r="AA1587">
        <v>0</v>
      </c>
      <c r="AB1587">
        <v>0.01</v>
      </c>
      <c r="AC1587">
        <v>9.0299999999999994</v>
      </c>
      <c r="AD1587">
        <v>23.53</v>
      </c>
      <c r="AE1587">
        <v>0</v>
      </c>
      <c r="AF1587">
        <v>0</v>
      </c>
      <c r="AG1587">
        <v>1.33</v>
      </c>
      <c r="AH1587">
        <v>59.32</v>
      </c>
      <c r="AI1587">
        <v>15.67</v>
      </c>
      <c r="AJ1587">
        <v>0</v>
      </c>
      <c r="AK1587">
        <v>0</v>
      </c>
      <c r="AL1587">
        <v>0</v>
      </c>
      <c r="AM1587">
        <v>0.15</v>
      </c>
      <c r="AN1587">
        <f t="shared" si="73"/>
        <v>2</v>
      </c>
      <c r="AO1587" t="str">
        <f t="shared" si="74"/>
        <v>Monday</v>
      </c>
    </row>
    <row r="1588" spans="1:41" x14ac:dyDescent="0.2">
      <c r="A1588" t="s">
        <v>41</v>
      </c>
      <c r="B1588" s="1">
        <v>45670</v>
      </c>
      <c r="C1588" s="1">
        <f t="shared" si="72"/>
        <v>45688</v>
      </c>
      <c r="D1588">
        <v>56</v>
      </c>
      <c r="E1588">
        <v>125</v>
      </c>
      <c r="F1588">
        <v>14</v>
      </c>
      <c r="G1588">
        <v>9</v>
      </c>
      <c r="H1588">
        <v>2</v>
      </c>
      <c r="I1588">
        <v>0</v>
      </c>
      <c r="J1588">
        <v>0</v>
      </c>
      <c r="K1588">
        <v>64</v>
      </c>
      <c r="L1588" t="s">
        <v>41</v>
      </c>
      <c r="M1588" t="s">
        <v>38</v>
      </c>
      <c r="N1588" s="1">
        <v>45670</v>
      </c>
      <c r="O1588" s="2">
        <v>0.58266203703703701</v>
      </c>
      <c r="P1588" s="2">
        <v>0.95767361111111116</v>
      </c>
      <c r="Q1588">
        <v>9</v>
      </c>
      <c r="R1588">
        <v>9</v>
      </c>
      <c r="S1588">
        <v>1.71</v>
      </c>
      <c r="T1588">
        <v>0</v>
      </c>
      <c r="U1588">
        <v>0</v>
      </c>
      <c r="V1588">
        <v>0.54</v>
      </c>
      <c r="W1588">
        <v>5.26</v>
      </c>
      <c r="X1588">
        <v>1.48</v>
      </c>
      <c r="Y1588">
        <v>0</v>
      </c>
      <c r="Z1588">
        <v>0</v>
      </c>
      <c r="AA1588">
        <v>0</v>
      </c>
      <c r="AB1588">
        <v>0.01</v>
      </c>
      <c r="AC1588">
        <v>9</v>
      </c>
      <c r="AD1588">
        <v>19.010000000000002</v>
      </c>
      <c r="AE1588">
        <v>0</v>
      </c>
      <c r="AF1588">
        <v>0</v>
      </c>
      <c r="AG1588">
        <v>5.99</v>
      </c>
      <c r="AH1588">
        <v>58.47</v>
      </c>
      <c r="AI1588">
        <v>16.399999999999999</v>
      </c>
      <c r="AJ1588">
        <v>0</v>
      </c>
      <c r="AK1588">
        <v>0</v>
      </c>
      <c r="AL1588">
        <v>0</v>
      </c>
      <c r="AM1588">
        <v>0.13</v>
      </c>
      <c r="AN1588">
        <f t="shared" si="73"/>
        <v>2</v>
      </c>
      <c r="AO1588" t="str">
        <f t="shared" si="74"/>
        <v>Monday</v>
      </c>
    </row>
    <row r="1589" spans="1:41" x14ac:dyDescent="0.2">
      <c r="A1589" t="s">
        <v>42</v>
      </c>
      <c r="B1589" s="1">
        <v>45670</v>
      </c>
      <c r="C1589" s="1">
        <f t="shared" si="72"/>
        <v>45688</v>
      </c>
      <c r="D1589">
        <v>26</v>
      </c>
      <c r="E1589">
        <v>28</v>
      </c>
      <c r="F1589">
        <v>3</v>
      </c>
      <c r="G1589">
        <v>3</v>
      </c>
      <c r="H1589">
        <v>4</v>
      </c>
      <c r="I1589">
        <v>0</v>
      </c>
      <c r="J1589">
        <v>1</v>
      </c>
      <c r="K1589">
        <v>11</v>
      </c>
      <c r="L1589" t="s">
        <v>42</v>
      </c>
      <c r="M1589" t="s">
        <v>38</v>
      </c>
      <c r="N1589" s="1">
        <v>45670</v>
      </c>
      <c r="O1589" s="2">
        <v>0.58307870370370374</v>
      </c>
      <c r="P1589" s="2">
        <v>0.96539351851851851</v>
      </c>
      <c r="Q1589">
        <v>9.18</v>
      </c>
      <c r="R1589">
        <v>9.18</v>
      </c>
      <c r="S1589">
        <v>2.65</v>
      </c>
      <c r="T1589">
        <v>0.54</v>
      </c>
      <c r="U1589">
        <v>0</v>
      </c>
      <c r="V1589">
        <v>0.7</v>
      </c>
      <c r="W1589">
        <v>3.8</v>
      </c>
      <c r="X1589">
        <v>1.48</v>
      </c>
      <c r="Y1589">
        <v>0</v>
      </c>
      <c r="Z1589">
        <v>0</v>
      </c>
      <c r="AA1589">
        <v>0</v>
      </c>
      <c r="AB1589">
        <v>0</v>
      </c>
      <c r="AC1589">
        <v>9.18</v>
      </c>
      <c r="AD1589">
        <v>28.91</v>
      </c>
      <c r="AE1589">
        <v>5.85</v>
      </c>
      <c r="AF1589">
        <v>0</v>
      </c>
      <c r="AG1589">
        <v>7.66</v>
      </c>
      <c r="AH1589">
        <v>41.4</v>
      </c>
      <c r="AI1589">
        <v>16.14</v>
      </c>
      <c r="AJ1589">
        <v>0</v>
      </c>
      <c r="AK1589">
        <v>0</v>
      </c>
      <c r="AL1589">
        <v>0</v>
      </c>
      <c r="AM1589">
        <v>0.05</v>
      </c>
      <c r="AN1589">
        <f t="shared" si="73"/>
        <v>2</v>
      </c>
      <c r="AO1589" t="str">
        <f t="shared" si="74"/>
        <v>Monday</v>
      </c>
    </row>
    <row r="1590" spans="1:41" x14ac:dyDescent="0.2">
      <c r="A1590" t="s">
        <v>43</v>
      </c>
      <c r="B1590" s="1">
        <v>45670</v>
      </c>
      <c r="C1590" s="1">
        <f t="shared" si="72"/>
        <v>45688</v>
      </c>
      <c r="D1590">
        <v>46</v>
      </c>
      <c r="E1590">
        <v>111</v>
      </c>
      <c r="F1590">
        <v>4</v>
      </c>
      <c r="G1590">
        <v>8</v>
      </c>
      <c r="H1590">
        <v>3</v>
      </c>
      <c r="I1590">
        <v>1</v>
      </c>
      <c r="J1590">
        <v>0</v>
      </c>
      <c r="K1590">
        <v>60</v>
      </c>
      <c r="L1590" t="s">
        <v>43</v>
      </c>
      <c r="M1590" t="s">
        <v>38</v>
      </c>
      <c r="N1590" s="1">
        <v>45670</v>
      </c>
      <c r="O1590" s="2">
        <v>0.58289351851851856</v>
      </c>
      <c r="P1590" s="2">
        <v>0.96900462962962963</v>
      </c>
      <c r="Q1590">
        <v>9.27</v>
      </c>
      <c r="R1590">
        <v>9.27</v>
      </c>
      <c r="S1590">
        <v>1.1299999999999999</v>
      </c>
      <c r="T1590">
        <v>0.2</v>
      </c>
      <c r="U1590">
        <v>0</v>
      </c>
      <c r="V1590">
        <v>0.55000000000000004</v>
      </c>
      <c r="W1590">
        <v>5.64</v>
      </c>
      <c r="X1590">
        <v>1.49</v>
      </c>
      <c r="Y1590">
        <v>0.25</v>
      </c>
      <c r="Z1590">
        <v>0</v>
      </c>
      <c r="AA1590">
        <v>0</v>
      </c>
      <c r="AB1590">
        <v>0</v>
      </c>
      <c r="AC1590">
        <v>9.27</v>
      </c>
      <c r="AD1590">
        <v>12.23</v>
      </c>
      <c r="AE1590">
        <v>2.12</v>
      </c>
      <c r="AF1590">
        <v>0</v>
      </c>
      <c r="AG1590">
        <v>5.95</v>
      </c>
      <c r="AH1590">
        <v>60.84</v>
      </c>
      <c r="AI1590">
        <v>16.12</v>
      </c>
      <c r="AJ1590">
        <v>2.69</v>
      </c>
      <c r="AK1590">
        <v>0</v>
      </c>
      <c r="AL1590">
        <v>0</v>
      </c>
      <c r="AM1590">
        <v>0.04</v>
      </c>
      <c r="AN1590">
        <f t="shared" si="73"/>
        <v>2</v>
      </c>
      <c r="AO1590" t="str">
        <f t="shared" si="74"/>
        <v>Monday</v>
      </c>
    </row>
    <row r="1591" spans="1:41" x14ac:dyDescent="0.2">
      <c r="B1591" s="1">
        <v>45670</v>
      </c>
      <c r="C1591" s="1">
        <f t="shared" si="72"/>
        <v>45688</v>
      </c>
      <c r="D1591">
        <v>820</v>
      </c>
      <c r="E1591">
        <v>0</v>
      </c>
      <c r="F1591">
        <v>0</v>
      </c>
      <c r="G1591">
        <v>0</v>
      </c>
      <c r="H1591">
        <v>0</v>
      </c>
      <c r="I1591">
        <v>0</v>
      </c>
      <c r="J1591">
        <v>0</v>
      </c>
      <c r="K1591">
        <v>0</v>
      </c>
      <c r="AN1591">
        <f t="shared" si="73"/>
        <v>2</v>
      </c>
      <c r="AO1591" t="str">
        <f t="shared" si="74"/>
        <v>Monday</v>
      </c>
    </row>
    <row r="1592" spans="1:41" x14ac:dyDescent="0.2">
      <c r="A1592" t="s">
        <v>39</v>
      </c>
      <c r="B1592" s="1">
        <v>45667</v>
      </c>
      <c r="C1592" s="1">
        <f t="shared" si="72"/>
        <v>45688</v>
      </c>
      <c r="D1592">
        <v>33</v>
      </c>
      <c r="E1592">
        <v>96</v>
      </c>
      <c r="F1592">
        <v>19</v>
      </c>
      <c r="G1592">
        <v>19</v>
      </c>
      <c r="H1592">
        <v>36</v>
      </c>
      <c r="I1592">
        <v>0</v>
      </c>
      <c r="J1592">
        <v>2</v>
      </c>
      <c r="K1592">
        <v>29</v>
      </c>
      <c r="L1592" t="s">
        <v>39</v>
      </c>
      <c r="M1592" t="s">
        <v>38</v>
      </c>
      <c r="N1592" s="1">
        <v>45667</v>
      </c>
      <c r="O1592" s="2">
        <v>0.58357638888888885</v>
      </c>
      <c r="P1592" s="2">
        <v>0.95837962962962964</v>
      </c>
      <c r="Q1592">
        <v>9</v>
      </c>
      <c r="R1592">
        <v>8.99</v>
      </c>
      <c r="S1592">
        <v>2.33</v>
      </c>
      <c r="T1592">
        <v>0.19</v>
      </c>
      <c r="U1592">
        <v>0</v>
      </c>
      <c r="V1592">
        <v>0.05</v>
      </c>
      <c r="W1592">
        <v>5.04</v>
      </c>
      <c r="X1592">
        <v>1.39</v>
      </c>
      <c r="Y1592">
        <v>0</v>
      </c>
      <c r="Z1592">
        <v>0</v>
      </c>
      <c r="AA1592">
        <v>0</v>
      </c>
      <c r="AB1592">
        <v>0</v>
      </c>
      <c r="AC1592">
        <v>8.99</v>
      </c>
      <c r="AD1592">
        <v>25.94</v>
      </c>
      <c r="AE1592">
        <v>2.09</v>
      </c>
      <c r="AF1592">
        <v>0</v>
      </c>
      <c r="AG1592">
        <v>0.53</v>
      </c>
      <c r="AH1592">
        <v>55.99</v>
      </c>
      <c r="AI1592">
        <v>15.41</v>
      </c>
      <c r="AJ1592">
        <v>0</v>
      </c>
      <c r="AK1592">
        <v>0</v>
      </c>
      <c r="AL1592">
        <v>0</v>
      </c>
      <c r="AM1592">
        <v>0.05</v>
      </c>
      <c r="AN1592">
        <f t="shared" si="73"/>
        <v>6</v>
      </c>
      <c r="AO1592" t="str">
        <f t="shared" si="74"/>
        <v>Friday</v>
      </c>
    </row>
    <row r="1593" spans="1:41" x14ac:dyDescent="0.2">
      <c r="A1593" t="s">
        <v>56</v>
      </c>
      <c r="B1593" s="1">
        <v>45667</v>
      </c>
      <c r="C1593" s="1">
        <f t="shared" si="72"/>
        <v>45688</v>
      </c>
      <c r="D1593">
        <v>40</v>
      </c>
      <c r="E1593">
        <v>62</v>
      </c>
      <c r="F1593">
        <v>6</v>
      </c>
      <c r="G1593">
        <v>9</v>
      </c>
      <c r="H1593">
        <v>15</v>
      </c>
      <c r="I1593">
        <v>0</v>
      </c>
      <c r="J1593">
        <v>0</v>
      </c>
      <c r="K1593">
        <v>18</v>
      </c>
      <c r="L1593" t="s">
        <v>56</v>
      </c>
      <c r="M1593" t="s">
        <v>38</v>
      </c>
      <c r="N1593" s="1">
        <v>45667</v>
      </c>
      <c r="O1593" s="2">
        <v>0.58224537037037039</v>
      </c>
      <c r="P1593" s="2">
        <v>0.95840277777777783</v>
      </c>
      <c r="Q1593">
        <v>9.0299999999999994</v>
      </c>
      <c r="R1593">
        <v>9.0299999999999994</v>
      </c>
      <c r="S1593">
        <v>1.5</v>
      </c>
      <c r="T1593">
        <v>0</v>
      </c>
      <c r="U1593">
        <v>0</v>
      </c>
      <c r="V1593">
        <v>0.04</v>
      </c>
      <c r="W1593">
        <v>6.05</v>
      </c>
      <c r="X1593">
        <v>1.35</v>
      </c>
      <c r="Y1593">
        <v>0.05</v>
      </c>
      <c r="Z1593">
        <v>0</v>
      </c>
      <c r="AA1593">
        <v>0</v>
      </c>
      <c r="AB1593">
        <v>0.03</v>
      </c>
      <c r="AC1593">
        <v>9.0299999999999994</v>
      </c>
      <c r="AD1593">
        <v>16.61</v>
      </c>
      <c r="AE1593">
        <v>0</v>
      </c>
      <c r="AF1593">
        <v>0</v>
      </c>
      <c r="AG1593">
        <v>0.46</v>
      </c>
      <c r="AH1593">
        <v>67.03</v>
      </c>
      <c r="AI1593">
        <v>14.94</v>
      </c>
      <c r="AJ1593">
        <v>0.59</v>
      </c>
      <c r="AK1593">
        <v>0</v>
      </c>
      <c r="AL1593">
        <v>0</v>
      </c>
      <c r="AM1593">
        <v>0.37</v>
      </c>
      <c r="AN1593">
        <f t="shared" si="73"/>
        <v>6</v>
      </c>
      <c r="AO1593" t="str">
        <f t="shared" si="74"/>
        <v>Friday</v>
      </c>
    </row>
    <row r="1594" spans="1:41" x14ac:dyDescent="0.2">
      <c r="A1594" t="s">
        <v>41</v>
      </c>
      <c r="B1594" s="1">
        <v>45667</v>
      </c>
      <c r="C1594" s="1">
        <f t="shared" si="72"/>
        <v>45688</v>
      </c>
      <c r="D1594">
        <v>38</v>
      </c>
      <c r="E1594">
        <v>93</v>
      </c>
      <c r="F1594">
        <v>11</v>
      </c>
      <c r="G1594">
        <v>14</v>
      </c>
      <c r="H1594">
        <v>15</v>
      </c>
      <c r="I1594">
        <v>0</v>
      </c>
      <c r="J1594">
        <v>0</v>
      </c>
      <c r="K1594">
        <v>42</v>
      </c>
      <c r="L1594" t="s">
        <v>41</v>
      </c>
      <c r="M1594" t="s">
        <v>38</v>
      </c>
      <c r="N1594" s="1">
        <v>45667</v>
      </c>
      <c r="O1594" s="2">
        <v>0.58483796296296298</v>
      </c>
      <c r="P1594" s="2">
        <v>0.95807870370370374</v>
      </c>
      <c r="Q1594">
        <v>8.9499999999999993</v>
      </c>
      <c r="R1594">
        <v>8.9600000000000009</v>
      </c>
      <c r="S1594">
        <v>1.54</v>
      </c>
      <c r="T1594">
        <v>0.09</v>
      </c>
      <c r="U1594">
        <v>0</v>
      </c>
      <c r="V1594">
        <v>0.53</v>
      </c>
      <c r="W1594">
        <v>5.34</v>
      </c>
      <c r="X1594">
        <v>1.46</v>
      </c>
      <c r="Y1594">
        <v>0</v>
      </c>
      <c r="Z1594">
        <v>0</v>
      </c>
      <c r="AA1594">
        <v>0</v>
      </c>
      <c r="AB1594">
        <v>0</v>
      </c>
      <c r="AC1594">
        <v>8.9600000000000009</v>
      </c>
      <c r="AD1594">
        <v>17.149999999999999</v>
      </c>
      <c r="AE1594">
        <v>0.98</v>
      </c>
      <c r="AF1594">
        <v>0</v>
      </c>
      <c r="AG1594">
        <v>5.88</v>
      </c>
      <c r="AH1594">
        <v>59.66</v>
      </c>
      <c r="AI1594">
        <v>16.28</v>
      </c>
      <c r="AJ1594">
        <v>0</v>
      </c>
      <c r="AK1594">
        <v>0</v>
      </c>
      <c r="AL1594">
        <v>0</v>
      </c>
      <c r="AM1594">
        <v>0.05</v>
      </c>
      <c r="AN1594">
        <f t="shared" si="73"/>
        <v>6</v>
      </c>
      <c r="AO1594" t="str">
        <f t="shared" si="74"/>
        <v>Friday</v>
      </c>
    </row>
    <row r="1595" spans="1:41" x14ac:dyDescent="0.2">
      <c r="B1595" s="1">
        <v>45667</v>
      </c>
      <c r="C1595" s="1">
        <f t="shared" si="72"/>
        <v>45688</v>
      </c>
      <c r="D1595">
        <v>772</v>
      </c>
      <c r="E1595">
        <v>0</v>
      </c>
      <c r="F1595">
        <v>0</v>
      </c>
      <c r="G1595">
        <v>0</v>
      </c>
      <c r="H1595">
        <v>0</v>
      </c>
      <c r="I1595">
        <v>0</v>
      </c>
      <c r="J1595">
        <v>0</v>
      </c>
      <c r="K1595">
        <v>0</v>
      </c>
      <c r="AN1595">
        <f t="shared" si="73"/>
        <v>6</v>
      </c>
      <c r="AO1595" t="str">
        <f t="shared" si="74"/>
        <v>Friday</v>
      </c>
    </row>
    <row r="1596" spans="1:41" x14ac:dyDescent="0.2">
      <c r="A1596" t="s">
        <v>39</v>
      </c>
      <c r="B1596" s="1">
        <v>45666</v>
      </c>
      <c r="C1596" s="1">
        <f t="shared" si="72"/>
        <v>45688</v>
      </c>
      <c r="D1596">
        <v>26</v>
      </c>
      <c r="E1596">
        <v>41</v>
      </c>
      <c r="F1596">
        <v>5</v>
      </c>
      <c r="G1596">
        <v>4</v>
      </c>
      <c r="H1596">
        <v>5</v>
      </c>
      <c r="I1596">
        <v>0</v>
      </c>
      <c r="J1596">
        <v>0</v>
      </c>
      <c r="K1596">
        <v>18</v>
      </c>
      <c r="L1596" t="s">
        <v>39</v>
      </c>
      <c r="M1596" t="s">
        <v>38</v>
      </c>
      <c r="N1596" s="1">
        <v>45666</v>
      </c>
      <c r="O1596" s="2">
        <v>0.58379629629629626</v>
      </c>
      <c r="P1596" s="2">
        <v>0.95839120370370368</v>
      </c>
      <c r="Q1596">
        <v>9</v>
      </c>
      <c r="R1596">
        <v>8.99</v>
      </c>
      <c r="S1596">
        <v>1.21</v>
      </c>
      <c r="T1596">
        <v>0.09</v>
      </c>
      <c r="U1596">
        <v>0</v>
      </c>
      <c r="V1596">
        <v>0.03</v>
      </c>
      <c r="W1596">
        <v>5.0999999999999996</v>
      </c>
      <c r="X1596">
        <v>1.5</v>
      </c>
      <c r="Y1596">
        <v>1.06</v>
      </c>
      <c r="Z1596">
        <v>0</v>
      </c>
      <c r="AA1596">
        <v>0</v>
      </c>
      <c r="AB1596">
        <v>0</v>
      </c>
      <c r="AC1596">
        <v>8.99</v>
      </c>
      <c r="AD1596">
        <v>13.48</v>
      </c>
      <c r="AE1596">
        <v>1.04</v>
      </c>
      <c r="AF1596">
        <v>0</v>
      </c>
      <c r="AG1596">
        <v>0.28999999999999998</v>
      </c>
      <c r="AH1596">
        <v>56.75</v>
      </c>
      <c r="AI1596">
        <v>16.63</v>
      </c>
      <c r="AJ1596">
        <v>11.76</v>
      </c>
      <c r="AK1596">
        <v>0</v>
      </c>
      <c r="AL1596">
        <v>0</v>
      </c>
      <c r="AM1596">
        <v>0.04</v>
      </c>
      <c r="AN1596">
        <f t="shared" si="73"/>
        <v>5</v>
      </c>
      <c r="AO1596" t="str">
        <f t="shared" si="74"/>
        <v>Thursday</v>
      </c>
    </row>
    <row r="1597" spans="1:41" x14ac:dyDescent="0.2">
      <c r="A1597" t="s">
        <v>56</v>
      </c>
      <c r="B1597" s="1">
        <v>45666</v>
      </c>
      <c r="C1597" s="1">
        <f t="shared" si="72"/>
        <v>45688</v>
      </c>
      <c r="D1597">
        <v>23</v>
      </c>
      <c r="E1597">
        <v>30</v>
      </c>
      <c r="F1597">
        <v>1</v>
      </c>
      <c r="G1597">
        <v>4</v>
      </c>
      <c r="H1597">
        <v>2</v>
      </c>
      <c r="I1597">
        <v>0</v>
      </c>
      <c r="J1597">
        <v>0</v>
      </c>
      <c r="K1597">
        <v>10</v>
      </c>
      <c r="L1597" t="s">
        <v>56</v>
      </c>
      <c r="M1597" t="s">
        <v>38</v>
      </c>
      <c r="N1597" s="1">
        <v>45666</v>
      </c>
      <c r="O1597" s="2">
        <v>0.5836689814814815</v>
      </c>
      <c r="P1597" s="2">
        <v>0.95936342592592594</v>
      </c>
      <c r="Q1597">
        <v>9.02</v>
      </c>
      <c r="R1597">
        <v>9.02</v>
      </c>
      <c r="S1597">
        <v>1.64</v>
      </c>
      <c r="T1597">
        <v>0</v>
      </c>
      <c r="U1597">
        <v>0</v>
      </c>
      <c r="V1597">
        <v>0.03</v>
      </c>
      <c r="W1597">
        <v>4.83</v>
      </c>
      <c r="X1597">
        <v>1.51</v>
      </c>
      <c r="Y1597">
        <v>1</v>
      </c>
      <c r="Z1597">
        <v>0</v>
      </c>
      <c r="AA1597">
        <v>0</v>
      </c>
      <c r="AB1597">
        <v>0</v>
      </c>
      <c r="AC1597">
        <v>9.02</v>
      </c>
      <c r="AD1597">
        <v>18.22</v>
      </c>
      <c r="AE1597">
        <v>0</v>
      </c>
      <c r="AF1597">
        <v>0</v>
      </c>
      <c r="AG1597">
        <v>0.38</v>
      </c>
      <c r="AH1597">
        <v>53.61</v>
      </c>
      <c r="AI1597">
        <v>16.71</v>
      </c>
      <c r="AJ1597">
        <v>11.04</v>
      </c>
      <c r="AK1597">
        <v>0</v>
      </c>
      <c r="AL1597">
        <v>0</v>
      </c>
      <c r="AM1597">
        <v>0.04</v>
      </c>
      <c r="AN1597">
        <f t="shared" si="73"/>
        <v>5</v>
      </c>
      <c r="AO1597" t="str">
        <f t="shared" si="74"/>
        <v>Thursday</v>
      </c>
    </row>
    <row r="1598" spans="1:41" x14ac:dyDescent="0.2">
      <c r="A1598" t="s">
        <v>41</v>
      </c>
      <c r="B1598" s="1">
        <v>45666</v>
      </c>
      <c r="C1598" s="1">
        <f t="shared" si="72"/>
        <v>45688</v>
      </c>
      <c r="D1598">
        <v>38</v>
      </c>
      <c r="E1598">
        <v>79</v>
      </c>
      <c r="F1598">
        <v>11</v>
      </c>
      <c r="G1598">
        <v>8</v>
      </c>
      <c r="H1598">
        <v>4</v>
      </c>
      <c r="I1598">
        <v>0</v>
      </c>
      <c r="J1598">
        <v>0</v>
      </c>
      <c r="K1598">
        <v>38</v>
      </c>
      <c r="L1598" t="s">
        <v>41</v>
      </c>
      <c r="M1598" t="s">
        <v>38</v>
      </c>
      <c r="N1598" s="1">
        <v>45666</v>
      </c>
      <c r="O1598" s="2">
        <v>0.5852546296296296</v>
      </c>
      <c r="P1598" s="2">
        <v>0.9577430555555555</v>
      </c>
      <c r="Q1598">
        <v>8.9499999999999993</v>
      </c>
      <c r="R1598">
        <v>8.94</v>
      </c>
      <c r="S1598">
        <v>1.32</v>
      </c>
      <c r="T1598">
        <v>0</v>
      </c>
      <c r="U1598">
        <v>0</v>
      </c>
      <c r="V1598">
        <v>0.66</v>
      </c>
      <c r="W1598">
        <v>4.43</v>
      </c>
      <c r="X1598">
        <v>1.48</v>
      </c>
      <c r="Y1598">
        <v>1.04</v>
      </c>
      <c r="Z1598">
        <v>0</v>
      </c>
      <c r="AA1598">
        <v>0</v>
      </c>
      <c r="AB1598">
        <v>0</v>
      </c>
      <c r="AC1598">
        <v>8.94</v>
      </c>
      <c r="AD1598">
        <v>14.81</v>
      </c>
      <c r="AE1598">
        <v>0</v>
      </c>
      <c r="AF1598">
        <v>0</v>
      </c>
      <c r="AG1598">
        <v>7.33</v>
      </c>
      <c r="AH1598">
        <v>49.57</v>
      </c>
      <c r="AI1598">
        <v>16.61</v>
      </c>
      <c r="AJ1598">
        <v>11.64</v>
      </c>
      <c r="AK1598">
        <v>0</v>
      </c>
      <c r="AL1598">
        <v>0</v>
      </c>
      <c r="AM1598">
        <v>0.04</v>
      </c>
      <c r="AN1598">
        <f t="shared" si="73"/>
        <v>5</v>
      </c>
      <c r="AO1598" t="str">
        <f t="shared" si="74"/>
        <v>Thursday</v>
      </c>
    </row>
    <row r="1599" spans="1:41" x14ac:dyDescent="0.2">
      <c r="A1599" t="s">
        <v>42</v>
      </c>
      <c r="B1599" s="1">
        <v>45666</v>
      </c>
      <c r="C1599" s="1">
        <f t="shared" si="72"/>
        <v>45688</v>
      </c>
      <c r="D1599">
        <v>19</v>
      </c>
      <c r="E1599">
        <v>26</v>
      </c>
      <c r="F1599">
        <v>1</v>
      </c>
      <c r="G1599">
        <v>2</v>
      </c>
      <c r="H1599">
        <v>3</v>
      </c>
      <c r="I1599">
        <v>0</v>
      </c>
      <c r="J1599">
        <v>0</v>
      </c>
      <c r="K1599">
        <v>16</v>
      </c>
      <c r="L1599" t="s">
        <v>42</v>
      </c>
      <c r="M1599" t="s">
        <v>38</v>
      </c>
      <c r="N1599" s="1">
        <v>45666</v>
      </c>
      <c r="O1599" s="2">
        <v>0.58390046296296294</v>
      </c>
      <c r="P1599" s="2">
        <v>0.96134259259259258</v>
      </c>
      <c r="Q1599">
        <v>9.07</v>
      </c>
      <c r="R1599">
        <v>9.06</v>
      </c>
      <c r="S1599">
        <v>1.59</v>
      </c>
      <c r="T1599">
        <v>0.85</v>
      </c>
      <c r="U1599">
        <v>0</v>
      </c>
      <c r="V1599">
        <v>0.32</v>
      </c>
      <c r="W1599">
        <v>3.65</v>
      </c>
      <c r="X1599">
        <v>1.46</v>
      </c>
      <c r="Y1599">
        <v>1.18</v>
      </c>
      <c r="Z1599">
        <v>0</v>
      </c>
      <c r="AA1599">
        <v>0</v>
      </c>
      <c r="AB1599">
        <v>0.01</v>
      </c>
      <c r="AC1599">
        <v>9.06</v>
      </c>
      <c r="AD1599">
        <v>17.600000000000001</v>
      </c>
      <c r="AE1599">
        <v>9.4</v>
      </c>
      <c r="AF1599">
        <v>0</v>
      </c>
      <c r="AG1599">
        <v>3.52</v>
      </c>
      <c r="AH1599">
        <v>40.28</v>
      </c>
      <c r="AI1599">
        <v>16.11</v>
      </c>
      <c r="AJ1599">
        <v>13.03</v>
      </c>
      <c r="AK1599">
        <v>0</v>
      </c>
      <c r="AL1599">
        <v>0</v>
      </c>
      <c r="AM1599">
        <v>0.06</v>
      </c>
      <c r="AN1599">
        <f t="shared" si="73"/>
        <v>5</v>
      </c>
      <c r="AO1599" t="str">
        <f t="shared" si="74"/>
        <v>Thursday</v>
      </c>
    </row>
    <row r="1600" spans="1:41" x14ac:dyDescent="0.2">
      <c r="B1600" s="1">
        <v>45666</v>
      </c>
      <c r="C1600" s="1">
        <f t="shared" si="72"/>
        <v>45688</v>
      </c>
      <c r="D1600">
        <v>799</v>
      </c>
      <c r="E1600">
        <v>0</v>
      </c>
      <c r="F1600">
        <v>0</v>
      </c>
      <c r="G1600">
        <v>0</v>
      </c>
      <c r="H1600">
        <v>0</v>
      </c>
      <c r="I1600">
        <v>0</v>
      </c>
      <c r="J1600">
        <v>0</v>
      </c>
      <c r="K1600">
        <v>0</v>
      </c>
      <c r="AN1600">
        <f t="shared" si="73"/>
        <v>5</v>
      </c>
      <c r="AO1600" t="str">
        <f t="shared" si="74"/>
        <v>Thursday</v>
      </c>
    </row>
    <row r="1601" spans="1:41" x14ac:dyDescent="0.2">
      <c r="A1601" t="s">
        <v>39</v>
      </c>
      <c r="B1601" s="1">
        <v>45665</v>
      </c>
      <c r="C1601" s="1">
        <f t="shared" si="72"/>
        <v>45688</v>
      </c>
      <c r="D1601">
        <v>56</v>
      </c>
      <c r="E1601">
        <v>144</v>
      </c>
      <c r="F1601">
        <v>12</v>
      </c>
      <c r="G1601">
        <v>10</v>
      </c>
      <c r="H1601">
        <v>24</v>
      </c>
      <c r="I1601">
        <v>0</v>
      </c>
      <c r="J1601">
        <v>0</v>
      </c>
      <c r="K1601">
        <v>73</v>
      </c>
      <c r="L1601" t="s">
        <v>39</v>
      </c>
      <c r="M1601" t="s">
        <v>38</v>
      </c>
      <c r="N1601" s="1">
        <v>45665</v>
      </c>
      <c r="O1601" s="2">
        <v>0.58384259259259264</v>
      </c>
      <c r="P1601" s="2">
        <v>0.95837962962962964</v>
      </c>
      <c r="Q1601">
        <v>9</v>
      </c>
      <c r="R1601">
        <v>8.99</v>
      </c>
      <c r="S1601">
        <v>2.74</v>
      </c>
      <c r="T1601">
        <v>0.08</v>
      </c>
      <c r="U1601">
        <v>0</v>
      </c>
      <c r="V1601">
        <v>0.14000000000000001</v>
      </c>
      <c r="W1601">
        <v>4.53</v>
      </c>
      <c r="X1601">
        <v>1.5</v>
      </c>
      <c r="Y1601">
        <v>0</v>
      </c>
      <c r="Z1601">
        <v>0</v>
      </c>
      <c r="AA1601">
        <v>0</v>
      </c>
      <c r="AB1601">
        <v>0</v>
      </c>
      <c r="AC1601">
        <v>8.99</v>
      </c>
      <c r="AD1601">
        <v>30.48</v>
      </c>
      <c r="AE1601">
        <v>0.87</v>
      </c>
      <c r="AF1601">
        <v>0</v>
      </c>
      <c r="AG1601">
        <v>1.52</v>
      </c>
      <c r="AH1601">
        <v>50.38</v>
      </c>
      <c r="AI1601">
        <v>16.71</v>
      </c>
      <c r="AJ1601">
        <v>0</v>
      </c>
      <c r="AK1601">
        <v>0</v>
      </c>
      <c r="AL1601">
        <v>0</v>
      </c>
      <c r="AM1601">
        <v>0.04</v>
      </c>
      <c r="AN1601">
        <f t="shared" si="73"/>
        <v>4</v>
      </c>
      <c r="AO1601" t="str">
        <f t="shared" si="74"/>
        <v>Wednesday</v>
      </c>
    </row>
    <row r="1602" spans="1:41" x14ac:dyDescent="0.2">
      <c r="A1602" t="s">
        <v>41</v>
      </c>
      <c r="B1602" s="1">
        <v>45665</v>
      </c>
      <c r="C1602" s="1">
        <f t="shared" si="72"/>
        <v>45688</v>
      </c>
      <c r="D1602">
        <v>59</v>
      </c>
      <c r="E1602">
        <v>130</v>
      </c>
      <c r="F1602">
        <v>22</v>
      </c>
      <c r="G1602">
        <v>14</v>
      </c>
      <c r="H1602">
        <v>10</v>
      </c>
      <c r="I1602">
        <v>1</v>
      </c>
      <c r="J1602">
        <v>3</v>
      </c>
      <c r="K1602">
        <v>56</v>
      </c>
      <c r="L1602" t="s">
        <v>41</v>
      </c>
      <c r="M1602" t="s">
        <v>38</v>
      </c>
      <c r="N1602" s="1">
        <v>45665</v>
      </c>
      <c r="O1602" s="2">
        <v>0.58348379629629632</v>
      </c>
      <c r="P1602" s="2">
        <v>0.95746527777777779</v>
      </c>
      <c r="Q1602">
        <v>8.9700000000000006</v>
      </c>
      <c r="R1602">
        <v>8.9700000000000006</v>
      </c>
      <c r="S1602">
        <v>2.75</v>
      </c>
      <c r="T1602">
        <v>0</v>
      </c>
      <c r="U1602">
        <v>0</v>
      </c>
      <c r="V1602">
        <v>0.76</v>
      </c>
      <c r="W1602">
        <v>4.01</v>
      </c>
      <c r="X1602">
        <v>1.45</v>
      </c>
      <c r="Y1602">
        <v>0</v>
      </c>
      <c r="Z1602">
        <v>0</v>
      </c>
      <c r="AA1602">
        <v>0</v>
      </c>
      <c r="AB1602">
        <v>0</v>
      </c>
      <c r="AC1602">
        <v>8.9700000000000006</v>
      </c>
      <c r="AD1602">
        <v>30.67</v>
      </c>
      <c r="AE1602">
        <v>0</v>
      </c>
      <c r="AF1602">
        <v>0</v>
      </c>
      <c r="AG1602">
        <v>8.43</v>
      </c>
      <c r="AH1602">
        <v>44.71</v>
      </c>
      <c r="AI1602">
        <v>16.14</v>
      </c>
      <c r="AJ1602">
        <v>0</v>
      </c>
      <c r="AK1602">
        <v>0</v>
      </c>
      <c r="AL1602">
        <v>0</v>
      </c>
      <c r="AM1602">
        <v>0.05</v>
      </c>
      <c r="AN1602">
        <f t="shared" si="73"/>
        <v>4</v>
      </c>
      <c r="AO1602" t="str">
        <f t="shared" si="74"/>
        <v>Wednesday</v>
      </c>
    </row>
    <row r="1603" spans="1:41" x14ac:dyDescent="0.2">
      <c r="A1603" t="s">
        <v>42</v>
      </c>
      <c r="B1603" s="1">
        <v>45665</v>
      </c>
      <c r="C1603" s="1">
        <f t="shared" ref="C1603:C1627" si="75">EOMONTH(B1603,0)</f>
        <v>45688</v>
      </c>
      <c r="D1603">
        <v>29</v>
      </c>
      <c r="E1603">
        <v>42</v>
      </c>
      <c r="F1603">
        <v>9</v>
      </c>
      <c r="G1603">
        <v>6</v>
      </c>
      <c r="H1603">
        <v>1</v>
      </c>
      <c r="I1603">
        <v>0</v>
      </c>
      <c r="J1603">
        <v>1</v>
      </c>
      <c r="K1603">
        <v>21</v>
      </c>
      <c r="L1603" t="s">
        <v>42</v>
      </c>
      <c r="M1603" t="s">
        <v>38</v>
      </c>
      <c r="N1603" s="1">
        <v>45665</v>
      </c>
      <c r="O1603" s="2">
        <v>0.58377314814814818</v>
      </c>
      <c r="P1603" s="2">
        <v>0.87516203703703699</v>
      </c>
      <c r="Q1603">
        <v>7</v>
      </c>
      <c r="R1603">
        <v>6.99</v>
      </c>
      <c r="S1603">
        <v>3.13</v>
      </c>
      <c r="T1603">
        <v>0.34</v>
      </c>
      <c r="U1603">
        <v>0</v>
      </c>
      <c r="V1603">
        <v>0.74</v>
      </c>
      <c r="W1603">
        <v>1.78</v>
      </c>
      <c r="X1603">
        <v>0.99</v>
      </c>
      <c r="Y1603">
        <v>0</v>
      </c>
      <c r="Z1603">
        <v>0</v>
      </c>
      <c r="AA1603">
        <v>0</v>
      </c>
      <c r="AB1603">
        <v>0</v>
      </c>
      <c r="AC1603">
        <v>6.99</v>
      </c>
      <c r="AD1603">
        <v>44.76</v>
      </c>
      <c r="AE1603">
        <v>4.91</v>
      </c>
      <c r="AF1603">
        <v>0</v>
      </c>
      <c r="AG1603">
        <v>10.58</v>
      </c>
      <c r="AH1603">
        <v>25.49</v>
      </c>
      <c r="AI1603">
        <v>14.2</v>
      </c>
      <c r="AJ1603">
        <v>0</v>
      </c>
      <c r="AK1603">
        <v>0</v>
      </c>
      <c r="AL1603">
        <v>0</v>
      </c>
      <c r="AM1603">
        <v>0.06</v>
      </c>
      <c r="AN1603">
        <f t="shared" ref="AN1603:AN1626" si="76">WEEKDAY(B1603,1)</f>
        <v>4</v>
      </c>
      <c r="AO1603" t="str">
        <f t="shared" ref="AO1603:AO1626" si="77">VLOOKUP(AN1603,$AY$2:$AZ$8,2,FALSE)</f>
        <v>Wednesday</v>
      </c>
    </row>
    <row r="1604" spans="1:41" x14ac:dyDescent="0.2">
      <c r="B1604" s="1">
        <v>45665</v>
      </c>
      <c r="C1604" s="1">
        <f t="shared" si="75"/>
        <v>45688</v>
      </c>
      <c r="D1604">
        <v>803</v>
      </c>
      <c r="E1604">
        <v>0</v>
      </c>
      <c r="F1604">
        <v>0</v>
      </c>
      <c r="G1604">
        <v>0</v>
      </c>
      <c r="H1604">
        <v>0</v>
      </c>
      <c r="I1604">
        <v>0</v>
      </c>
      <c r="J1604">
        <v>0</v>
      </c>
      <c r="K1604">
        <v>0</v>
      </c>
      <c r="AN1604">
        <f t="shared" si="76"/>
        <v>4</v>
      </c>
      <c r="AO1604" t="str">
        <f t="shared" si="77"/>
        <v>Wednesday</v>
      </c>
    </row>
    <row r="1605" spans="1:41" x14ac:dyDescent="0.2">
      <c r="A1605" t="s">
        <v>39</v>
      </c>
      <c r="B1605" s="1">
        <v>45664</v>
      </c>
      <c r="C1605" s="1">
        <f t="shared" si="75"/>
        <v>45688</v>
      </c>
      <c r="D1605">
        <v>35</v>
      </c>
      <c r="E1605">
        <v>74</v>
      </c>
      <c r="F1605">
        <v>5</v>
      </c>
      <c r="G1605">
        <v>0</v>
      </c>
      <c r="H1605">
        <v>15</v>
      </c>
      <c r="I1605">
        <v>0</v>
      </c>
      <c r="J1605">
        <v>0</v>
      </c>
      <c r="K1605">
        <v>35</v>
      </c>
      <c r="L1605" t="s">
        <v>39</v>
      </c>
      <c r="M1605" t="s">
        <v>38</v>
      </c>
      <c r="N1605" s="1">
        <v>45664</v>
      </c>
      <c r="O1605" s="2">
        <v>0.58357638888888885</v>
      </c>
      <c r="P1605" s="2">
        <v>0.95835648148148145</v>
      </c>
      <c r="Q1605">
        <v>9</v>
      </c>
      <c r="R1605">
        <v>8.9600000000000009</v>
      </c>
      <c r="S1605">
        <v>1.52</v>
      </c>
      <c r="T1605">
        <v>0.05</v>
      </c>
      <c r="U1605">
        <v>0</v>
      </c>
      <c r="V1605">
        <v>0.12</v>
      </c>
      <c r="W1605">
        <v>4.6399999999999997</v>
      </c>
      <c r="X1605">
        <v>1.5</v>
      </c>
      <c r="Y1605">
        <v>1.1100000000000001</v>
      </c>
      <c r="Z1605">
        <v>0</v>
      </c>
      <c r="AA1605">
        <v>0</v>
      </c>
      <c r="AB1605">
        <v>0.01</v>
      </c>
      <c r="AC1605">
        <v>8.9600000000000009</v>
      </c>
      <c r="AD1605">
        <v>16.989999999999998</v>
      </c>
      <c r="AE1605">
        <v>0.53</v>
      </c>
      <c r="AF1605">
        <v>0</v>
      </c>
      <c r="AG1605">
        <v>1.36</v>
      </c>
      <c r="AH1605">
        <v>51.85</v>
      </c>
      <c r="AI1605">
        <v>16.79</v>
      </c>
      <c r="AJ1605">
        <v>12.39</v>
      </c>
      <c r="AK1605">
        <v>0</v>
      </c>
      <c r="AL1605">
        <v>0</v>
      </c>
      <c r="AM1605">
        <v>0.09</v>
      </c>
      <c r="AN1605">
        <f t="shared" si="76"/>
        <v>3</v>
      </c>
      <c r="AO1605" t="str">
        <f t="shared" si="77"/>
        <v>Tuesday</v>
      </c>
    </row>
    <row r="1606" spans="1:41" x14ac:dyDescent="0.2">
      <c r="A1606" t="s">
        <v>56</v>
      </c>
      <c r="B1606" s="1">
        <v>45664</v>
      </c>
      <c r="C1606" s="1">
        <f t="shared" si="75"/>
        <v>45688</v>
      </c>
      <c r="D1606">
        <v>25</v>
      </c>
      <c r="E1606">
        <v>29</v>
      </c>
      <c r="F1606">
        <v>0</v>
      </c>
      <c r="G1606">
        <v>2</v>
      </c>
      <c r="H1606">
        <v>4</v>
      </c>
      <c r="I1606">
        <v>0</v>
      </c>
      <c r="J1606">
        <v>0</v>
      </c>
      <c r="K1606">
        <v>14</v>
      </c>
      <c r="L1606" t="s">
        <v>56</v>
      </c>
      <c r="M1606" t="s">
        <v>38</v>
      </c>
      <c r="N1606" s="1">
        <v>45664</v>
      </c>
      <c r="O1606" s="2">
        <v>0.58284722222222218</v>
      </c>
      <c r="P1606" s="2">
        <v>0.95841435185185186</v>
      </c>
      <c r="Q1606">
        <v>9.02</v>
      </c>
      <c r="R1606">
        <v>9.01</v>
      </c>
      <c r="S1606">
        <v>0.99</v>
      </c>
      <c r="T1606">
        <v>0.93</v>
      </c>
      <c r="U1606">
        <v>0</v>
      </c>
      <c r="V1606">
        <v>0.02</v>
      </c>
      <c r="W1606">
        <v>4.3899999999999997</v>
      </c>
      <c r="X1606">
        <v>1.51</v>
      </c>
      <c r="Y1606">
        <v>1.1599999999999999</v>
      </c>
      <c r="Z1606">
        <v>0</v>
      </c>
      <c r="AA1606">
        <v>0</v>
      </c>
      <c r="AB1606">
        <v>0</v>
      </c>
      <c r="AC1606">
        <v>9.01</v>
      </c>
      <c r="AD1606">
        <v>11</v>
      </c>
      <c r="AE1606">
        <v>10.34</v>
      </c>
      <c r="AF1606">
        <v>0</v>
      </c>
      <c r="AG1606">
        <v>0.28000000000000003</v>
      </c>
      <c r="AH1606">
        <v>48.69</v>
      </c>
      <c r="AI1606">
        <v>16.78</v>
      </c>
      <c r="AJ1606">
        <v>12.87</v>
      </c>
      <c r="AK1606">
        <v>0</v>
      </c>
      <c r="AL1606">
        <v>0</v>
      </c>
      <c r="AM1606">
        <v>0.04</v>
      </c>
      <c r="AN1606">
        <f t="shared" si="76"/>
        <v>3</v>
      </c>
      <c r="AO1606" t="str">
        <f t="shared" si="77"/>
        <v>Tuesday</v>
      </c>
    </row>
    <row r="1607" spans="1:41" x14ac:dyDescent="0.2">
      <c r="A1607" t="s">
        <v>41</v>
      </c>
      <c r="B1607" s="1">
        <v>45664</v>
      </c>
      <c r="C1607" s="1">
        <f t="shared" si="75"/>
        <v>45688</v>
      </c>
      <c r="D1607">
        <v>29</v>
      </c>
      <c r="E1607">
        <v>68</v>
      </c>
      <c r="F1607">
        <v>6</v>
      </c>
      <c r="G1607">
        <v>9</v>
      </c>
      <c r="H1607">
        <v>5</v>
      </c>
      <c r="I1607">
        <v>0</v>
      </c>
      <c r="J1607">
        <v>0</v>
      </c>
      <c r="K1607">
        <v>24</v>
      </c>
      <c r="L1607" t="s">
        <v>41</v>
      </c>
      <c r="M1607" t="s">
        <v>38</v>
      </c>
      <c r="N1607" s="1">
        <v>45664</v>
      </c>
      <c r="O1607" s="2">
        <v>0.58347222222222217</v>
      </c>
      <c r="P1607" s="2">
        <v>0.95712962962962966</v>
      </c>
      <c r="Q1607">
        <v>8.9700000000000006</v>
      </c>
      <c r="R1607">
        <v>8.9700000000000006</v>
      </c>
      <c r="S1607">
        <v>1.37</v>
      </c>
      <c r="T1607">
        <v>0</v>
      </c>
      <c r="U1607">
        <v>0</v>
      </c>
      <c r="V1607">
        <v>0.37</v>
      </c>
      <c r="W1607">
        <v>3.93</v>
      </c>
      <c r="X1607">
        <v>1.45</v>
      </c>
      <c r="Y1607">
        <v>1.85</v>
      </c>
      <c r="Z1607">
        <v>0</v>
      </c>
      <c r="AA1607">
        <v>0</v>
      </c>
      <c r="AB1607">
        <v>0</v>
      </c>
      <c r="AC1607">
        <v>8.9700000000000006</v>
      </c>
      <c r="AD1607">
        <v>15.23</v>
      </c>
      <c r="AE1607">
        <v>0</v>
      </c>
      <c r="AF1607">
        <v>0</v>
      </c>
      <c r="AG1607">
        <v>4.09</v>
      </c>
      <c r="AH1607">
        <v>43.85</v>
      </c>
      <c r="AI1607">
        <v>16.12</v>
      </c>
      <c r="AJ1607">
        <v>20.66</v>
      </c>
      <c r="AK1607">
        <v>0</v>
      </c>
      <c r="AL1607">
        <v>0</v>
      </c>
      <c r="AM1607">
        <v>0.04</v>
      </c>
      <c r="AN1607">
        <f t="shared" si="76"/>
        <v>3</v>
      </c>
      <c r="AO1607" t="str">
        <f t="shared" si="77"/>
        <v>Tuesday</v>
      </c>
    </row>
    <row r="1608" spans="1:41" x14ac:dyDescent="0.2">
      <c r="A1608" t="s">
        <v>42</v>
      </c>
      <c r="B1608" s="1">
        <v>45664</v>
      </c>
      <c r="C1608" s="1">
        <f t="shared" si="75"/>
        <v>45688</v>
      </c>
      <c r="D1608">
        <v>18</v>
      </c>
      <c r="E1608">
        <v>21</v>
      </c>
      <c r="F1608">
        <v>2</v>
      </c>
      <c r="G1608">
        <v>2</v>
      </c>
      <c r="H1608">
        <v>1</v>
      </c>
      <c r="I1608">
        <v>0</v>
      </c>
      <c r="J1608">
        <v>0</v>
      </c>
      <c r="K1608">
        <v>7</v>
      </c>
      <c r="L1608" t="s">
        <v>42</v>
      </c>
      <c r="M1608" t="s">
        <v>38</v>
      </c>
      <c r="N1608" s="1">
        <v>45664</v>
      </c>
      <c r="O1608" s="2">
        <v>0.58394675925925921</v>
      </c>
      <c r="P1608" s="2">
        <v>0.96054398148148146</v>
      </c>
      <c r="Q1608">
        <v>9.0500000000000007</v>
      </c>
      <c r="R1608">
        <v>9.0399999999999991</v>
      </c>
      <c r="S1608">
        <v>1.23</v>
      </c>
      <c r="T1608">
        <v>0.74</v>
      </c>
      <c r="U1608">
        <v>0</v>
      </c>
      <c r="V1608">
        <v>0.36</v>
      </c>
      <c r="W1608">
        <v>4.0599999999999996</v>
      </c>
      <c r="X1608">
        <v>1.46</v>
      </c>
      <c r="Y1608">
        <v>1.18</v>
      </c>
      <c r="Z1608">
        <v>0</v>
      </c>
      <c r="AA1608">
        <v>0.01</v>
      </c>
      <c r="AB1608">
        <v>0.01</v>
      </c>
      <c r="AC1608">
        <v>9.0399999999999991</v>
      </c>
      <c r="AD1608">
        <v>13.59</v>
      </c>
      <c r="AE1608">
        <v>8.17</v>
      </c>
      <c r="AF1608">
        <v>0</v>
      </c>
      <c r="AG1608">
        <v>4.04</v>
      </c>
      <c r="AH1608">
        <v>44.88</v>
      </c>
      <c r="AI1608">
        <v>16.170000000000002</v>
      </c>
      <c r="AJ1608">
        <v>13.02</v>
      </c>
      <c r="AK1608">
        <v>0</v>
      </c>
      <c r="AL1608">
        <v>0.08</v>
      </c>
      <c r="AM1608">
        <v>0.06</v>
      </c>
      <c r="AN1608">
        <f t="shared" si="76"/>
        <v>3</v>
      </c>
      <c r="AO1608" t="str">
        <f t="shared" si="77"/>
        <v>Tuesday</v>
      </c>
    </row>
    <row r="1609" spans="1:41" x14ac:dyDescent="0.2">
      <c r="A1609" t="s">
        <v>43</v>
      </c>
      <c r="B1609" s="1">
        <v>45664</v>
      </c>
      <c r="C1609" s="1">
        <f t="shared" si="75"/>
        <v>45688</v>
      </c>
      <c r="D1609">
        <v>16</v>
      </c>
      <c r="E1609">
        <v>43</v>
      </c>
      <c r="F1609">
        <v>7</v>
      </c>
      <c r="G1609">
        <v>1</v>
      </c>
      <c r="H1609">
        <v>11</v>
      </c>
      <c r="I1609">
        <v>0</v>
      </c>
      <c r="J1609">
        <v>0</v>
      </c>
      <c r="K1609">
        <v>20</v>
      </c>
      <c r="L1609" t="s">
        <v>43</v>
      </c>
      <c r="M1609" t="s">
        <v>38</v>
      </c>
      <c r="N1609" s="1">
        <v>45664</v>
      </c>
      <c r="O1609" s="2">
        <v>0.58369212962962957</v>
      </c>
      <c r="P1609" s="2">
        <v>0.95951388888888889</v>
      </c>
      <c r="Q1609">
        <v>9.02</v>
      </c>
      <c r="R1609">
        <v>9.02</v>
      </c>
      <c r="S1609">
        <v>1.74</v>
      </c>
      <c r="T1609">
        <v>0.41</v>
      </c>
      <c r="U1609">
        <v>0</v>
      </c>
      <c r="V1609">
        <v>0.5</v>
      </c>
      <c r="W1609">
        <v>2.94</v>
      </c>
      <c r="X1609">
        <v>1.46</v>
      </c>
      <c r="Y1609">
        <v>1.97</v>
      </c>
      <c r="Z1609">
        <v>0</v>
      </c>
      <c r="AA1609">
        <v>0</v>
      </c>
      <c r="AB1609">
        <v>0</v>
      </c>
      <c r="AC1609">
        <v>9.02</v>
      </c>
      <c r="AD1609">
        <v>19.32</v>
      </c>
      <c r="AE1609">
        <v>4.55</v>
      </c>
      <c r="AF1609">
        <v>0</v>
      </c>
      <c r="AG1609">
        <v>5.56</v>
      </c>
      <c r="AH1609">
        <v>32.54</v>
      </c>
      <c r="AI1609">
        <v>16.149999999999999</v>
      </c>
      <c r="AJ1609">
        <v>21.85</v>
      </c>
      <c r="AK1609">
        <v>0</v>
      </c>
      <c r="AL1609">
        <v>0</v>
      </c>
      <c r="AM1609">
        <v>0.04</v>
      </c>
      <c r="AN1609">
        <f t="shared" si="76"/>
        <v>3</v>
      </c>
      <c r="AO1609" t="str">
        <f t="shared" si="77"/>
        <v>Tuesday</v>
      </c>
    </row>
    <row r="1610" spans="1:41" x14ac:dyDescent="0.2">
      <c r="B1610" s="1">
        <v>45664</v>
      </c>
      <c r="C1610" s="1">
        <f t="shared" si="75"/>
        <v>45688</v>
      </c>
      <c r="D1610">
        <v>736</v>
      </c>
      <c r="E1610">
        <v>0</v>
      </c>
      <c r="F1610">
        <v>0</v>
      </c>
      <c r="G1610">
        <v>0</v>
      </c>
      <c r="H1610">
        <v>0</v>
      </c>
      <c r="I1610">
        <v>0</v>
      </c>
      <c r="J1610">
        <v>0</v>
      </c>
      <c r="K1610">
        <v>0</v>
      </c>
      <c r="AN1610">
        <f t="shared" si="76"/>
        <v>3</v>
      </c>
      <c r="AO1610" t="str">
        <f t="shared" si="77"/>
        <v>Tuesday</v>
      </c>
    </row>
    <row r="1611" spans="1:41" x14ac:dyDescent="0.2">
      <c r="A1611" t="s">
        <v>39</v>
      </c>
      <c r="B1611" s="1">
        <v>45663</v>
      </c>
      <c r="C1611" s="1">
        <f t="shared" si="75"/>
        <v>45688</v>
      </c>
      <c r="D1611">
        <v>35</v>
      </c>
      <c r="E1611">
        <v>68</v>
      </c>
      <c r="F1611">
        <v>4</v>
      </c>
      <c r="G1611">
        <v>1</v>
      </c>
      <c r="H1611">
        <v>5</v>
      </c>
      <c r="I1611">
        <v>0</v>
      </c>
      <c r="J1611">
        <v>0</v>
      </c>
      <c r="K1611">
        <v>39</v>
      </c>
      <c r="L1611" t="s">
        <v>39</v>
      </c>
      <c r="M1611" t="s">
        <v>38</v>
      </c>
      <c r="N1611" s="1">
        <v>45663</v>
      </c>
      <c r="O1611" s="2">
        <v>0.58206018518518521</v>
      </c>
      <c r="P1611" s="2">
        <v>0.95837962962962964</v>
      </c>
      <c r="Q1611">
        <v>9.0299999999999994</v>
      </c>
      <c r="R1611">
        <v>9.0299999999999994</v>
      </c>
      <c r="S1611">
        <v>1.54</v>
      </c>
      <c r="T1611">
        <v>0.17</v>
      </c>
      <c r="U1611">
        <v>0</v>
      </c>
      <c r="V1611">
        <v>0.05</v>
      </c>
      <c r="W1611">
        <v>4.74</v>
      </c>
      <c r="X1611">
        <v>1.46</v>
      </c>
      <c r="Y1611">
        <v>1.03</v>
      </c>
      <c r="Z1611">
        <v>0</v>
      </c>
      <c r="AA1611">
        <v>0</v>
      </c>
      <c r="AB1611">
        <v>0.04</v>
      </c>
      <c r="AC1611">
        <v>9.0299999999999994</v>
      </c>
      <c r="AD1611">
        <v>17.09</v>
      </c>
      <c r="AE1611">
        <v>1.94</v>
      </c>
      <c r="AF1611">
        <v>0</v>
      </c>
      <c r="AG1611">
        <v>0.52</v>
      </c>
      <c r="AH1611">
        <v>52.5</v>
      </c>
      <c r="AI1611">
        <v>16.14</v>
      </c>
      <c r="AJ1611">
        <v>11.36</v>
      </c>
      <c r="AK1611">
        <v>0</v>
      </c>
      <c r="AL1611">
        <v>0</v>
      </c>
      <c r="AM1611">
        <v>0.45</v>
      </c>
      <c r="AN1611">
        <f t="shared" si="76"/>
        <v>2</v>
      </c>
      <c r="AO1611" t="str">
        <f t="shared" si="77"/>
        <v>Monday</v>
      </c>
    </row>
    <row r="1612" spans="1:41" x14ac:dyDescent="0.2">
      <c r="A1612" t="s">
        <v>41</v>
      </c>
      <c r="B1612" s="1">
        <v>45663</v>
      </c>
      <c r="C1612" s="1">
        <f t="shared" si="75"/>
        <v>45688</v>
      </c>
      <c r="D1612">
        <v>44</v>
      </c>
      <c r="E1612">
        <v>90</v>
      </c>
      <c r="F1612">
        <v>7</v>
      </c>
      <c r="G1612">
        <v>10</v>
      </c>
      <c r="H1612">
        <v>7</v>
      </c>
      <c r="I1612">
        <v>0</v>
      </c>
      <c r="J1612">
        <v>2</v>
      </c>
      <c r="K1612">
        <v>41</v>
      </c>
      <c r="L1612" t="s">
        <v>41</v>
      </c>
      <c r="M1612" t="s">
        <v>38</v>
      </c>
      <c r="N1612" s="1">
        <v>45663</v>
      </c>
      <c r="O1612" s="2">
        <v>0.58359953703703704</v>
      </c>
      <c r="P1612" s="2">
        <v>0.95795138888888887</v>
      </c>
      <c r="Q1612">
        <v>8.98</v>
      </c>
      <c r="R1612">
        <v>8.98</v>
      </c>
      <c r="S1612">
        <v>1.43</v>
      </c>
      <c r="T1612">
        <v>0.09</v>
      </c>
      <c r="U1612">
        <v>0</v>
      </c>
      <c r="V1612">
        <v>0.4</v>
      </c>
      <c r="W1612">
        <v>5.66</v>
      </c>
      <c r="X1612">
        <v>1.39</v>
      </c>
      <c r="Y1612">
        <v>0</v>
      </c>
      <c r="Z1612">
        <v>0</v>
      </c>
      <c r="AA1612">
        <v>0</v>
      </c>
      <c r="AB1612">
        <v>0</v>
      </c>
      <c r="AC1612">
        <v>8.98</v>
      </c>
      <c r="AD1612">
        <v>15.97</v>
      </c>
      <c r="AE1612">
        <v>0.98</v>
      </c>
      <c r="AF1612">
        <v>0</v>
      </c>
      <c r="AG1612">
        <v>4.5</v>
      </c>
      <c r="AH1612">
        <v>63.01</v>
      </c>
      <c r="AI1612">
        <v>15.51</v>
      </c>
      <c r="AJ1612">
        <v>0</v>
      </c>
      <c r="AK1612">
        <v>0</v>
      </c>
      <c r="AL1612">
        <v>0</v>
      </c>
      <c r="AM1612">
        <v>0.04</v>
      </c>
      <c r="AN1612">
        <f t="shared" si="76"/>
        <v>2</v>
      </c>
      <c r="AO1612" t="str">
        <f t="shared" si="77"/>
        <v>Monday</v>
      </c>
    </row>
    <row r="1613" spans="1:41" x14ac:dyDescent="0.2">
      <c r="A1613" t="s">
        <v>42</v>
      </c>
      <c r="B1613" s="1">
        <v>45663</v>
      </c>
      <c r="C1613" s="1">
        <f t="shared" si="75"/>
        <v>45688</v>
      </c>
      <c r="D1613">
        <v>31</v>
      </c>
      <c r="E1613">
        <v>47</v>
      </c>
      <c r="F1613">
        <v>2</v>
      </c>
      <c r="G1613">
        <v>3</v>
      </c>
      <c r="H1613">
        <v>4</v>
      </c>
      <c r="I1613">
        <v>0</v>
      </c>
      <c r="J1613">
        <v>0</v>
      </c>
      <c r="K1613">
        <v>25</v>
      </c>
      <c r="L1613" t="s">
        <v>42</v>
      </c>
      <c r="M1613" t="s">
        <v>38</v>
      </c>
      <c r="N1613" s="1">
        <v>45663</v>
      </c>
      <c r="O1613" s="2">
        <v>0.58283564814814814</v>
      </c>
      <c r="P1613" s="2">
        <v>0.97116898148148145</v>
      </c>
      <c r="Q1613">
        <v>9.32</v>
      </c>
      <c r="R1613">
        <v>9.32</v>
      </c>
      <c r="S1613">
        <v>2.89</v>
      </c>
      <c r="T1613">
        <v>0.52</v>
      </c>
      <c r="U1613">
        <v>0</v>
      </c>
      <c r="V1613">
        <v>0.55000000000000004</v>
      </c>
      <c r="W1613">
        <v>3.99</v>
      </c>
      <c r="X1613">
        <v>1.36</v>
      </c>
      <c r="Y1613">
        <v>0</v>
      </c>
      <c r="Z1613">
        <v>0</v>
      </c>
      <c r="AA1613">
        <v>0</v>
      </c>
      <c r="AB1613">
        <v>0.01</v>
      </c>
      <c r="AC1613">
        <v>9.32</v>
      </c>
      <c r="AD1613">
        <v>31.05</v>
      </c>
      <c r="AE1613">
        <v>5.59</v>
      </c>
      <c r="AF1613">
        <v>0</v>
      </c>
      <c r="AG1613">
        <v>5.92</v>
      </c>
      <c r="AH1613">
        <v>42.77</v>
      </c>
      <c r="AI1613">
        <v>14.61</v>
      </c>
      <c r="AJ1613">
        <v>0</v>
      </c>
      <c r="AK1613">
        <v>0</v>
      </c>
      <c r="AL1613">
        <v>0</v>
      </c>
      <c r="AM1613">
        <v>0.06</v>
      </c>
      <c r="AN1613">
        <f t="shared" si="76"/>
        <v>2</v>
      </c>
      <c r="AO1613" t="str">
        <f t="shared" si="77"/>
        <v>Monday</v>
      </c>
    </row>
    <row r="1614" spans="1:41" x14ac:dyDescent="0.2">
      <c r="A1614" t="s">
        <v>43</v>
      </c>
      <c r="B1614" s="1">
        <v>45663</v>
      </c>
      <c r="C1614" s="1">
        <f t="shared" si="75"/>
        <v>45688</v>
      </c>
      <c r="D1614">
        <v>25</v>
      </c>
      <c r="E1614">
        <v>65</v>
      </c>
      <c r="F1614">
        <v>5</v>
      </c>
      <c r="G1614">
        <v>2</v>
      </c>
      <c r="H1614">
        <v>7</v>
      </c>
      <c r="I1614">
        <v>0</v>
      </c>
      <c r="J1614">
        <v>0</v>
      </c>
      <c r="K1614">
        <v>33</v>
      </c>
      <c r="L1614" t="s">
        <v>43</v>
      </c>
      <c r="M1614" t="s">
        <v>38</v>
      </c>
      <c r="N1614" s="1">
        <v>45663</v>
      </c>
      <c r="O1614" s="2">
        <v>0.58363425925925927</v>
      </c>
      <c r="P1614" s="2">
        <v>0.79267361111111112</v>
      </c>
      <c r="Q1614">
        <v>5.0199999999999996</v>
      </c>
      <c r="R1614">
        <v>5.0199999999999996</v>
      </c>
      <c r="S1614">
        <v>0.5</v>
      </c>
      <c r="T1614">
        <v>0.28999999999999998</v>
      </c>
      <c r="U1614">
        <v>0</v>
      </c>
      <c r="V1614">
        <v>0.63</v>
      </c>
      <c r="W1614">
        <v>2.97</v>
      </c>
      <c r="X1614">
        <v>0.25</v>
      </c>
      <c r="Y1614">
        <v>0.09</v>
      </c>
      <c r="Z1614">
        <v>0.27</v>
      </c>
      <c r="AA1614">
        <v>0</v>
      </c>
      <c r="AB1614">
        <v>0</v>
      </c>
      <c r="AC1614">
        <v>5.0199999999999996</v>
      </c>
      <c r="AD1614">
        <v>10.029999999999999</v>
      </c>
      <c r="AE1614">
        <v>5.87</v>
      </c>
      <c r="AF1614">
        <v>0</v>
      </c>
      <c r="AG1614">
        <v>12.6</v>
      </c>
      <c r="AH1614">
        <v>59.26</v>
      </c>
      <c r="AI1614">
        <v>5.0199999999999996</v>
      </c>
      <c r="AJ1614">
        <v>1.77</v>
      </c>
      <c r="AK1614">
        <v>5.38</v>
      </c>
      <c r="AL1614">
        <v>0</v>
      </c>
      <c r="AM1614">
        <v>7.0000000000000007E-2</v>
      </c>
      <c r="AN1614">
        <f t="shared" si="76"/>
        <v>2</v>
      </c>
      <c r="AO1614" t="str">
        <f t="shared" si="77"/>
        <v>Monday</v>
      </c>
    </row>
    <row r="1615" spans="1:41" x14ac:dyDescent="0.2">
      <c r="B1615" s="1">
        <v>45663</v>
      </c>
      <c r="C1615" s="1">
        <f t="shared" si="75"/>
        <v>45688</v>
      </c>
      <c r="D1615">
        <v>733</v>
      </c>
      <c r="E1615">
        <v>0</v>
      </c>
      <c r="F1615">
        <v>0</v>
      </c>
      <c r="G1615">
        <v>0</v>
      </c>
      <c r="H1615">
        <v>0</v>
      </c>
      <c r="I1615">
        <v>0</v>
      </c>
      <c r="J1615">
        <v>0</v>
      </c>
      <c r="K1615">
        <v>0</v>
      </c>
      <c r="AN1615">
        <f t="shared" si="76"/>
        <v>2</v>
      </c>
      <c r="AO1615" t="str">
        <f t="shared" si="77"/>
        <v>Monday</v>
      </c>
    </row>
    <row r="1616" spans="1:41" x14ac:dyDescent="0.2">
      <c r="A1616" t="s">
        <v>39</v>
      </c>
      <c r="B1616" s="1">
        <v>45660</v>
      </c>
      <c r="C1616" s="1">
        <f t="shared" si="75"/>
        <v>45688</v>
      </c>
      <c r="D1616">
        <v>36</v>
      </c>
      <c r="E1616">
        <v>76</v>
      </c>
      <c r="F1616">
        <v>7</v>
      </c>
      <c r="G1616">
        <v>3</v>
      </c>
      <c r="H1616">
        <v>12</v>
      </c>
      <c r="I1616">
        <v>0</v>
      </c>
      <c r="J1616">
        <v>0</v>
      </c>
      <c r="K1616">
        <v>32</v>
      </c>
      <c r="L1616" t="s">
        <v>39</v>
      </c>
      <c r="M1616" t="s">
        <v>38</v>
      </c>
      <c r="N1616" s="1">
        <v>45660</v>
      </c>
      <c r="O1616" s="2">
        <v>0.5829050925925926</v>
      </c>
      <c r="P1616" s="2">
        <v>0.9583680555555556</v>
      </c>
      <c r="Q1616">
        <v>9.02</v>
      </c>
      <c r="R1616">
        <v>9.01</v>
      </c>
      <c r="S1616">
        <v>2.06</v>
      </c>
      <c r="T1616">
        <v>0.1</v>
      </c>
      <c r="U1616">
        <v>0</v>
      </c>
      <c r="V1616">
        <v>0.04</v>
      </c>
      <c r="W1616">
        <v>4.8099999999999996</v>
      </c>
      <c r="X1616">
        <v>1.49</v>
      </c>
      <c r="Y1616">
        <v>0.49</v>
      </c>
      <c r="Z1616">
        <v>0</v>
      </c>
      <c r="AA1616">
        <v>0</v>
      </c>
      <c r="AB1616">
        <v>0.02</v>
      </c>
      <c r="AC1616">
        <v>9.01</v>
      </c>
      <c r="AD1616">
        <v>22.93</v>
      </c>
      <c r="AE1616">
        <v>1.07</v>
      </c>
      <c r="AF1616">
        <v>0</v>
      </c>
      <c r="AG1616">
        <v>0.47</v>
      </c>
      <c r="AH1616">
        <v>53.37</v>
      </c>
      <c r="AI1616">
        <v>16.59</v>
      </c>
      <c r="AJ1616">
        <v>5.39</v>
      </c>
      <c r="AK1616">
        <v>0</v>
      </c>
      <c r="AL1616">
        <v>0</v>
      </c>
      <c r="AM1616">
        <v>0.19</v>
      </c>
      <c r="AN1616">
        <f t="shared" si="76"/>
        <v>6</v>
      </c>
      <c r="AO1616" t="str">
        <f t="shared" si="77"/>
        <v>Friday</v>
      </c>
    </row>
    <row r="1617" spans="1:41" x14ac:dyDescent="0.2">
      <c r="A1617" t="s">
        <v>56</v>
      </c>
      <c r="B1617" s="1">
        <v>45660</v>
      </c>
      <c r="C1617" s="1">
        <f t="shared" si="75"/>
        <v>45688</v>
      </c>
      <c r="D1617">
        <v>30</v>
      </c>
      <c r="E1617">
        <v>32</v>
      </c>
      <c r="F1617">
        <v>2</v>
      </c>
      <c r="G1617">
        <v>4</v>
      </c>
      <c r="H1617">
        <v>7</v>
      </c>
      <c r="I1617">
        <v>0</v>
      </c>
      <c r="J1617">
        <v>0</v>
      </c>
      <c r="K1617">
        <v>1</v>
      </c>
      <c r="L1617" t="s">
        <v>56</v>
      </c>
      <c r="M1617" t="s">
        <v>38</v>
      </c>
      <c r="N1617" s="1">
        <v>45660</v>
      </c>
      <c r="O1617" s="2">
        <v>0.58201388888888894</v>
      </c>
      <c r="P1617" s="2">
        <v>0.9584259259259259</v>
      </c>
      <c r="Q1617">
        <v>9.0299999999999994</v>
      </c>
      <c r="R1617">
        <v>9.0299999999999994</v>
      </c>
      <c r="S1617">
        <v>1.82</v>
      </c>
      <c r="T1617">
        <v>0.55000000000000004</v>
      </c>
      <c r="U1617">
        <v>0</v>
      </c>
      <c r="V1617">
        <v>0.12</v>
      </c>
      <c r="W1617">
        <v>4.54</v>
      </c>
      <c r="X1617">
        <v>1.66</v>
      </c>
      <c r="Y1617">
        <v>0.31</v>
      </c>
      <c r="Z1617">
        <v>0</v>
      </c>
      <c r="AA1617">
        <v>0</v>
      </c>
      <c r="AB1617">
        <v>0.03</v>
      </c>
      <c r="AC1617">
        <v>9.0299999999999994</v>
      </c>
      <c r="AD1617">
        <v>20.12</v>
      </c>
      <c r="AE1617">
        <v>6.13</v>
      </c>
      <c r="AF1617">
        <v>0</v>
      </c>
      <c r="AG1617">
        <v>1.37</v>
      </c>
      <c r="AH1617">
        <v>50.31</v>
      </c>
      <c r="AI1617">
        <v>18.34</v>
      </c>
      <c r="AJ1617">
        <v>3.4</v>
      </c>
      <c r="AK1617">
        <v>0</v>
      </c>
      <c r="AL1617">
        <v>0</v>
      </c>
      <c r="AM1617">
        <v>0.34</v>
      </c>
      <c r="AN1617">
        <f t="shared" si="76"/>
        <v>6</v>
      </c>
      <c r="AO1617" t="str">
        <f t="shared" si="77"/>
        <v>Friday</v>
      </c>
    </row>
    <row r="1618" spans="1:41" x14ac:dyDescent="0.2">
      <c r="A1618" t="s">
        <v>42</v>
      </c>
      <c r="B1618" s="1">
        <v>45660</v>
      </c>
      <c r="C1618" s="1">
        <f t="shared" si="75"/>
        <v>45688</v>
      </c>
      <c r="D1618">
        <v>32</v>
      </c>
      <c r="E1618">
        <v>42</v>
      </c>
      <c r="F1618">
        <v>4</v>
      </c>
      <c r="G1618">
        <v>2</v>
      </c>
      <c r="H1618">
        <v>6</v>
      </c>
      <c r="I1618">
        <v>1</v>
      </c>
      <c r="J1618">
        <v>0</v>
      </c>
      <c r="K1618">
        <v>14</v>
      </c>
      <c r="L1618" t="s">
        <v>42</v>
      </c>
      <c r="M1618" t="s">
        <v>38</v>
      </c>
      <c r="N1618" s="1">
        <v>45660</v>
      </c>
      <c r="O1618" s="2">
        <v>0.58228009259259261</v>
      </c>
      <c r="P1618" s="2">
        <v>0.95930555555555552</v>
      </c>
      <c r="Q1618">
        <v>9.0500000000000007</v>
      </c>
      <c r="R1618">
        <v>9.0500000000000007</v>
      </c>
      <c r="S1618">
        <v>2.66</v>
      </c>
      <c r="T1618">
        <v>0.52</v>
      </c>
      <c r="U1618">
        <v>0</v>
      </c>
      <c r="V1618">
        <v>0.6</v>
      </c>
      <c r="W1618">
        <v>3.39</v>
      </c>
      <c r="X1618">
        <v>1.48</v>
      </c>
      <c r="Y1618">
        <v>0.4</v>
      </c>
      <c r="Z1618">
        <v>0</v>
      </c>
      <c r="AA1618">
        <v>0</v>
      </c>
      <c r="AB1618">
        <v>0.01</v>
      </c>
      <c r="AC1618">
        <v>9.0500000000000007</v>
      </c>
      <c r="AD1618">
        <v>29.37</v>
      </c>
      <c r="AE1618">
        <v>5.71</v>
      </c>
      <c r="AF1618">
        <v>0</v>
      </c>
      <c r="AG1618">
        <v>6.65</v>
      </c>
      <c r="AH1618">
        <v>37.42</v>
      </c>
      <c r="AI1618">
        <v>16.39</v>
      </c>
      <c r="AJ1618">
        <v>4.41</v>
      </c>
      <c r="AK1618">
        <v>0</v>
      </c>
      <c r="AL1618">
        <v>0</v>
      </c>
      <c r="AM1618">
        <v>0.06</v>
      </c>
      <c r="AN1618">
        <f t="shared" si="76"/>
        <v>6</v>
      </c>
      <c r="AO1618" t="str">
        <f t="shared" si="77"/>
        <v>Friday</v>
      </c>
    </row>
    <row r="1619" spans="1:41" x14ac:dyDescent="0.2">
      <c r="A1619" t="s">
        <v>43</v>
      </c>
      <c r="B1619" s="1">
        <v>45660</v>
      </c>
      <c r="C1619" s="1">
        <f t="shared" si="75"/>
        <v>45688</v>
      </c>
      <c r="D1619">
        <v>33</v>
      </c>
      <c r="E1619">
        <v>67</v>
      </c>
      <c r="F1619">
        <v>2</v>
      </c>
      <c r="G1619">
        <v>7</v>
      </c>
      <c r="H1619">
        <v>5</v>
      </c>
      <c r="I1619">
        <v>0</v>
      </c>
      <c r="J1619">
        <v>0</v>
      </c>
      <c r="K1619">
        <v>36</v>
      </c>
      <c r="L1619" t="s">
        <v>43</v>
      </c>
      <c r="M1619" t="s">
        <v>38</v>
      </c>
      <c r="N1619" s="1">
        <v>45660</v>
      </c>
      <c r="O1619" s="2">
        <v>0.58203703703703702</v>
      </c>
      <c r="P1619" s="2">
        <v>0.96375</v>
      </c>
      <c r="Q1619">
        <v>9.15</v>
      </c>
      <c r="R1619">
        <v>9.16</v>
      </c>
      <c r="S1619">
        <v>2.04</v>
      </c>
      <c r="T1619">
        <v>0.21</v>
      </c>
      <c r="U1619">
        <v>0</v>
      </c>
      <c r="V1619">
        <v>0.57999999999999996</v>
      </c>
      <c r="W1619">
        <v>3.61</v>
      </c>
      <c r="X1619">
        <v>1.94</v>
      </c>
      <c r="Y1619">
        <v>0.78</v>
      </c>
      <c r="Z1619">
        <v>0</v>
      </c>
      <c r="AA1619">
        <v>0</v>
      </c>
      <c r="AB1619">
        <v>0</v>
      </c>
      <c r="AC1619">
        <v>9.16</v>
      </c>
      <c r="AD1619">
        <v>22.29</v>
      </c>
      <c r="AE1619">
        <v>2.2799999999999998</v>
      </c>
      <c r="AF1619">
        <v>0</v>
      </c>
      <c r="AG1619">
        <v>6.36</v>
      </c>
      <c r="AH1619">
        <v>39.44</v>
      </c>
      <c r="AI1619">
        <v>21.13</v>
      </c>
      <c r="AJ1619">
        <v>8.4600000000000009</v>
      </c>
      <c r="AK1619">
        <v>0</v>
      </c>
      <c r="AL1619">
        <v>0</v>
      </c>
      <c r="AM1619">
        <v>0.04</v>
      </c>
      <c r="AN1619">
        <f t="shared" si="76"/>
        <v>6</v>
      </c>
      <c r="AO1619" t="str">
        <f t="shared" si="77"/>
        <v>Friday</v>
      </c>
    </row>
    <row r="1620" spans="1:41" x14ac:dyDescent="0.2">
      <c r="A1620" t="s">
        <v>46</v>
      </c>
      <c r="B1620" s="1">
        <v>45660</v>
      </c>
      <c r="C1620" s="1">
        <f t="shared" si="75"/>
        <v>45688</v>
      </c>
      <c r="D1620">
        <v>1</v>
      </c>
      <c r="E1620">
        <v>3</v>
      </c>
      <c r="F1620">
        <v>0</v>
      </c>
      <c r="G1620">
        <v>0</v>
      </c>
      <c r="H1620">
        <v>0</v>
      </c>
      <c r="I1620">
        <v>0</v>
      </c>
      <c r="J1620">
        <v>0</v>
      </c>
      <c r="K1620">
        <v>0</v>
      </c>
      <c r="AN1620">
        <f t="shared" si="76"/>
        <v>6</v>
      </c>
      <c r="AO1620" t="str">
        <f t="shared" si="77"/>
        <v>Friday</v>
      </c>
    </row>
    <row r="1621" spans="1:41" x14ac:dyDescent="0.2">
      <c r="B1621" s="1">
        <v>45660</v>
      </c>
      <c r="C1621" s="1">
        <f t="shared" si="75"/>
        <v>45688</v>
      </c>
      <c r="D1621">
        <v>793</v>
      </c>
      <c r="E1621">
        <v>0</v>
      </c>
      <c r="F1621">
        <v>0</v>
      </c>
      <c r="G1621">
        <v>0</v>
      </c>
      <c r="H1621">
        <v>0</v>
      </c>
      <c r="I1621">
        <v>0</v>
      </c>
      <c r="J1621">
        <v>0</v>
      </c>
      <c r="K1621">
        <v>0</v>
      </c>
      <c r="AN1621">
        <f t="shared" si="76"/>
        <v>6</v>
      </c>
      <c r="AO1621" t="str">
        <f t="shared" si="77"/>
        <v>Friday</v>
      </c>
    </row>
    <row r="1622" spans="1:41" x14ac:dyDescent="0.2">
      <c r="A1622" t="s">
        <v>39</v>
      </c>
      <c r="B1622" s="1">
        <v>45659</v>
      </c>
      <c r="C1622" s="1">
        <f t="shared" si="75"/>
        <v>45688</v>
      </c>
      <c r="D1622">
        <v>51</v>
      </c>
      <c r="E1622">
        <v>142</v>
      </c>
      <c r="F1622">
        <v>20</v>
      </c>
      <c r="G1622">
        <v>15</v>
      </c>
      <c r="H1622">
        <v>25</v>
      </c>
      <c r="I1622">
        <v>0</v>
      </c>
      <c r="J1622">
        <v>0</v>
      </c>
      <c r="K1622">
        <v>55</v>
      </c>
      <c r="L1622" t="s">
        <v>39</v>
      </c>
      <c r="M1622" t="s">
        <v>38</v>
      </c>
      <c r="N1622" s="1">
        <v>45659</v>
      </c>
      <c r="O1622" s="2">
        <v>0.58315972222222223</v>
      </c>
      <c r="P1622" s="2">
        <v>0.95855324074074078</v>
      </c>
      <c r="Q1622">
        <v>9.02</v>
      </c>
      <c r="R1622">
        <v>9</v>
      </c>
      <c r="S1622">
        <v>3.47</v>
      </c>
      <c r="T1622">
        <v>0.44</v>
      </c>
      <c r="U1622">
        <v>0</v>
      </c>
      <c r="V1622">
        <v>0.09</v>
      </c>
      <c r="W1622">
        <v>3.49</v>
      </c>
      <c r="X1622">
        <v>1.49</v>
      </c>
      <c r="Y1622">
        <v>0</v>
      </c>
      <c r="Z1622">
        <v>0</v>
      </c>
      <c r="AA1622">
        <v>0</v>
      </c>
      <c r="AB1622">
        <v>0.02</v>
      </c>
      <c r="AC1622">
        <v>9</v>
      </c>
      <c r="AD1622">
        <v>38.57</v>
      </c>
      <c r="AE1622">
        <v>4.9400000000000004</v>
      </c>
      <c r="AF1622">
        <v>0</v>
      </c>
      <c r="AG1622">
        <v>1.02</v>
      </c>
      <c r="AH1622">
        <v>38.71</v>
      </c>
      <c r="AI1622">
        <v>16.57</v>
      </c>
      <c r="AJ1622">
        <v>0</v>
      </c>
      <c r="AK1622">
        <v>0</v>
      </c>
      <c r="AL1622">
        <v>0</v>
      </c>
      <c r="AM1622">
        <v>0.19</v>
      </c>
      <c r="AN1622">
        <f t="shared" si="76"/>
        <v>5</v>
      </c>
      <c r="AO1622" t="str">
        <f t="shared" si="77"/>
        <v>Thursday</v>
      </c>
    </row>
    <row r="1623" spans="1:41" x14ac:dyDescent="0.2">
      <c r="A1623" t="s">
        <v>56</v>
      </c>
      <c r="B1623" s="1">
        <v>45659</v>
      </c>
      <c r="C1623" s="1">
        <f t="shared" si="75"/>
        <v>45688</v>
      </c>
      <c r="D1623">
        <v>44</v>
      </c>
      <c r="E1623">
        <v>56</v>
      </c>
      <c r="F1623">
        <v>5</v>
      </c>
      <c r="G1623">
        <v>12</v>
      </c>
      <c r="H1623">
        <v>16</v>
      </c>
      <c r="I1623">
        <v>0</v>
      </c>
      <c r="J1623">
        <v>0</v>
      </c>
      <c r="K1623">
        <v>10</v>
      </c>
      <c r="L1623" t="s">
        <v>56</v>
      </c>
      <c r="M1623" t="s">
        <v>38</v>
      </c>
      <c r="N1623" s="1">
        <v>45659</v>
      </c>
      <c r="O1623" s="2">
        <v>0.58163194444444444</v>
      </c>
      <c r="P1623" s="2">
        <v>0.95876157407407403</v>
      </c>
      <c r="Q1623">
        <v>9.0500000000000007</v>
      </c>
      <c r="R1623">
        <v>9.06</v>
      </c>
      <c r="S1623">
        <v>1.77</v>
      </c>
      <c r="T1623">
        <v>1.1200000000000001</v>
      </c>
      <c r="U1623">
        <v>0</v>
      </c>
      <c r="V1623">
        <v>0.06</v>
      </c>
      <c r="W1623">
        <v>4.26</v>
      </c>
      <c r="X1623">
        <v>1.5</v>
      </c>
      <c r="Y1623">
        <v>0.3</v>
      </c>
      <c r="Z1623">
        <v>0</v>
      </c>
      <c r="AA1623">
        <v>0</v>
      </c>
      <c r="AB1623">
        <v>0.04</v>
      </c>
      <c r="AC1623">
        <v>9.06</v>
      </c>
      <c r="AD1623">
        <v>19.57</v>
      </c>
      <c r="AE1623">
        <v>12.34</v>
      </c>
      <c r="AF1623">
        <v>0</v>
      </c>
      <c r="AG1623">
        <v>0.66</v>
      </c>
      <c r="AH1623">
        <v>47.02</v>
      </c>
      <c r="AI1623">
        <v>16.62</v>
      </c>
      <c r="AJ1623">
        <v>3.37</v>
      </c>
      <c r="AK1623">
        <v>0</v>
      </c>
      <c r="AL1623">
        <v>0</v>
      </c>
      <c r="AM1623">
        <v>0.43</v>
      </c>
      <c r="AN1623">
        <f t="shared" si="76"/>
        <v>5</v>
      </c>
      <c r="AO1623" t="str">
        <f t="shared" si="77"/>
        <v>Thursday</v>
      </c>
    </row>
    <row r="1624" spans="1:41" x14ac:dyDescent="0.2">
      <c r="A1624" t="s">
        <v>42</v>
      </c>
      <c r="B1624" s="1">
        <v>45659</v>
      </c>
      <c r="C1624" s="1">
        <f t="shared" si="75"/>
        <v>45688</v>
      </c>
      <c r="D1624">
        <v>38</v>
      </c>
      <c r="E1624">
        <v>44</v>
      </c>
      <c r="F1624">
        <v>9</v>
      </c>
      <c r="G1624">
        <v>6</v>
      </c>
      <c r="H1624">
        <v>3</v>
      </c>
      <c r="I1624">
        <v>0</v>
      </c>
      <c r="J1624">
        <v>3</v>
      </c>
      <c r="K1624">
        <v>8</v>
      </c>
      <c r="L1624" t="s">
        <v>42</v>
      </c>
      <c r="M1624" t="s">
        <v>38</v>
      </c>
      <c r="N1624" s="1">
        <v>45659</v>
      </c>
      <c r="O1624" s="2">
        <v>0.58187500000000003</v>
      </c>
      <c r="P1624" s="2">
        <v>0.9644907407407407</v>
      </c>
      <c r="Q1624">
        <v>9.18</v>
      </c>
      <c r="R1624">
        <v>9.18</v>
      </c>
      <c r="S1624">
        <v>3.76</v>
      </c>
      <c r="T1624">
        <v>1.04</v>
      </c>
      <c r="U1624">
        <v>0</v>
      </c>
      <c r="V1624">
        <v>0.74</v>
      </c>
      <c r="W1624">
        <v>2.13</v>
      </c>
      <c r="X1624">
        <v>1.5</v>
      </c>
      <c r="Y1624">
        <v>0</v>
      </c>
      <c r="Z1624">
        <v>0</v>
      </c>
      <c r="AA1624">
        <v>0</v>
      </c>
      <c r="AB1624">
        <v>0.01</v>
      </c>
      <c r="AC1624">
        <v>9.18</v>
      </c>
      <c r="AD1624">
        <v>40.98</v>
      </c>
      <c r="AE1624">
        <v>11.37</v>
      </c>
      <c r="AF1624">
        <v>0</v>
      </c>
      <c r="AG1624">
        <v>8.06</v>
      </c>
      <c r="AH1624">
        <v>23.19</v>
      </c>
      <c r="AI1624">
        <v>16.350000000000001</v>
      </c>
      <c r="AJ1624">
        <v>0</v>
      </c>
      <c r="AK1624">
        <v>0</v>
      </c>
      <c r="AL1624">
        <v>0</v>
      </c>
      <c r="AM1624">
        <v>0.05</v>
      </c>
      <c r="AN1624">
        <f t="shared" si="76"/>
        <v>5</v>
      </c>
      <c r="AO1624" t="str">
        <f t="shared" si="77"/>
        <v>Thursday</v>
      </c>
    </row>
    <row r="1625" spans="1:41" x14ac:dyDescent="0.2">
      <c r="A1625" t="s">
        <v>43</v>
      </c>
      <c r="B1625" s="1">
        <v>45659</v>
      </c>
      <c r="C1625" s="1">
        <f t="shared" si="75"/>
        <v>45688</v>
      </c>
      <c r="D1625">
        <v>34</v>
      </c>
      <c r="E1625">
        <v>96</v>
      </c>
      <c r="F1625">
        <v>14</v>
      </c>
      <c r="G1625">
        <v>14</v>
      </c>
      <c r="H1625">
        <v>19</v>
      </c>
      <c r="I1625">
        <v>0</v>
      </c>
      <c r="J1625">
        <v>0</v>
      </c>
      <c r="K1625">
        <v>34</v>
      </c>
      <c r="L1625" t="s">
        <v>43</v>
      </c>
      <c r="M1625" t="s">
        <v>38</v>
      </c>
      <c r="N1625" s="1">
        <v>45659</v>
      </c>
      <c r="O1625" s="2">
        <v>0.58236111111111111</v>
      </c>
      <c r="P1625" s="2">
        <v>0.95920138888888884</v>
      </c>
      <c r="Q1625">
        <v>9.0500000000000007</v>
      </c>
      <c r="R1625">
        <v>8.99</v>
      </c>
      <c r="S1625">
        <v>2.73</v>
      </c>
      <c r="T1625">
        <v>0.41</v>
      </c>
      <c r="U1625">
        <v>0</v>
      </c>
      <c r="V1625">
        <v>0.49</v>
      </c>
      <c r="W1625">
        <v>3.12</v>
      </c>
      <c r="X1625">
        <v>1.4</v>
      </c>
      <c r="Y1625">
        <v>0.54</v>
      </c>
      <c r="Z1625">
        <v>0</v>
      </c>
      <c r="AA1625">
        <v>0.28000000000000003</v>
      </c>
      <c r="AB1625">
        <v>0.01</v>
      </c>
      <c r="AC1625">
        <v>8.99</v>
      </c>
      <c r="AD1625">
        <v>30.34</v>
      </c>
      <c r="AE1625">
        <v>4.58</v>
      </c>
      <c r="AF1625">
        <v>0</v>
      </c>
      <c r="AG1625">
        <v>5.46</v>
      </c>
      <c r="AH1625">
        <v>34.75</v>
      </c>
      <c r="AI1625">
        <v>15.62</v>
      </c>
      <c r="AJ1625">
        <v>6.02</v>
      </c>
      <c r="AK1625">
        <v>0</v>
      </c>
      <c r="AL1625">
        <v>3.09</v>
      </c>
      <c r="AM1625">
        <v>0.13</v>
      </c>
      <c r="AN1625">
        <f t="shared" si="76"/>
        <v>5</v>
      </c>
      <c r="AO1625" t="str">
        <f t="shared" si="77"/>
        <v>Thursday</v>
      </c>
    </row>
    <row r="1626" spans="1:41" x14ac:dyDescent="0.2">
      <c r="A1626" t="s">
        <v>49</v>
      </c>
      <c r="B1626" s="1">
        <v>45659</v>
      </c>
      <c r="C1626" s="1">
        <f t="shared" si="75"/>
        <v>45688</v>
      </c>
      <c r="D1626">
        <v>1</v>
      </c>
      <c r="E1626">
        <v>2</v>
      </c>
      <c r="F1626">
        <v>0</v>
      </c>
      <c r="G1626">
        <v>0</v>
      </c>
      <c r="H1626">
        <v>1</v>
      </c>
      <c r="I1626">
        <v>0</v>
      </c>
      <c r="J1626">
        <v>0</v>
      </c>
      <c r="K1626">
        <v>0</v>
      </c>
      <c r="L1626" t="s">
        <v>49</v>
      </c>
      <c r="M1626" t="s">
        <v>38</v>
      </c>
      <c r="N1626" s="1">
        <v>45659</v>
      </c>
      <c r="O1626" s="2">
        <v>0.69781249999999995</v>
      </c>
      <c r="P1626" s="2">
        <v>0.9487268518518519</v>
      </c>
      <c r="Q1626">
        <v>6.03</v>
      </c>
      <c r="R1626">
        <v>0.4</v>
      </c>
      <c r="S1626">
        <v>0.26</v>
      </c>
      <c r="T1626">
        <v>0</v>
      </c>
      <c r="U1626">
        <v>0</v>
      </c>
      <c r="V1626">
        <v>0.04</v>
      </c>
      <c r="W1626">
        <v>0</v>
      </c>
      <c r="X1626">
        <v>0</v>
      </c>
      <c r="Y1626">
        <v>0</v>
      </c>
      <c r="Z1626">
        <v>0</v>
      </c>
      <c r="AA1626">
        <v>0</v>
      </c>
      <c r="AB1626">
        <v>0.09</v>
      </c>
      <c r="AC1626">
        <v>0.4</v>
      </c>
      <c r="AD1626">
        <v>66.13</v>
      </c>
      <c r="AE1626">
        <v>0</v>
      </c>
      <c r="AF1626">
        <v>0</v>
      </c>
      <c r="AG1626">
        <v>10.75</v>
      </c>
      <c r="AH1626">
        <v>0</v>
      </c>
      <c r="AI1626">
        <v>0</v>
      </c>
      <c r="AJ1626">
        <v>0</v>
      </c>
      <c r="AK1626">
        <v>0</v>
      </c>
      <c r="AL1626">
        <v>0</v>
      </c>
      <c r="AM1626">
        <v>23.11</v>
      </c>
      <c r="AN1626">
        <f t="shared" si="76"/>
        <v>5</v>
      </c>
      <c r="AO1626" t="str">
        <f t="shared" si="77"/>
        <v>Thursday</v>
      </c>
    </row>
    <row r="1627" spans="1:41" x14ac:dyDescent="0.2">
      <c r="B1627" s="1">
        <v>45659</v>
      </c>
      <c r="C1627" s="1">
        <f t="shared" si="75"/>
        <v>45688</v>
      </c>
      <c r="D1627">
        <v>841</v>
      </c>
      <c r="E1627">
        <v>0</v>
      </c>
      <c r="F1627">
        <v>0</v>
      </c>
      <c r="G1627">
        <v>0</v>
      </c>
      <c r="H1627">
        <v>0</v>
      </c>
      <c r="I1627">
        <v>0</v>
      </c>
      <c r="J1627">
        <v>0</v>
      </c>
      <c r="K162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395BF-3EA1-F54F-B151-DAC4B9CCEF2A}">
  <dimension ref="C3:Y278"/>
  <sheetViews>
    <sheetView showGridLines="0" workbookViewId="0">
      <selection activeCell="F3" sqref="F3"/>
    </sheetView>
  </sheetViews>
  <sheetFormatPr baseColWidth="10" defaultColWidth="9.6640625" defaultRowHeight="16" x14ac:dyDescent="0.2"/>
  <cols>
    <col min="1" max="2" width="2.83203125" customWidth="1"/>
    <col min="3" max="3" width="13" customWidth="1"/>
    <col min="4" max="4" width="16.5" bestFit="1" customWidth="1"/>
    <col min="5" max="13" width="19.5" customWidth="1"/>
    <col min="16" max="16" width="15.33203125" bestFit="1" customWidth="1"/>
    <col min="17" max="17" width="21.83203125" bestFit="1" customWidth="1"/>
    <col min="18" max="18" width="20.33203125" bestFit="1" customWidth="1"/>
    <col min="19" max="19" width="31.5" bestFit="1" customWidth="1"/>
    <col min="20" max="20" width="26.6640625" bestFit="1" customWidth="1"/>
    <col min="21" max="22" width="27.33203125" bestFit="1" customWidth="1"/>
    <col min="23" max="23" width="34.1640625" bestFit="1" customWidth="1"/>
    <col min="24" max="24" width="30.1640625" bestFit="1" customWidth="1"/>
    <col min="25" max="26" width="25.83203125" bestFit="1" customWidth="1"/>
  </cols>
  <sheetData>
    <row r="3" spans="3:25" x14ac:dyDescent="0.2">
      <c r="C3" s="3" t="s">
        <v>2</v>
      </c>
      <c r="D3" t="s">
        <v>71</v>
      </c>
      <c r="P3" s="3" t="s">
        <v>2</v>
      </c>
      <c r="Q3" t="s">
        <v>71</v>
      </c>
    </row>
    <row r="5" spans="3:25" x14ac:dyDescent="0.2">
      <c r="C5" s="3" t="s">
        <v>1</v>
      </c>
      <c r="D5" s="3" t="s">
        <v>59</v>
      </c>
      <c r="E5" t="s">
        <v>58</v>
      </c>
      <c r="F5" t="s">
        <v>69</v>
      </c>
      <c r="G5" t="s">
        <v>70</v>
      </c>
      <c r="H5" t="s">
        <v>72</v>
      </c>
      <c r="I5" t="s">
        <v>73</v>
      </c>
      <c r="J5" t="s">
        <v>74</v>
      </c>
      <c r="K5" t="s">
        <v>75</v>
      </c>
      <c r="L5" t="s">
        <v>76</v>
      </c>
      <c r="M5" t="s">
        <v>77</v>
      </c>
      <c r="P5" s="3" t="s">
        <v>78</v>
      </c>
      <c r="Q5" t="s">
        <v>58</v>
      </c>
      <c r="R5" t="s">
        <v>69</v>
      </c>
      <c r="S5" t="s">
        <v>70</v>
      </c>
      <c r="T5" t="s">
        <v>72</v>
      </c>
      <c r="U5" t="s">
        <v>73</v>
      </c>
      <c r="V5" t="s">
        <v>74</v>
      </c>
      <c r="W5" t="s">
        <v>75</v>
      </c>
      <c r="X5" t="s">
        <v>76</v>
      </c>
      <c r="Y5" t="s">
        <v>77</v>
      </c>
    </row>
    <row r="6" spans="3:25" x14ac:dyDescent="0.2">
      <c r="C6" s="1">
        <v>46057</v>
      </c>
      <c r="D6" t="s">
        <v>64</v>
      </c>
      <c r="E6">
        <v>1619</v>
      </c>
      <c r="F6">
        <v>179</v>
      </c>
      <c r="G6" s="4">
        <v>8.8159999999999989</v>
      </c>
      <c r="H6" s="4">
        <v>3.1439999999999997</v>
      </c>
      <c r="I6" s="4">
        <v>0.34799999999999998</v>
      </c>
      <c r="J6" s="4">
        <v>0.39</v>
      </c>
      <c r="K6" s="4">
        <v>0</v>
      </c>
      <c r="L6" s="4">
        <v>1.31</v>
      </c>
      <c r="M6" s="4">
        <v>3.6180000000000008</v>
      </c>
      <c r="P6" s="1">
        <v>46081</v>
      </c>
      <c r="Q6">
        <v>4767</v>
      </c>
      <c r="R6">
        <v>559</v>
      </c>
      <c r="S6" s="4">
        <v>8.8638461538461524</v>
      </c>
      <c r="T6" s="4">
        <v>3.1761538461538459</v>
      </c>
      <c r="U6" s="4">
        <v>0.40076923076923077</v>
      </c>
      <c r="V6" s="4">
        <v>0.37153846153846154</v>
      </c>
      <c r="W6" s="4">
        <v>7.6153846153846155E-2</v>
      </c>
      <c r="X6" s="4">
        <v>1.3369230769230771</v>
      </c>
      <c r="Y6" s="4">
        <v>3.4915384615384615</v>
      </c>
    </row>
    <row r="7" spans="3:25" x14ac:dyDescent="0.2">
      <c r="C7" s="1">
        <v>46056</v>
      </c>
      <c r="D7" t="s">
        <v>63</v>
      </c>
      <c r="E7">
        <v>1728</v>
      </c>
      <c r="F7">
        <v>272</v>
      </c>
      <c r="G7" s="4">
        <v>8.8120000000000012</v>
      </c>
      <c r="H7" s="4">
        <v>3.2119999999999997</v>
      </c>
      <c r="I7" s="4">
        <v>0.55800000000000005</v>
      </c>
      <c r="J7" s="4">
        <v>0.39200000000000002</v>
      </c>
      <c r="K7" s="4">
        <v>0</v>
      </c>
      <c r="L7" s="4">
        <v>1.3140000000000001</v>
      </c>
      <c r="M7" s="4">
        <v>3.3159999999999998</v>
      </c>
      <c r="P7" s="1">
        <v>46053</v>
      </c>
      <c r="Q7">
        <v>22226</v>
      </c>
      <c r="R7">
        <v>2734</v>
      </c>
      <c r="S7" s="4">
        <v>8.6537634408602155</v>
      </c>
      <c r="T7" s="4">
        <v>2.5906451612903232</v>
      </c>
      <c r="U7" s="4">
        <v>0.32010752688172034</v>
      </c>
      <c r="V7" s="4">
        <v>0.37236559139784942</v>
      </c>
      <c r="W7" s="4">
        <v>0.47612903225806447</v>
      </c>
      <c r="X7" s="4">
        <v>1.304838709677419</v>
      </c>
      <c r="Y7" s="4">
        <v>3.5693548387096774</v>
      </c>
    </row>
    <row r="8" spans="3:25" x14ac:dyDescent="0.2">
      <c r="C8" s="1">
        <v>46055</v>
      </c>
      <c r="D8" t="s">
        <v>62</v>
      </c>
      <c r="E8">
        <v>1420</v>
      </c>
      <c r="F8">
        <v>108</v>
      </c>
      <c r="G8" s="4">
        <v>9.0299999999999994</v>
      </c>
      <c r="H8" s="4">
        <v>3.17</v>
      </c>
      <c r="I8" s="4">
        <v>0.22666666666666668</v>
      </c>
      <c r="J8" s="4">
        <v>0.3066666666666667</v>
      </c>
      <c r="K8" s="4">
        <v>0.33</v>
      </c>
      <c r="L8" s="4">
        <v>1.42</v>
      </c>
      <c r="M8" s="4">
        <v>3.5733333333333337</v>
      </c>
      <c r="P8" s="1">
        <v>46022</v>
      </c>
      <c r="Q8">
        <v>20515</v>
      </c>
      <c r="R8">
        <v>2272</v>
      </c>
      <c r="S8" s="4">
        <v>8.4256250000000001</v>
      </c>
      <c r="T8" s="4">
        <v>2.092625</v>
      </c>
      <c r="U8" s="4">
        <v>0.31474999999999997</v>
      </c>
      <c r="V8" s="4">
        <v>0.38562499999999994</v>
      </c>
      <c r="W8" s="4">
        <v>0.34112500000000007</v>
      </c>
      <c r="X8" s="4">
        <v>1.2054999999999998</v>
      </c>
      <c r="Y8" s="4">
        <v>4.0723749999999983</v>
      </c>
    </row>
    <row r="9" spans="3:25" x14ac:dyDescent="0.2">
      <c r="C9" s="1">
        <v>46052</v>
      </c>
      <c r="D9" t="s">
        <v>66</v>
      </c>
      <c r="E9">
        <v>1506</v>
      </c>
      <c r="F9">
        <v>129</v>
      </c>
      <c r="G9" s="4">
        <v>7.9259999999999993</v>
      </c>
      <c r="H9" s="4">
        <v>2.3019999999999996</v>
      </c>
      <c r="I9" s="4">
        <v>0.30999999999999994</v>
      </c>
      <c r="J9" s="4">
        <v>0.29399999999999998</v>
      </c>
      <c r="K9" s="4">
        <v>0.248</v>
      </c>
      <c r="L9" s="4">
        <v>1.1559999999999999</v>
      </c>
      <c r="M9" s="4">
        <v>3.596000000000001</v>
      </c>
      <c r="P9" s="1">
        <v>45991</v>
      </c>
      <c r="Q9">
        <v>19178</v>
      </c>
      <c r="R9">
        <v>2110</v>
      </c>
      <c r="S9" s="4">
        <v>8.8146913580246924</v>
      </c>
      <c r="T9" s="4">
        <v>2.0165432098765432</v>
      </c>
      <c r="U9" s="4">
        <v>0.54049382716049388</v>
      </c>
      <c r="V9" s="4">
        <v>0.3322222222222222</v>
      </c>
      <c r="W9" s="4">
        <v>0.391358024691358</v>
      </c>
      <c r="X9" s="4">
        <v>1.2648148148148144</v>
      </c>
      <c r="Y9" s="4">
        <v>4.2433333333333332</v>
      </c>
    </row>
    <row r="10" spans="3:25" x14ac:dyDescent="0.2">
      <c r="C10" s="1">
        <v>46051</v>
      </c>
      <c r="D10" t="s">
        <v>65</v>
      </c>
      <c r="E10">
        <v>288</v>
      </c>
      <c r="F10">
        <v>80</v>
      </c>
      <c r="G10" s="4">
        <v>9.0120000000000005</v>
      </c>
      <c r="H10" s="4">
        <v>2.3619999999999997</v>
      </c>
      <c r="I10" s="4">
        <v>0.30399999999999999</v>
      </c>
      <c r="J10" s="4">
        <v>0.36199999999999999</v>
      </c>
      <c r="K10" s="4">
        <v>1.546</v>
      </c>
      <c r="L10" s="4">
        <v>1.46</v>
      </c>
      <c r="M10" s="4">
        <v>2.9660000000000002</v>
      </c>
      <c r="P10" s="1">
        <v>45961</v>
      </c>
      <c r="Q10">
        <v>16628</v>
      </c>
      <c r="R10">
        <v>1921</v>
      </c>
      <c r="S10" s="4">
        <v>8.6252777777777805</v>
      </c>
      <c r="T10" s="4">
        <v>3.0390740740740738</v>
      </c>
      <c r="U10" s="4">
        <v>0.34601851851851856</v>
      </c>
      <c r="V10" s="4">
        <v>0.20009259259259266</v>
      </c>
      <c r="W10" s="4">
        <v>0.24981481481481474</v>
      </c>
      <c r="X10" s="4">
        <v>1.255925925925925</v>
      </c>
      <c r="Y10" s="4">
        <v>3.5203703703703715</v>
      </c>
    </row>
    <row r="11" spans="3:25" x14ac:dyDescent="0.2">
      <c r="C11" s="1">
        <v>46050</v>
      </c>
      <c r="D11" t="s">
        <v>64</v>
      </c>
      <c r="E11">
        <v>1595</v>
      </c>
      <c r="F11">
        <v>169</v>
      </c>
      <c r="G11" s="4">
        <v>7.8480000000000008</v>
      </c>
      <c r="H11" s="4">
        <v>2.5660000000000003</v>
      </c>
      <c r="I11" s="4">
        <v>0.34599999999999997</v>
      </c>
      <c r="J11" s="4">
        <v>0.312</v>
      </c>
      <c r="K11" s="4">
        <v>0.20200000000000001</v>
      </c>
      <c r="L11" s="4">
        <v>1.21</v>
      </c>
      <c r="M11" s="4">
        <v>3.1859999999999999</v>
      </c>
      <c r="P11" s="1">
        <v>45930</v>
      </c>
      <c r="Q11">
        <v>13444</v>
      </c>
      <c r="R11">
        <v>1641</v>
      </c>
      <c r="S11" s="4">
        <v>8.6389690721649455</v>
      </c>
      <c r="T11" s="4">
        <v>2.3755670103092776</v>
      </c>
      <c r="U11" s="4">
        <v>0.26381443298969065</v>
      </c>
      <c r="V11" s="4">
        <v>0.33247422680412381</v>
      </c>
      <c r="W11" s="4">
        <v>0.24536082474226797</v>
      </c>
      <c r="X11" s="4">
        <v>1.2196907216494848</v>
      </c>
      <c r="Y11" s="4">
        <v>4.1845360824742279</v>
      </c>
    </row>
    <row r="12" spans="3:25" x14ac:dyDescent="0.2">
      <c r="C12" s="1">
        <v>46049</v>
      </c>
      <c r="D12" t="s">
        <v>63</v>
      </c>
      <c r="E12">
        <v>1659</v>
      </c>
      <c r="F12">
        <v>235</v>
      </c>
      <c r="G12" s="4">
        <v>8.8159999999999989</v>
      </c>
      <c r="H12" s="4">
        <v>2.8660000000000001</v>
      </c>
      <c r="I12" s="4">
        <v>0.46600000000000003</v>
      </c>
      <c r="J12" s="4">
        <v>0.39</v>
      </c>
      <c r="K12" s="4">
        <v>0</v>
      </c>
      <c r="L12" s="4">
        <v>1.304</v>
      </c>
      <c r="M12" s="4">
        <v>3.758</v>
      </c>
      <c r="P12" s="1">
        <v>45900</v>
      </c>
      <c r="Q12">
        <v>11715</v>
      </c>
      <c r="R12">
        <v>1328</v>
      </c>
      <c r="S12" s="4">
        <v>8.7753125000000001</v>
      </c>
      <c r="T12" s="4">
        <v>1.3819791666666668</v>
      </c>
      <c r="U12" s="4">
        <v>0.19458333333333336</v>
      </c>
      <c r="V12" s="4">
        <v>0.2412500000000001</v>
      </c>
      <c r="W12" s="4">
        <v>0.51656249999999992</v>
      </c>
      <c r="X12" s="4">
        <v>1.2847916666666663</v>
      </c>
      <c r="Y12" s="4">
        <v>5.1243750000000015</v>
      </c>
    </row>
    <row r="13" spans="3:25" x14ac:dyDescent="0.2">
      <c r="C13" s="1">
        <v>46048</v>
      </c>
      <c r="D13" t="s">
        <v>62</v>
      </c>
      <c r="E13">
        <v>1481</v>
      </c>
      <c r="F13">
        <v>153</v>
      </c>
      <c r="G13" s="4">
        <v>8.8539999999999992</v>
      </c>
      <c r="H13" s="4">
        <v>2.286</v>
      </c>
      <c r="I13" s="4">
        <v>0.39200000000000002</v>
      </c>
      <c r="J13" s="4">
        <v>0.28799999999999998</v>
      </c>
      <c r="K13" s="4">
        <v>0.19400000000000001</v>
      </c>
      <c r="L13" s="4">
        <v>1.296</v>
      </c>
      <c r="M13" s="4">
        <v>4.3879999999999999</v>
      </c>
      <c r="P13" s="1">
        <v>45869</v>
      </c>
      <c r="Q13">
        <v>13495</v>
      </c>
      <c r="R13">
        <v>1445</v>
      </c>
      <c r="S13" s="4">
        <v>8.6698039215686276</v>
      </c>
      <c r="T13" s="4">
        <v>1.1633333333333336</v>
      </c>
      <c r="U13" s="4">
        <v>0.21774509803921563</v>
      </c>
      <c r="V13" s="4">
        <v>0.25960784313725488</v>
      </c>
      <c r="W13" s="4">
        <v>0.31156862745098041</v>
      </c>
      <c r="X13" s="4">
        <v>1.1983333333333328</v>
      </c>
      <c r="Y13" s="4">
        <v>5.4922549019607843</v>
      </c>
    </row>
    <row r="14" spans="3:25" x14ac:dyDescent="0.2">
      <c r="C14" s="1">
        <v>46045</v>
      </c>
      <c r="D14" t="s">
        <v>66</v>
      </c>
      <c r="E14">
        <v>257</v>
      </c>
      <c r="F14">
        <v>77</v>
      </c>
      <c r="G14" s="4">
        <v>9.1</v>
      </c>
      <c r="H14" s="4">
        <v>2.6399999999999997</v>
      </c>
      <c r="I14" s="4">
        <v>0.33249999999999996</v>
      </c>
      <c r="J14" s="4">
        <v>0.35</v>
      </c>
      <c r="K14" s="4">
        <v>0.36249999999999999</v>
      </c>
      <c r="L14" s="4">
        <v>1.5749999999999997</v>
      </c>
      <c r="M14" s="4">
        <v>3.835</v>
      </c>
      <c r="P14" s="1">
        <v>45838</v>
      </c>
      <c r="Q14">
        <v>12826</v>
      </c>
      <c r="R14">
        <v>1312</v>
      </c>
      <c r="S14" s="4">
        <v>8.3987912087912076</v>
      </c>
      <c r="T14" s="4">
        <v>1.2889010989010989</v>
      </c>
      <c r="U14" s="4">
        <v>0.25219780219780202</v>
      </c>
      <c r="V14" s="4">
        <v>0.31879120879120881</v>
      </c>
      <c r="W14" s="4">
        <v>0.27582417582417579</v>
      </c>
      <c r="X14" s="4">
        <v>1.0885714285714285</v>
      </c>
      <c r="Y14" s="4">
        <v>5.1435164835164846</v>
      </c>
    </row>
    <row r="15" spans="3:25" x14ac:dyDescent="0.2">
      <c r="C15" s="1">
        <v>46044</v>
      </c>
      <c r="D15" t="s">
        <v>65</v>
      </c>
      <c r="E15">
        <v>1375</v>
      </c>
      <c r="F15">
        <v>83</v>
      </c>
      <c r="G15" s="4">
        <v>8.9599999999999991</v>
      </c>
      <c r="H15" s="4">
        <v>1.9260000000000002</v>
      </c>
      <c r="I15" s="4">
        <v>0.11599999999999999</v>
      </c>
      <c r="J15" s="4">
        <v>0.23799999999999999</v>
      </c>
      <c r="K15" s="4">
        <v>1.5859999999999999</v>
      </c>
      <c r="L15" s="4">
        <v>1.3519999999999999</v>
      </c>
      <c r="M15" s="4">
        <v>3.7199999999999998</v>
      </c>
      <c r="P15" s="1">
        <v>45808</v>
      </c>
      <c r="Q15">
        <v>15346</v>
      </c>
      <c r="R15">
        <v>1548</v>
      </c>
      <c r="S15" s="4">
        <v>8.5908849557522107</v>
      </c>
      <c r="T15" s="4">
        <v>1.1486725663716812</v>
      </c>
      <c r="U15" s="4">
        <v>0.19982300884955756</v>
      </c>
      <c r="V15" s="4">
        <v>0.23212389380530973</v>
      </c>
      <c r="W15" s="4">
        <v>0.26707964601769907</v>
      </c>
      <c r="X15" s="4">
        <v>1.2180530973451327</v>
      </c>
      <c r="Y15" s="4">
        <v>5.5012389380530982</v>
      </c>
    </row>
    <row r="16" spans="3:25" x14ac:dyDescent="0.2">
      <c r="C16" s="1">
        <v>46043</v>
      </c>
      <c r="D16" t="s">
        <v>64</v>
      </c>
      <c r="E16">
        <v>1689</v>
      </c>
      <c r="F16">
        <v>182</v>
      </c>
      <c r="G16" s="4">
        <v>8.9959999999999987</v>
      </c>
      <c r="H16" s="4">
        <v>3.0059999999999998</v>
      </c>
      <c r="I16" s="4">
        <v>0.39</v>
      </c>
      <c r="J16" s="4">
        <v>0.378</v>
      </c>
      <c r="K16" s="4">
        <v>0.95800000000000018</v>
      </c>
      <c r="L16" s="4">
        <v>1.4359999999999999</v>
      </c>
      <c r="M16" s="4">
        <v>2.802</v>
      </c>
      <c r="P16" s="1">
        <v>45777</v>
      </c>
      <c r="Q16">
        <v>16926</v>
      </c>
      <c r="R16">
        <v>1576</v>
      </c>
      <c r="S16" s="4">
        <v>8.6095000000000006</v>
      </c>
      <c r="T16" s="4">
        <v>1.0611999999999997</v>
      </c>
      <c r="U16" s="4">
        <v>0.16730000000000003</v>
      </c>
      <c r="V16" s="4">
        <v>0.22190000000000001</v>
      </c>
      <c r="W16" s="4">
        <v>0.28050000000000003</v>
      </c>
      <c r="X16" s="4">
        <v>1.1874999999999993</v>
      </c>
      <c r="Y16" s="4">
        <v>5.649799999999999</v>
      </c>
    </row>
    <row r="17" spans="3:25" x14ac:dyDescent="0.2">
      <c r="C17" s="1">
        <v>46042</v>
      </c>
      <c r="D17" t="s">
        <v>63</v>
      </c>
      <c r="E17">
        <v>410</v>
      </c>
      <c r="F17">
        <v>129</v>
      </c>
      <c r="G17" s="4">
        <v>8.8559999999999999</v>
      </c>
      <c r="H17" s="4">
        <v>3.6360000000000001</v>
      </c>
      <c r="I17" s="4">
        <v>0.51400000000000001</v>
      </c>
      <c r="J17" s="4">
        <v>0.42599999999999999</v>
      </c>
      <c r="K17" s="4">
        <v>4.1999999999999996E-2</v>
      </c>
      <c r="L17" s="4">
        <v>1.3</v>
      </c>
      <c r="M17" s="4">
        <v>2.8959999999999999</v>
      </c>
      <c r="P17" s="1">
        <v>45747</v>
      </c>
      <c r="Q17">
        <v>17692</v>
      </c>
      <c r="R17">
        <v>1437</v>
      </c>
      <c r="S17" s="4">
        <v>8.6172368421052621</v>
      </c>
      <c r="T17" s="4">
        <v>1.3856578947368419</v>
      </c>
      <c r="U17" s="4">
        <v>0.1627631578947368</v>
      </c>
      <c r="V17" s="4">
        <v>0.2489473684210525</v>
      </c>
      <c r="W17" s="4">
        <v>0.30973684210526309</v>
      </c>
      <c r="X17" s="4">
        <v>1.159473684210526</v>
      </c>
      <c r="Y17" s="4">
        <v>5.3068421052631578</v>
      </c>
    </row>
    <row r="18" spans="3:25" x14ac:dyDescent="0.2">
      <c r="C18" s="1">
        <v>46038</v>
      </c>
      <c r="D18" t="s">
        <v>66</v>
      </c>
      <c r="E18">
        <v>217</v>
      </c>
      <c r="F18">
        <v>83</v>
      </c>
      <c r="G18" s="4">
        <v>8.6433333333333326</v>
      </c>
      <c r="H18" s="4">
        <v>2.6566666666666667</v>
      </c>
      <c r="I18" s="4">
        <v>0.35666666666666669</v>
      </c>
      <c r="J18" s="4">
        <v>0.38666666666666671</v>
      </c>
      <c r="K18" s="4">
        <v>0.18999999999999997</v>
      </c>
      <c r="L18" s="4">
        <v>1.07</v>
      </c>
      <c r="M18" s="4">
        <v>3.9633333333333334</v>
      </c>
      <c r="P18" s="1">
        <v>45716</v>
      </c>
      <c r="Q18">
        <v>18470</v>
      </c>
      <c r="R18">
        <v>1599</v>
      </c>
      <c r="S18" s="4">
        <v>8.6448913043478246</v>
      </c>
      <c r="T18" s="4">
        <v>1.3693478260869567</v>
      </c>
      <c r="U18" s="4">
        <v>0.20739130434782607</v>
      </c>
      <c r="V18" s="4">
        <v>0.29065217391304349</v>
      </c>
      <c r="W18" s="4">
        <v>0.47195652173913077</v>
      </c>
      <c r="X18" s="4">
        <v>1.2353260869565217</v>
      </c>
      <c r="Y18" s="4">
        <v>5.0425000000000013</v>
      </c>
    </row>
    <row r="19" spans="3:25" x14ac:dyDescent="0.2">
      <c r="C19" s="1">
        <v>46037</v>
      </c>
      <c r="D19" t="s">
        <v>65</v>
      </c>
      <c r="E19">
        <v>967</v>
      </c>
      <c r="F19">
        <v>119</v>
      </c>
      <c r="G19" s="4">
        <v>9.0324999999999989</v>
      </c>
      <c r="H19" s="4">
        <v>2.4424999999999999</v>
      </c>
      <c r="I19" s="4">
        <v>0.35499999999999998</v>
      </c>
      <c r="J19" s="4">
        <v>0.42749999999999999</v>
      </c>
      <c r="K19" s="4">
        <v>1.4175</v>
      </c>
      <c r="L19" s="4">
        <v>1.4774999999999998</v>
      </c>
      <c r="M19" s="4">
        <v>2.9074999999999998</v>
      </c>
      <c r="P19" s="1">
        <v>45688</v>
      </c>
      <c r="Q19">
        <v>20343</v>
      </c>
      <c r="R19">
        <v>1911</v>
      </c>
      <c r="S19" s="4">
        <v>8.736727272727272</v>
      </c>
      <c r="T19" s="4">
        <v>1.4046363636363643</v>
      </c>
      <c r="U19" s="4">
        <v>0.2526363636363636</v>
      </c>
      <c r="V19" s="4">
        <v>0.27854545454545454</v>
      </c>
      <c r="W19" s="4">
        <v>0.53899999999999981</v>
      </c>
      <c r="X19" s="4">
        <v>1.3459090909090907</v>
      </c>
      <c r="Y19" s="4">
        <v>4.8787272727272732</v>
      </c>
    </row>
    <row r="20" spans="3:25" x14ac:dyDescent="0.2">
      <c r="C20" s="1">
        <v>46036</v>
      </c>
      <c r="D20" t="s">
        <v>64</v>
      </c>
      <c r="E20">
        <v>1490</v>
      </c>
      <c r="F20">
        <v>136</v>
      </c>
      <c r="G20" s="4">
        <v>7.9859999999999998</v>
      </c>
      <c r="H20" s="4">
        <v>2.302</v>
      </c>
      <c r="I20" s="4">
        <v>0.23399999999999999</v>
      </c>
      <c r="J20" s="4">
        <v>0.33200000000000002</v>
      </c>
      <c r="K20" s="4">
        <v>0.19400000000000001</v>
      </c>
      <c r="L20" s="4">
        <v>1.0960000000000001</v>
      </c>
      <c r="M20" s="4">
        <v>3.8019999999999996</v>
      </c>
      <c r="P20" t="s">
        <v>57</v>
      </c>
      <c r="Q20">
        <v>223571</v>
      </c>
      <c r="R20">
        <v>23393</v>
      </c>
      <c r="S20" s="4">
        <v>8.6354792332268389</v>
      </c>
      <c r="T20" s="4">
        <v>1.7268051118210874</v>
      </c>
      <c r="U20" s="4">
        <v>0.26301118210862606</v>
      </c>
      <c r="V20" s="4">
        <v>0.28310702875399352</v>
      </c>
      <c r="W20" s="4">
        <v>0.35622204472843472</v>
      </c>
      <c r="X20" s="4">
        <v>1.2319568690095919</v>
      </c>
      <c r="Y20" s="4">
        <v>4.7473322683705952</v>
      </c>
    </row>
    <row r="21" spans="3:25" x14ac:dyDescent="0.2">
      <c r="C21" s="1">
        <v>46035</v>
      </c>
      <c r="D21" t="s">
        <v>63</v>
      </c>
      <c r="E21">
        <v>1639</v>
      </c>
      <c r="F21">
        <v>217</v>
      </c>
      <c r="G21" s="4">
        <v>9.0560000000000009</v>
      </c>
      <c r="H21" s="4">
        <v>2.9460000000000002</v>
      </c>
      <c r="I21" s="4">
        <v>0.28000000000000003</v>
      </c>
      <c r="J21" s="4">
        <v>0.44399999999999995</v>
      </c>
      <c r="K21" s="4">
        <v>0.61</v>
      </c>
      <c r="L21" s="4">
        <v>1.452</v>
      </c>
      <c r="M21" s="4">
        <v>3.3159999999999998</v>
      </c>
    </row>
    <row r="22" spans="3:25" x14ac:dyDescent="0.2">
      <c r="C22" s="1">
        <v>46034</v>
      </c>
      <c r="D22" t="s">
        <v>62</v>
      </c>
      <c r="E22">
        <v>1449</v>
      </c>
      <c r="F22">
        <v>111</v>
      </c>
      <c r="G22" s="4">
        <v>8.8520000000000003</v>
      </c>
      <c r="H22" s="4">
        <v>2.3339999999999996</v>
      </c>
      <c r="I22" s="4">
        <v>0.21799999999999997</v>
      </c>
      <c r="J22" s="4">
        <v>0.3</v>
      </c>
      <c r="K22" s="4">
        <v>0.10800000000000001</v>
      </c>
      <c r="L22" s="4">
        <v>1.3119999999999998</v>
      </c>
      <c r="M22" s="4">
        <v>4.5720000000000001</v>
      </c>
    </row>
    <row r="23" spans="3:25" x14ac:dyDescent="0.2">
      <c r="C23" s="1">
        <v>46031</v>
      </c>
      <c r="D23" t="s">
        <v>66</v>
      </c>
      <c r="E23">
        <v>1598</v>
      </c>
      <c r="F23">
        <v>151</v>
      </c>
      <c r="G23" s="4">
        <v>8.8520000000000003</v>
      </c>
      <c r="H23" s="4">
        <v>2.5279999999999996</v>
      </c>
      <c r="I23" s="4">
        <v>0.252</v>
      </c>
      <c r="J23" s="4">
        <v>0.42400000000000004</v>
      </c>
      <c r="K23" s="4">
        <v>0.10200000000000001</v>
      </c>
      <c r="L23" s="4">
        <v>1.3919999999999999</v>
      </c>
      <c r="M23" s="4">
        <v>4.1440000000000001</v>
      </c>
    </row>
    <row r="24" spans="3:25" x14ac:dyDescent="0.2">
      <c r="C24" s="1">
        <v>46030</v>
      </c>
      <c r="D24" t="s">
        <v>65</v>
      </c>
      <c r="E24">
        <v>236</v>
      </c>
      <c r="F24">
        <v>87</v>
      </c>
      <c r="G24" s="4">
        <v>8.85</v>
      </c>
      <c r="H24" s="4">
        <v>2.5020000000000002</v>
      </c>
      <c r="I24" s="4">
        <v>0.27999999999999997</v>
      </c>
      <c r="J24" s="4">
        <v>0.38800000000000001</v>
      </c>
      <c r="K24" s="4">
        <v>1.3740000000000001</v>
      </c>
      <c r="L24" s="4">
        <v>1.284</v>
      </c>
      <c r="M24" s="4">
        <v>2.9340000000000002</v>
      </c>
    </row>
    <row r="25" spans="3:25" x14ac:dyDescent="0.2">
      <c r="C25" s="1">
        <v>46029</v>
      </c>
      <c r="D25" t="s">
        <v>64</v>
      </c>
      <c r="E25">
        <v>1557</v>
      </c>
      <c r="F25">
        <v>212</v>
      </c>
      <c r="G25" s="4">
        <v>8.83</v>
      </c>
      <c r="H25" s="4">
        <v>2.726</v>
      </c>
      <c r="I25" s="4">
        <v>0.4</v>
      </c>
      <c r="J25" s="4">
        <v>0.434</v>
      </c>
      <c r="K25" s="4">
        <v>0</v>
      </c>
      <c r="L25" s="4">
        <v>1.3080000000000001</v>
      </c>
      <c r="M25" s="4">
        <v>3.95</v>
      </c>
    </row>
    <row r="26" spans="3:25" x14ac:dyDescent="0.2">
      <c r="C26" s="1">
        <v>46028</v>
      </c>
      <c r="D26" t="s">
        <v>63</v>
      </c>
      <c r="E26">
        <v>255</v>
      </c>
      <c r="F26">
        <v>93</v>
      </c>
      <c r="G26" s="4">
        <v>7.5720000000000001</v>
      </c>
      <c r="H26" s="4">
        <v>2.4360000000000004</v>
      </c>
      <c r="I26" s="4">
        <v>0.17199999999999999</v>
      </c>
      <c r="J26" s="4">
        <v>0.41</v>
      </c>
      <c r="K26" s="4">
        <v>0</v>
      </c>
      <c r="L26" s="4">
        <v>1.018</v>
      </c>
      <c r="M26" s="4">
        <v>3.532</v>
      </c>
    </row>
    <row r="27" spans="3:25" x14ac:dyDescent="0.2">
      <c r="C27" s="1">
        <v>46027</v>
      </c>
      <c r="D27" t="s">
        <v>62</v>
      </c>
      <c r="E27">
        <v>1480</v>
      </c>
      <c r="F27">
        <v>171</v>
      </c>
      <c r="G27" s="4">
        <v>8.4824999999999999</v>
      </c>
      <c r="H27" s="4">
        <v>2.6</v>
      </c>
      <c r="I27" s="4">
        <v>0.45750000000000002</v>
      </c>
      <c r="J27" s="4">
        <v>0.41250000000000003</v>
      </c>
      <c r="K27" s="4">
        <v>0.1925</v>
      </c>
      <c r="L27" s="4">
        <v>1.44</v>
      </c>
      <c r="M27" s="4">
        <v>3.375</v>
      </c>
    </row>
    <row r="28" spans="3:25" x14ac:dyDescent="0.2">
      <c r="C28" s="1">
        <v>46024</v>
      </c>
      <c r="D28" t="s">
        <v>66</v>
      </c>
      <c r="E28">
        <v>1078</v>
      </c>
      <c r="F28">
        <v>117</v>
      </c>
      <c r="G28" s="4">
        <v>8.6933333333333334</v>
      </c>
      <c r="H28" s="4">
        <v>2.8699999999999997</v>
      </c>
      <c r="I28" s="4">
        <v>0.25</v>
      </c>
      <c r="J28" s="4">
        <v>0.53666666666666663</v>
      </c>
      <c r="K28" s="4">
        <v>0</v>
      </c>
      <c r="L28" s="4">
        <v>1.0966666666666667</v>
      </c>
      <c r="M28" s="4">
        <v>3.9266666666666663</v>
      </c>
    </row>
    <row r="29" spans="3:25" x14ac:dyDescent="0.2">
      <c r="C29" s="1">
        <v>46021</v>
      </c>
      <c r="D29" t="s">
        <v>63</v>
      </c>
      <c r="E29">
        <v>39</v>
      </c>
      <c r="F29">
        <v>37</v>
      </c>
      <c r="G29" s="4">
        <v>5.99</v>
      </c>
      <c r="H29" s="4">
        <v>2.4950000000000001</v>
      </c>
      <c r="I29" s="4">
        <v>5.0000000000000001E-3</v>
      </c>
      <c r="J29" s="4">
        <v>0.16999999999999998</v>
      </c>
      <c r="K29" s="4">
        <v>0</v>
      </c>
      <c r="L29" s="4">
        <v>0.41500000000000004</v>
      </c>
      <c r="M29" s="4">
        <v>2.895</v>
      </c>
    </row>
    <row r="30" spans="3:25" x14ac:dyDescent="0.2">
      <c r="C30" s="1">
        <v>46020</v>
      </c>
      <c r="D30" t="s">
        <v>62</v>
      </c>
      <c r="E30">
        <v>47</v>
      </c>
      <c r="F30">
        <v>33</v>
      </c>
      <c r="G30" s="4">
        <v>6.0049999999999999</v>
      </c>
      <c r="H30" s="4">
        <v>1.7</v>
      </c>
      <c r="I30" s="4">
        <v>5.0000000000000001E-3</v>
      </c>
      <c r="J30" s="4">
        <v>6.5000000000000002E-2</v>
      </c>
      <c r="K30" s="4">
        <v>0</v>
      </c>
      <c r="L30" s="4">
        <v>0.49</v>
      </c>
      <c r="M30" s="4">
        <v>3.7450000000000001</v>
      </c>
    </row>
    <row r="31" spans="3:25" x14ac:dyDescent="0.2">
      <c r="C31" s="1">
        <v>46014</v>
      </c>
      <c r="D31" t="s">
        <v>63</v>
      </c>
      <c r="E31">
        <v>239</v>
      </c>
      <c r="F31">
        <v>85</v>
      </c>
      <c r="G31" s="4">
        <v>7.78</v>
      </c>
      <c r="H31" s="4">
        <v>2.2599999999999998</v>
      </c>
      <c r="I31" s="4">
        <v>0.29249999999999998</v>
      </c>
      <c r="J31" s="4">
        <v>0.46499999999999997</v>
      </c>
      <c r="K31" s="4">
        <v>0</v>
      </c>
      <c r="L31" s="4">
        <v>1.1499999999999999</v>
      </c>
      <c r="M31" s="4">
        <v>3.5924999999999998</v>
      </c>
    </row>
    <row r="32" spans="3:25" x14ac:dyDescent="0.2">
      <c r="C32" s="1">
        <v>46013</v>
      </c>
      <c r="D32" t="s">
        <v>62</v>
      </c>
      <c r="E32">
        <v>1266</v>
      </c>
      <c r="F32">
        <v>110</v>
      </c>
      <c r="G32" s="4">
        <v>8.02</v>
      </c>
      <c r="H32" s="4">
        <v>2.27</v>
      </c>
      <c r="I32" s="4">
        <v>0.22749999999999998</v>
      </c>
      <c r="J32" s="4">
        <v>0.34750000000000003</v>
      </c>
      <c r="K32" s="4">
        <v>0.3</v>
      </c>
      <c r="L32" s="4">
        <v>1.2725</v>
      </c>
      <c r="M32" s="4">
        <v>3.5750000000000002</v>
      </c>
    </row>
    <row r="33" spans="3:13" x14ac:dyDescent="0.2">
      <c r="C33" s="1">
        <v>46010</v>
      </c>
      <c r="D33" t="s">
        <v>66</v>
      </c>
      <c r="E33">
        <v>1421</v>
      </c>
      <c r="F33">
        <v>121</v>
      </c>
      <c r="G33" s="4">
        <v>8.85</v>
      </c>
      <c r="H33" s="4">
        <v>1.5619999999999998</v>
      </c>
      <c r="I33" s="4">
        <v>0.128</v>
      </c>
      <c r="J33" s="4">
        <v>0.22999999999999998</v>
      </c>
      <c r="K33" s="4">
        <v>0.22400000000000003</v>
      </c>
      <c r="L33" s="4">
        <v>1.4460000000000002</v>
      </c>
      <c r="M33" s="4">
        <v>5.2539999999999996</v>
      </c>
    </row>
    <row r="34" spans="3:13" x14ac:dyDescent="0.2">
      <c r="C34" s="1">
        <v>46009</v>
      </c>
      <c r="D34" t="s">
        <v>65</v>
      </c>
      <c r="E34">
        <v>217</v>
      </c>
      <c r="F34">
        <v>68</v>
      </c>
      <c r="G34" s="4">
        <v>8.8300000000000018</v>
      </c>
      <c r="H34" s="4">
        <v>1.6560000000000001</v>
      </c>
      <c r="I34" s="4">
        <v>0.16400000000000001</v>
      </c>
      <c r="J34" s="4">
        <v>0.27199999999999996</v>
      </c>
      <c r="K34" s="4">
        <v>0.90600000000000003</v>
      </c>
      <c r="L34" s="4">
        <v>1.296</v>
      </c>
      <c r="M34" s="4">
        <v>4.5299999999999994</v>
      </c>
    </row>
    <row r="35" spans="3:13" x14ac:dyDescent="0.2">
      <c r="C35" s="1">
        <v>46008</v>
      </c>
      <c r="D35" t="s">
        <v>64</v>
      </c>
      <c r="E35">
        <v>1362</v>
      </c>
      <c r="F35">
        <v>125</v>
      </c>
      <c r="G35" s="4">
        <v>8.7740000000000009</v>
      </c>
      <c r="H35" s="4">
        <v>1.6559999999999999</v>
      </c>
      <c r="I35" s="4">
        <v>0.17600000000000002</v>
      </c>
      <c r="J35" s="4">
        <v>0.26200000000000001</v>
      </c>
      <c r="K35" s="4">
        <v>0</v>
      </c>
      <c r="L35" s="4">
        <v>1.214</v>
      </c>
      <c r="M35" s="4">
        <v>5.4399999999999995</v>
      </c>
    </row>
    <row r="36" spans="3:13" x14ac:dyDescent="0.2">
      <c r="C36" s="1">
        <v>46007</v>
      </c>
      <c r="D36" t="s">
        <v>63</v>
      </c>
      <c r="E36">
        <v>1481</v>
      </c>
      <c r="F36">
        <v>179</v>
      </c>
      <c r="G36" s="4">
        <v>8.8239999999999998</v>
      </c>
      <c r="H36" s="4">
        <v>2.0539999999999998</v>
      </c>
      <c r="I36" s="4">
        <v>0.33399999999999996</v>
      </c>
      <c r="J36" s="4">
        <v>0.37800000000000006</v>
      </c>
      <c r="K36" s="4">
        <v>2.1999999999999999E-2</v>
      </c>
      <c r="L36" s="4">
        <v>1.268</v>
      </c>
      <c r="M36" s="4">
        <v>4.75</v>
      </c>
    </row>
    <row r="37" spans="3:13" x14ac:dyDescent="0.2">
      <c r="C37" s="1">
        <v>46006</v>
      </c>
      <c r="D37" t="s">
        <v>62</v>
      </c>
      <c r="E37">
        <v>1268</v>
      </c>
      <c r="F37">
        <v>162</v>
      </c>
      <c r="G37" s="4">
        <v>8.8260000000000005</v>
      </c>
      <c r="H37" s="4">
        <v>2.056</v>
      </c>
      <c r="I37" s="4">
        <v>0.29600000000000004</v>
      </c>
      <c r="J37" s="4">
        <v>0.33799999999999997</v>
      </c>
      <c r="K37" s="4">
        <v>5.7999999999999996E-2</v>
      </c>
      <c r="L37" s="4">
        <v>1.292</v>
      </c>
      <c r="M37" s="4">
        <v>4.774</v>
      </c>
    </row>
    <row r="38" spans="3:13" x14ac:dyDescent="0.2">
      <c r="C38" s="1">
        <v>46003</v>
      </c>
      <c r="D38" t="s">
        <v>66</v>
      </c>
      <c r="E38">
        <v>1345</v>
      </c>
      <c r="F38">
        <v>86</v>
      </c>
      <c r="G38" s="4">
        <v>8.7724999999999991</v>
      </c>
      <c r="H38" s="4">
        <v>1.75</v>
      </c>
      <c r="I38" s="4">
        <v>0.33750000000000002</v>
      </c>
      <c r="J38" s="4">
        <v>0.40249999999999997</v>
      </c>
      <c r="K38" s="4">
        <v>0</v>
      </c>
      <c r="L38" s="4">
        <v>1.2550000000000001</v>
      </c>
      <c r="M38" s="4">
        <v>4.9924999999999997</v>
      </c>
    </row>
    <row r="39" spans="3:13" x14ac:dyDescent="0.2">
      <c r="C39" s="1">
        <v>46002</v>
      </c>
      <c r="D39" t="s">
        <v>65</v>
      </c>
      <c r="E39">
        <v>1295</v>
      </c>
      <c r="F39">
        <v>118</v>
      </c>
      <c r="G39" s="4">
        <v>8.6666666666666661</v>
      </c>
      <c r="H39" s="4">
        <v>2.54</v>
      </c>
      <c r="I39" s="4">
        <v>0.41333333333333333</v>
      </c>
      <c r="J39" s="4">
        <v>0.58333333333333337</v>
      </c>
      <c r="K39" s="4">
        <v>0.48666666666666664</v>
      </c>
      <c r="L39" s="4">
        <v>1.0133333333333334</v>
      </c>
      <c r="M39" s="4">
        <v>3.6300000000000003</v>
      </c>
    </row>
    <row r="40" spans="3:13" x14ac:dyDescent="0.2">
      <c r="C40" s="1">
        <v>46001</v>
      </c>
      <c r="D40" t="s">
        <v>64</v>
      </c>
      <c r="E40">
        <v>1301</v>
      </c>
      <c r="F40">
        <v>128</v>
      </c>
      <c r="G40" s="4">
        <v>8.7225000000000001</v>
      </c>
      <c r="H40" s="4">
        <v>2.2474999999999996</v>
      </c>
      <c r="I40" s="4">
        <v>0.25750000000000001</v>
      </c>
      <c r="J40" s="4">
        <v>0.48</v>
      </c>
      <c r="K40" s="4">
        <v>0.47749999999999998</v>
      </c>
      <c r="L40" s="4">
        <v>1.1675</v>
      </c>
      <c r="M40" s="4">
        <v>4.085</v>
      </c>
    </row>
    <row r="41" spans="3:13" x14ac:dyDescent="0.2">
      <c r="C41" s="1">
        <v>46000</v>
      </c>
      <c r="D41" t="s">
        <v>63</v>
      </c>
      <c r="E41">
        <v>1465</v>
      </c>
      <c r="F41">
        <v>160</v>
      </c>
      <c r="G41" s="4">
        <v>8.2159999999999993</v>
      </c>
      <c r="H41" s="4">
        <v>2.3780000000000001</v>
      </c>
      <c r="I41" s="4">
        <v>0.40400000000000003</v>
      </c>
      <c r="J41" s="4">
        <v>0.52600000000000002</v>
      </c>
      <c r="K41" s="4">
        <v>0.28600000000000003</v>
      </c>
      <c r="L41" s="4">
        <v>1.19</v>
      </c>
      <c r="M41" s="4">
        <v>3.4219999999999997</v>
      </c>
    </row>
    <row r="42" spans="3:13" x14ac:dyDescent="0.2">
      <c r="C42" s="1">
        <v>45999</v>
      </c>
      <c r="D42" t="s">
        <v>62</v>
      </c>
      <c r="E42">
        <v>1194</v>
      </c>
      <c r="F42">
        <v>113</v>
      </c>
      <c r="G42" s="4">
        <v>7.1999999999999993</v>
      </c>
      <c r="H42" s="4">
        <v>2.3850000000000002</v>
      </c>
      <c r="I42" s="4">
        <v>0.34750000000000003</v>
      </c>
      <c r="J42" s="4">
        <v>0.33500000000000002</v>
      </c>
      <c r="K42" s="4">
        <v>0.11</v>
      </c>
      <c r="L42" s="4">
        <v>1.03</v>
      </c>
      <c r="M42" s="4">
        <v>2.9624999999999999</v>
      </c>
    </row>
    <row r="43" spans="3:13" x14ac:dyDescent="0.2">
      <c r="C43" s="1">
        <v>45996</v>
      </c>
      <c r="D43" t="s">
        <v>66</v>
      </c>
      <c r="E43">
        <v>1300</v>
      </c>
      <c r="F43">
        <v>104</v>
      </c>
      <c r="G43" s="4">
        <v>8.625</v>
      </c>
      <c r="H43" s="4">
        <v>1.7425000000000002</v>
      </c>
      <c r="I43" s="4">
        <v>0.28749999999999998</v>
      </c>
      <c r="J43" s="4">
        <v>0.43499999999999994</v>
      </c>
      <c r="K43" s="4">
        <v>0.20500000000000002</v>
      </c>
      <c r="L43" s="4">
        <v>1.4649999999999999</v>
      </c>
      <c r="M43" s="4">
        <v>4.4874999999999998</v>
      </c>
    </row>
    <row r="44" spans="3:13" x14ac:dyDescent="0.2">
      <c r="C44" s="1">
        <v>45995</v>
      </c>
      <c r="D44" t="s">
        <v>65</v>
      </c>
      <c r="E44">
        <v>1256</v>
      </c>
      <c r="F44">
        <v>106</v>
      </c>
      <c r="G44" s="4">
        <v>8.8279999999999994</v>
      </c>
      <c r="H44" s="4">
        <v>1.6240000000000001</v>
      </c>
      <c r="I44" s="4">
        <v>0.32999999999999996</v>
      </c>
      <c r="J44" s="4">
        <v>0.27</v>
      </c>
      <c r="K44" s="4">
        <v>1.7260000000000002</v>
      </c>
      <c r="L44" s="4">
        <v>1.268</v>
      </c>
      <c r="M44" s="4">
        <v>3.5939999999999999</v>
      </c>
    </row>
    <row r="45" spans="3:13" x14ac:dyDescent="0.2">
      <c r="C45" s="1">
        <v>45994</v>
      </c>
      <c r="D45" t="s">
        <v>64</v>
      </c>
      <c r="E45">
        <v>1340</v>
      </c>
      <c r="F45">
        <v>223</v>
      </c>
      <c r="G45" s="4">
        <v>8.8219999999999992</v>
      </c>
      <c r="H45" s="4">
        <v>2.3740000000000001</v>
      </c>
      <c r="I45" s="4">
        <v>0.65</v>
      </c>
      <c r="J45" s="4">
        <v>0.47599999999999998</v>
      </c>
      <c r="K45" s="4">
        <v>0.87400000000000022</v>
      </c>
      <c r="L45" s="4">
        <v>1.246</v>
      </c>
      <c r="M45" s="4">
        <v>3.2</v>
      </c>
    </row>
    <row r="46" spans="3:13" x14ac:dyDescent="0.2">
      <c r="C46" s="1">
        <v>45993</v>
      </c>
      <c r="D46" t="s">
        <v>63</v>
      </c>
      <c r="E46">
        <v>1380</v>
      </c>
      <c r="F46">
        <v>178</v>
      </c>
      <c r="G46" s="4">
        <v>8.8339999999999996</v>
      </c>
      <c r="H46" s="4">
        <v>2.7379999999999995</v>
      </c>
      <c r="I46" s="4">
        <v>0.52400000000000002</v>
      </c>
      <c r="J46" s="4">
        <v>0.58200000000000007</v>
      </c>
      <c r="K46" s="4">
        <v>3.4000000000000002E-2</v>
      </c>
      <c r="L46" s="4">
        <v>1.2479999999999998</v>
      </c>
      <c r="M46" s="4">
        <v>3.694</v>
      </c>
    </row>
    <row r="47" spans="3:13" x14ac:dyDescent="0.2">
      <c r="C47" s="1">
        <v>45992</v>
      </c>
      <c r="D47" t="s">
        <v>62</v>
      </c>
      <c r="E47">
        <v>1299</v>
      </c>
      <c r="F47">
        <v>136</v>
      </c>
      <c r="G47" s="4">
        <v>8.39</v>
      </c>
      <c r="H47" s="4">
        <v>2.5724999999999998</v>
      </c>
      <c r="I47" s="4">
        <v>0.47250000000000003</v>
      </c>
      <c r="J47" s="4">
        <v>0.52499999999999991</v>
      </c>
      <c r="K47" s="4">
        <v>0.20250000000000001</v>
      </c>
      <c r="L47" s="4">
        <v>1.2224999999999999</v>
      </c>
      <c r="M47" s="4">
        <v>3.3874999999999997</v>
      </c>
    </row>
    <row r="48" spans="3:13" x14ac:dyDescent="0.2">
      <c r="C48" s="1">
        <v>45987</v>
      </c>
      <c r="D48" t="s">
        <v>64</v>
      </c>
      <c r="E48">
        <v>1191</v>
      </c>
      <c r="F48">
        <v>123</v>
      </c>
      <c r="G48" s="4">
        <v>8.7949999999999999</v>
      </c>
      <c r="H48" s="4">
        <v>1.8275000000000001</v>
      </c>
      <c r="I48" s="4">
        <v>0.29499999999999998</v>
      </c>
      <c r="J48" s="4">
        <v>0.42749999999999999</v>
      </c>
      <c r="K48" s="4">
        <v>0</v>
      </c>
      <c r="L48" s="4">
        <v>1.2449999999999999</v>
      </c>
      <c r="M48" s="4">
        <v>4.9624999999999995</v>
      </c>
    </row>
    <row r="49" spans="3:13" x14ac:dyDescent="0.2">
      <c r="C49" s="1">
        <v>45986</v>
      </c>
      <c r="D49" t="s">
        <v>63</v>
      </c>
      <c r="E49">
        <v>1377</v>
      </c>
      <c r="F49">
        <v>114</v>
      </c>
      <c r="G49" s="4">
        <v>8.6950000000000003</v>
      </c>
      <c r="H49" s="4">
        <v>2.6274999999999999</v>
      </c>
      <c r="I49" s="4">
        <v>0.59249999999999992</v>
      </c>
      <c r="J49" s="4">
        <v>0.63749999999999996</v>
      </c>
      <c r="K49" s="4">
        <v>0</v>
      </c>
      <c r="L49" s="4">
        <v>1.1524999999999999</v>
      </c>
      <c r="M49" s="4">
        <v>3.665</v>
      </c>
    </row>
    <row r="50" spans="3:13" x14ac:dyDescent="0.2">
      <c r="C50" s="1">
        <v>45985</v>
      </c>
      <c r="D50" t="s">
        <v>62</v>
      </c>
      <c r="E50">
        <v>1194</v>
      </c>
      <c r="F50">
        <v>131</v>
      </c>
      <c r="G50" s="4">
        <v>8.8874999999999993</v>
      </c>
      <c r="H50" s="4">
        <v>2.3674999999999997</v>
      </c>
      <c r="I50" s="4">
        <v>0.35499999999999998</v>
      </c>
      <c r="J50" s="4">
        <v>0.49749999999999994</v>
      </c>
      <c r="K50" s="4">
        <v>0.27749999999999997</v>
      </c>
      <c r="L50" s="4">
        <v>1.29</v>
      </c>
      <c r="M50" s="4">
        <v>4.0575000000000001</v>
      </c>
    </row>
    <row r="51" spans="3:13" x14ac:dyDescent="0.2">
      <c r="C51" s="1">
        <v>45982</v>
      </c>
      <c r="D51" t="s">
        <v>66</v>
      </c>
      <c r="E51">
        <v>1291</v>
      </c>
      <c r="F51">
        <v>103</v>
      </c>
      <c r="G51" s="4">
        <v>8.7650000000000006</v>
      </c>
      <c r="H51" s="4">
        <v>2.1750000000000003</v>
      </c>
      <c r="I51" s="4">
        <v>0.42749999999999999</v>
      </c>
      <c r="J51" s="4">
        <v>0.24250000000000002</v>
      </c>
      <c r="K51" s="4">
        <v>0</v>
      </c>
      <c r="L51" s="4">
        <v>1.2374999999999998</v>
      </c>
      <c r="M51" s="4">
        <v>4.6725000000000003</v>
      </c>
    </row>
    <row r="52" spans="3:13" x14ac:dyDescent="0.2">
      <c r="C52" s="1">
        <v>45981</v>
      </c>
      <c r="D52" t="s">
        <v>65</v>
      </c>
      <c r="E52">
        <v>1272</v>
      </c>
      <c r="F52">
        <v>97</v>
      </c>
      <c r="G52" s="4">
        <v>8.89</v>
      </c>
      <c r="H52" s="4">
        <v>1.0920000000000001</v>
      </c>
      <c r="I52" s="4">
        <v>0.28399999999999997</v>
      </c>
      <c r="J52" s="4">
        <v>0.15</v>
      </c>
      <c r="K52" s="4">
        <v>1.47</v>
      </c>
      <c r="L52" s="4">
        <v>1.3559999999999999</v>
      </c>
      <c r="M52" s="4">
        <v>4.5280000000000005</v>
      </c>
    </row>
    <row r="53" spans="3:13" x14ac:dyDescent="0.2">
      <c r="C53" s="1">
        <v>45980</v>
      </c>
      <c r="D53" t="s">
        <v>64</v>
      </c>
      <c r="E53">
        <v>1238</v>
      </c>
      <c r="F53">
        <v>133</v>
      </c>
      <c r="G53" s="4">
        <v>8.83</v>
      </c>
      <c r="H53" s="4">
        <v>1.9379999999999999</v>
      </c>
      <c r="I53" s="4">
        <v>0.38400000000000001</v>
      </c>
      <c r="J53" s="4">
        <v>0.32199999999999995</v>
      </c>
      <c r="K53" s="4">
        <v>0.32799999999999996</v>
      </c>
      <c r="L53" s="4">
        <v>1.2879999999999998</v>
      </c>
      <c r="M53" s="4">
        <v>4.5379999999999994</v>
      </c>
    </row>
    <row r="54" spans="3:13" x14ac:dyDescent="0.2">
      <c r="C54" s="1">
        <v>45979</v>
      </c>
      <c r="D54" t="s">
        <v>63</v>
      </c>
      <c r="E54">
        <v>1315</v>
      </c>
      <c r="F54">
        <v>167</v>
      </c>
      <c r="G54" s="4">
        <v>8.8120000000000012</v>
      </c>
      <c r="H54" s="4">
        <v>2.0100000000000002</v>
      </c>
      <c r="I54" s="4">
        <v>0.52200000000000002</v>
      </c>
      <c r="J54" s="4">
        <v>0.39200000000000002</v>
      </c>
      <c r="K54" s="4">
        <v>0</v>
      </c>
      <c r="L54" s="4">
        <v>1.31</v>
      </c>
      <c r="M54" s="4">
        <v>4.548</v>
      </c>
    </row>
    <row r="55" spans="3:13" x14ac:dyDescent="0.2">
      <c r="C55" s="1">
        <v>45978</v>
      </c>
      <c r="D55" t="s">
        <v>62</v>
      </c>
      <c r="E55">
        <v>1244</v>
      </c>
      <c r="F55">
        <v>152</v>
      </c>
      <c r="G55" s="4">
        <v>8.9439999999999991</v>
      </c>
      <c r="H55" s="4">
        <v>2.1160000000000001</v>
      </c>
      <c r="I55" s="4">
        <v>0.60399999999999987</v>
      </c>
      <c r="J55" s="4">
        <v>0.36</v>
      </c>
      <c r="K55" s="4">
        <v>0.32800000000000001</v>
      </c>
      <c r="L55" s="4">
        <v>1.302</v>
      </c>
      <c r="M55" s="4">
        <v>4.2140000000000004</v>
      </c>
    </row>
    <row r="56" spans="3:13" x14ac:dyDescent="0.2">
      <c r="C56" s="1">
        <v>45975</v>
      </c>
      <c r="D56" t="s">
        <v>66</v>
      </c>
      <c r="E56">
        <v>1275</v>
      </c>
      <c r="F56">
        <v>110</v>
      </c>
      <c r="G56" s="4">
        <v>8.8279999999999994</v>
      </c>
      <c r="H56" s="4">
        <v>1.982</v>
      </c>
      <c r="I56" s="4">
        <v>0.51</v>
      </c>
      <c r="J56" s="4">
        <v>0.29799999999999999</v>
      </c>
      <c r="K56" s="4">
        <v>5.6000000000000008E-2</v>
      </c>
      <c r="L56" s="4">
        <v>1.37</v>
      </c>
      <c r="M56" s="4">
        <v>4.57</v>
      </c>
    </row>
    <row r="57" spans="3:13" x14ac:dyDescent="0.2">
      <c r="C57" s="1">
        <v>45974</v>
      </c>
      <c r="D57" t="s">
        <v>65</v>
      </c>
      <c r="E57">
        <v>1261</v>
      </c>
      <c r="F57">
        <v>103</v>
      </c>
      <c r="G57" s="4">
        <v>8.8379999999999992</v>
      </c>
      <c r="H57" s="4">
        <v>1.718</v>
      </c>
      <c r="I57" s="4">
        <v>0.46800000000000008</v>
      </c>
      <c r="J57" s="4">
        <v>0.31</v>
      </c>
      <c r="K57" s="4">
        <v>1.734</v>
      </c>
      <c r="L57" s="4">
        <v>1.262</v>
      </c>
      <c r="M57" s="4">
        <v>3.3339999999999996</v>
      </c>
    </row>
    <row r="58" spans="3:13" x14ac:dyDescent="0.2">
      <c r="C58" s="1">
        <v>45973</v>
      </c>
      <c r="D58" t="s">
        <v>64</v>
      </c>
      <c r="E58">
        <v>1235</v>
      </c>
      <c r="F58">
        <v>157</v>
      </c>
      <c r="G58" s="4">
        <v>8.6950000000000003</v>
      </c>
      <c r="H58" s="4">
        <v>2.625</v>
      </c>
      <c r="I58" s="4">
        <v>0.8125</v>
      </c>
      <c r="J58" s="4">
        <v>0.58000000000000007</v>
      </c>
      <c r="K58" s="4">
        <v>0</v>
      </c>
      <c r="L58" s="4">
        <v>1.1625000000000001</v>
      </c>
      <c r="M58" s="4">
        <v>3.49</v>
      </c>
    </row>
    <row r="59" spans="3:13" x14ac:dyDescent="0.2">
      <c r="C59" s="1">
        <v>45972</v>
      </c>
      <c r="D59" t="s">
        <v>63</v>
      </c>
      <c r="E59">
        <v>1331</v>
      </c>
      <c r="F59">
        <v>162</v>
      </c>
      <c r="G59" s="4">
        <v>8.7940000000000005</v>
      </c>
      <c r="H59" s="4">
        <v>2.504</v>
      </c>
      <c r="I59" s="4">
        <v>0.754</v>
      </c>
      <c r="J59" s="4">
        <v>0.41</v>
      </c>
      <c r="K59" s="4">
        <v>0.39799999999999996</v>
      </c>
      <c r="L59" s="4">
        <v>1.302</v>
      </c>
      <c r="M59" s="4">
        <v>3.3920000000000003</v>
      </c>
    </row>
    <row r="60" spans="3:13" x14ac:dyDescent="0.2">
      <c r="C60" s="1">
        <v>45971</v>
      </c>
      <c r="D60" t="s">
        <v>62</v>
      </c>
      <c r="E60">
        <v>1436</v>
      </c>
      <c r="F60">
        <v>179</v>
      </c>
      <c r="G60" s="4">
        <v>8.8224999999999998</v>
      </c>
      <c r="H60" s="4">
        <v>3.17</v>
      </c>
      <c r="I60" s="4">
        <v>1.1325000000000001</v>
      </c>
      <c r="J60" s="4">
        <v>0.51750000000000007</v>
      </c>
      <c r="K60" s="4">
        <v>0.27500000000000002</v>
      </c>
      <c r="L60" s="4">
        <v>1.2575000000000001</v>
      </c>
      <c r="M60" s="4">
        <v>2.4474999999999998</v>
      </c>
    </row>
    <row r="61" spans="3:13" x14ac:dyDescent="0.2">
      <c r="C61" s="1">
        <v>45968</v>
      </c>
      <c r="D61" t="s">
        <v>66</v>
      </c>
      <c r="E61">
        <v>532</v>
      </c>
      <c r="F61">
        <v>45</v>
      </c>
      <c r="G61" s="4">
        <v>8.7575000000000003</v>
      </c>
      <c r="H61" s="4">
        <v>1.0825</v>
      </c>
      <c r="I61" s="4">
        <v>0.57500000000000007</v>
      </c>
      <c r="J61" s="4">
        <v>0.115</v>
      </c>
      <c r="K61" s="4">
        <v>0</v>
      </c>
      <c r="L61" s="4">
        <v>1.1850000000000001</v>
      </c>
      <c r="M61" s="4">
        <v>5.7875000000000005</v>
      </c>
    </row>
    <row r="62" spans="3:13" x14ac:dyDescent="0.2">
      <c r="C62" s="1">
        <v>45967</v>
      </c>
      <c r="D62" t="s">
        <v>65</v>
      </c>
      <c r="E62">
        <v>464</v>
      </c>
      <c r="F62">
        <v>67</v>
      </c>
      <c r="G62" s="4">
        <v>8.7999999999999989</v>
      </c>
      <c r="H62" s="4">
        <v>1.5799999999999998</v>
      </c>
      <c r="I62" s="4">
        <v>0.67749999999999999</v>
      </c>
      <c r="J62" s="4">
        <v>0.16250000000000001</v>
      </c>
      <c r="K62" s="4">
        <v>1.3525</v>
      </c>
      <c r="L62" s="4">
        <v>1.2</v>
      </c>
      <c r="M62" s="4">
        <v>3.76</v>
      </c>
    </row>
    <row r="63" spans="3:13" x14ac:dyDescent="0.2">
      <c r="C63" s="1">
        <v>45966</v>
      </c>
      <c r="D63" t="s">
        <v>64</v>
      </c>
      <c r="E63">
        <v>507</v>
      </c>
      <c r="F63">
        <v>91</v>
      </c>
      <c r="G63" s="4">
        <v>8.7874999999999996</v>
      </c>
      <c r="H63" s="4">
        <v>2.7250000000000001</v>
      </c>
      <c r="I63" s="4">
        <v>0.34250000000000003</v>
      </c>
      <c r="J63" s="4">
        <v>0.22000000000000003</v>
      </c>
      <c r="K63" s="4">
        <v>7.7499999999999999E-2</v>
      </c>
      <c r="L63" s="4">
        <v>1.145</v>
      </c>
      <c r="M63" s="4">
        <v>4.24</v>
      </c>
    </row>
    <row r="64" spans="3:13" x14ac:dyDescent="0.2">
      <c r="C64" s="1">
        <v>45965</v>
      </c>
      <c r="D64" t="s">
        <v>63</v>
      </c>
      <c r="E64">
        <v>536</v>
      </c>
      <c r="F64">
        <v>108</v>
      </c>
      <c r="G64" s="4">
        <v>8.8460000000000001</v>
      </c>
      <c r="H64" s="4">
        <v>1.6859999999999999</v>
      </c>
      <c r="I64" s="4">
        <v>0.55400000000000005</v>
      </c>
      <c r="J64" s="4">
        <v>0.20400000000000001</v>
      </c>
      <c r="K64" s="4">
        <v>0.20200000000000001</v>
      </c>
      <c r="L64" s="4">
        <v>1.294</v>
      </c>
      <c r="M64" s="4">
        <v>4.8960000000000008</v>
      </c>
    </row>
    <row r="65" spans="3:13" x14ac:dyDescent="0.2">
      <c r="C65" s="1">
        <v>45964</v>
      </c>
      <c r="D65" t="s">
        <v>62</v>
      </c>
      <c r="E65">
        <v>479</v>
      </c>
      <c r="F65">
        <v>68</v>
      </c>
      <c r="G65" s="4">
        <v>8.8120000000000012</v>
      </c>
      <c r="H65" s="4">
        <v>1.4780000000000002</v>
      </c>
      <c r="I65" s="4">
        <v>0.50800000000000001</v>
      </c>
      <c r="J65" s="4">
        <v>0.21600000000000003</v>
      </c>
      <c r="K65" s="4">
        <v>0.23799999999999999</v>
      </c>
      <c r="L65" s="4">
        <v>1.306</v>
      </c>
      <c r="M65" s="4">
        <v>5.056</v>
      </c>
    </row>
    <row r="66" spans="3:13" x14ac:dyDescent="0.2">
      <c r="C66" s="1">
        <v>45961</v>
      </c>
      <c r="D66" t="s">
        <v>66</v>
      </c>
      <c r="E66">
        <v>527</v>
      </c>
      <c r="F66">
        <v>35</v>
      </c>
      <c r="G66" s="4">
        <v>8.9966666666666661</v>
      </c>
      <c r="H66" s="4">
        <v>0.89666666666666683</v>
      </c>
      <c r="I66" s="4">
        <v>0.3133333333333333</v>
      </c>
      <c r="J66" s="4">
        <v>0.16</v>
      </c>
      <c r="K66" s="4">
        <v>0</v>
      </c>
      <c r="L66" s="4">
        <v>1.5533333333333335</v>
      </c>
      <c r="M66" s="4">
        <v>6.0666666666666664</v>
      </c>
    </row>
    <row r="67" spans="3:13" x14ac:dyDescent="0.2">
      <c r="C67" s="1">
        <v>45960</v>
      </c>
      <c r="D67" t="s">
        <v>65</v>
      </c>
      <c r="E67">
        <v>565</v>
      </c>
      <c r="F67">
        <v>78</v>
      </c>
      <c r="G67" s="4">
        <v>8.5360000000000014</v>
      </c>
      <c r="H67" s="4">
        <v>1.4540000000000002</v>
      </c>
      <c r="I67" s="4">
        <v>0.45800000000000002</v>
      </c>
      <c r="J67" s="4">
        <v>0.2</v>
      </c>
      <c r="K67" s="4">
        <v>1.51</v>
      </c>
      <c r="L67" s="4">
        <v>1.214</v>
      </c>
      <c r="M67" s="4">
        <v>3.6700000000000004</v>
      </c>
    </row>
    <row r="68" spans="3:13" x14ac:dyDescent="0.2">
      <c r="C68" s="1">
        <v>45959</v>
      </c>
      <c r="D68" t="s">
        <v>64</v>
      </c>
      <c r="E68">
        <v>1131</v>
      </c>
      <c r="F68">
        <v>136</v>
      </c>
      <c r="G68" s="4">
        <v>8.6480000000000015</v>
      </c>
      <c r="H68" s="4">
        <v>4.3520000000000003</v>
      </c>
      <c r="I68" s="4">
        <v>0.39800000000000002</v>
      </c>
      <c r="J68" s="4">
        <v>0.28599999999999998</v>
      </c>
      <c r="K68" s="4">
        <v>0.122</v>
      </c>
      <c r="L68" s="4">
        <v>1.0819999999999999</v>
      </c>
      <c r="M68" s="4">
        <v>2.3880000000000003</v>
      </c>
    </row>
    <row r="69" spans="3:13" x14ac:dyDescent="0.2">
      <c r="C69" s="1">
        <v>45958</v>
      </c>
      <c r="D69" t="s">
        <v>63</v>
      </c>
      <c r="E69">
        <v>804</v>
      </c>
      <c r="F69">
        <v>121</v>
      </c>
      <c r="G69" s="4">
        <v>8.9420000000000002</v>
      </c>
      <c r="H69" s="4">
        <v>5.9980000000000002</v>
      </c>
      <c r="I69" s="4">
        <v>0.40200000000000002</v>
      </c>
      <c r="J69" s="4">
        <v>0.25</v>
      </c>
      <c r="K69" s="4">
        <v>0</v>
      </c>
      <c r="L69" s="4">
        <v>1.286</v>
      </c>
      <c r="M69" s="4">
        <v>1.002</v>
      </c>
    </row>
    <row r="70" spans="3:13" x14ac:dyDescent="0.2">
      <c r="C70" s="1">
        <v>45957</v>
      </c>
      <c r="D70" t="s">
        <v>62</v>
      </c>
      <c r="E70">
        <v>957</v>
      </c>
      <c r="F70">
        <v>88</v>
      </c>
      <c r="G70" s="4">
        <v>8.8224999999999998</v>
      </c>
      <c r="H70" s="4">
        <v>5.4799999999999995</v>
      </c>
      <c r="I70" s="4">
        <v>0.26250000000000001</v>
      </c>
      <c r="J70" s="4">
        <v>0.23500000000000001</v>
      </c>
      <c r="K70" s="4">
        <v>0.13</v>
      </c>
      <c r="L70" s="4">
        <v>1.26</v>
      </c>
      <c r="M70" s="4">
        <v>1.4475</v>
      </c>
    </row>
    <row r="71" spans="3:13" x14ac:dyDescent="0.2">
      <c r="C71" s="1">
        <v>45954</v>
      </c>
      <c r="D71" t="s">
        <v>66</v>
      </c>
      <c r="E71">
        <v>558</v>
      </c>
      <c r="F71">
        <v>67</v>
      </c>
      <c r="G71" s="4">
        <v>8.9875000000000007</v>
      </c>
      <c r="H71" s="4">
        <v>1.7275</v>
      </c>
      <c r="I71" s="4">
        <v>0.47500000000000003</v>
      </c>
      <c r="J71" s="4">
        <v>0.11749999999999999</v>
      </c>
      <c r="K71" s="4">
        <v>0</v>
      </c>
      <c r="L71" s="4">
        <v>1.6075000000000002</v>
      </c>
      <c r="M71" s="4">
        <v>5.0549999999999997</v>
      </c>
    </row>
    <row r="72" spans="3:13" x14ac:dyDescent="0.2">
      <c r="C72" s="1">
        <v>45953</v>
      </c>
      <c r="D72" t="s">
        <v>65</v>
      </c>
      <c r="E72">
        <v>595</v>
      </c>
      <c r="F72">
        <v>76</v>
      </c>
      <c r="G72" s="4">
        <v>8.6639999999999979</v>
      </c>
      <c r="H72" s="4">
        <v>1.6960000000000002</v>
      </c>
      <c r="I72" s="4">
        <v>0.4</v>
      </c>
      <c r="J72" s="4">
        <v>0.14199999999999999</v>
      </c>
      <c r="K72" s="4">
        <v>0.29200000000000004</v>
      </c>
      <c r="L72" s="4">
        <v>1.2599999999999998</v>
      </c>
      <c r="M72" s="4">
        <v>4.8659999999999997</v>
      </c>
    </row>
    <row r="73" spans="3:13" x14ac:dyDescent="0.2">
      <c r="C73" s="1">
        <v>45952</v>
      </c>
      <c r="D73" t="s">
        <v>64</v>
      </c>
      <c r="E73">
        <v>836</v>
      </c>
      <c r="F73">
        <v>91</v>
      </c>
      <c r="G73" s="4">
        <v>8.766</v>
      </c>
      <c r="H73" s="4">
        <v>4.4300000000000006</v>
      </c>
      <c r="I73" s="4">
        <v>0.55000000000000004</v>
      </c>
      <c r="J73" s="4">
        <v>0.182</v>
      </c>
      <c r="K73" s="4">
        <v>2E-3</v>
      </c>
      <c r="L73" s="4">
        <v>1.226</v>
      </c>
      <c r="M73" s="4">
        <v>2.3639999999999999</v>
      </c>
    </row>
    <row r="74" spans="3:13" x14ac:dyDescent="0.2">
      <c r="C74" s="1">
        <v>45951</v>
      </c>
      <c r="D74" t="s">
        <v>63</v>
      </c>
      <c r="E74">
        <v>893</v>
      </c>
      <c r="F74">
        <v>129</v>
      </c>
      <c r="G74" s="4">
        <v>8.3120000000000012</v>
      </c>
      <c r="H74" s="4">
        <v>5.2880000000000003</v>
      </c>
      <c r="I74" s="4">
        <v>0.22000000000000003</v>
      </c>
      <c r="J74" s="4">
        <v>0.20800000000000002</v>
      </c>
      <c r="K74" s="4">
        <v>0.09</v>
      </c>
      <c r="L74" s="4">
        <v>1.228</v>
      </c>
      <c r="M74" s="4">
        <v>1.266</v>
      </c>
    </row>
    <row r="75" spans="3:13" x14ac:dyDescent="0.2">
      <c r="C75" s="1">
        <v>45950</v>
      </c>
      <c r="D75" t="s">
        <v>62</v>
      </c>
      <c r="E75">
        <v>860</v>
      </c>
      <c r="F75">
        <v>118</v>
      </c>
      <c r="G75" s="4">
        <v>8.8140000000000001</v>
      </c>
      <c r="H75" s="4">
        <v>2.9020000000000001</v>
      </c>
      <c r="I75" s="4">
        <v>0.34399999999999997</v>
      </c>
      <c r="J75" s="4">
        <v>0.17</v>
      </c>
      <c r="K75" s="4">
        <v>8.7999999999999995E-2</v>
      </c>
      <c r="L75" s="4">
        <v>1.284</v>
      </c>
      <c r="M75" s="4">
        <v>4.0200000000000005</v>
      </c>
    </row>
    <row r="76" spans="3:13" x14ac:dyDescent="0.2">
      <c r="C76" s="1">
        <v>45947</v>
      </c>
      <c r="D76" t="s">
        <v>66</v>
      </c>
      <c r="E76">
        <v>564</v>
      </c>
      <c r="F76">
        <v>55</v>
      </c>
      <c r="G76" s="4">
        <v>8.7874999999999996</v>
      </c>
      <c r="H76" s="4">
        <v>1.42</v>
      </c>
      <c r="I76" s="4">
        <v>0.54500000000000004</v>
      </c>
      <c r="J76" s="4">
        <v>0.27500000000000002</v>
      </c>
      <c r="K76" s="4">
        <v>6.7500000000000004E-2</v>
      </c>
      <c r="L76" s="4">
        <v>1.3475000000000001</v>
      </c>
      <c r="M76" s="4">
        <v>5.1225000000000005</v>
      </c>
    </row>
    <row r="77" spans="3:13" x14ac:dyDescent="0.2">
      <c r="C77" s="1">
        <v>45946</v>
      </c>
      <c r="D77" t="s">
        <v>65</v>
      </c>
      <c r="E77">
        <v>568</v>
      </c>
      <c r="F77">
        <v>57</v>
      </c>
      <c r="G77" s="4">
        <v>8.8260000000000005</v>
      </c>
      <c r="H77" s="4">
        <v>1.198</v>
      </c>
      <c r="I77" s="4">
        <v>0.40800000000000003</v>
      </c>
      <c r="J77" s="4">
        <v>8.4000000000000005E-2</v>
      </c>
      <c r="K77" s="4">
        <v>0.06</v>
      </c>
      <c r="L77" s="4">
        <v>1.2939999999999998</v>
      </c>
      <c r="M77" s="4">
        <v>5.7720000000000002</v>
      </c>
    </row>
    <row r="78" spans="3:13" x14ac:dyDescent="0.2">
      <c r="C78" s="1">
        <v>45945</v>
      </c>
      <c r="D78" t="s">
        <v>64</v>
      </c>
      <c r="E78">
        <v>582</v>
      </c>
      <c r="F78">
        <v>96</v>
      </c>
      <c r="G78" s="4">
        <v>8.5139999999999993</v>
      </c>
      <c r="H78" s="4">
        <v>1.8719999999999999</v>
      </c>
      <c r="I78" s="4">
        <v>0.28799999999999998</v>
      </c>
      <c r="J78" s="4">
        <v>0.12200000000000003</v>
      </c>
      <c r="K78" s="4">
        <v>0</v>
      </c>
      <c r="L78" s="4">
        <v>1.31</v>
      </c>
      <c r="M78" s="4">
        <v>4.9079999999999995</v>
      </c>
    </row>
    <row r="79" spans="3:13" x14ac:dyDescent="0.2">
      <c r="C79" s="1">
        <v>45944</v>
      </c>
      <c r="D79" t="s">
        <v>63</v>
      </c>
      <c r="E79">
        <v>758</v>
      </c>
      <c r="F79">
        <v>68</v>
      </c>
      <c r="G79" s="4">
        <v>7.94</v>
      </c>
      <c r="H79" s="4">
        <v>3.63</v>
      </c>
      <c r="I79" s="4">
        <v>0.23600000000000004</v>
      </c>
      <c r="J79" s="4">
        <v>0.22000000000000003</v>
      </c>
      <c r="K79" s="4">
        <v>0</v>
      </c>
      <c r="L79" s="4">
        <v>1.1859999999999999</v>
      </c>
      <c r="M79" s="4">
        <v>2.6639999999999997</v>
      </c>
    </row>
    <row r="80" spans="3:13" x14ac:dyDescent="0.2">
      <c r="C80" s="1">
        <v>45943</v>
      </c>
      <c r="D80" t="s">
        <v>62</v>
      </c>
      <c r="E80">
        <v>748</v>
      </c>
      <c r="F80">
        <v>52</v>
      </c>
      <c r="G80" s="4">
        <v>8.82</v>
      </c>
      <c r="H80" s="4">
        <v>3.3449999999999998</v>
      </c>
      <c r="I80" s="4">
        <v>0.30249999999999999</v>
      </c>
      <c r="J80" s="4">
        <v>0.1125</v>
      </c>
      <c r="K80" s="4">
        <v>0.16</v>
      </c>
      <c r="L80" s="4">
        <v>1.2250000000000001</v>
      </c>
      <c r="M80" s="4">
        <v>3.665</v>
      </c>
    </row>
    <row r="81" spans="3:13" x14ac:dyDescent="0.2">
      <c r="C81" s="1">
        <v>45940</v>
      </c>
      <c r="D81" t="s">
        <v>66</v>
      </c>
      <c r="E81">
        <v>569</v>
      </c>
      <c r="F81">
        <v>57</v>
      </c>
      <c r="G81" s="4">
        <v>7.8459999999999992</v>
      </c>
      <c r="H81" s="4">
        <v>1.3740000000000001</v>
      </c>
      <c r="I81" s="4">
        <v>0.36599999999999999</v>
      </c>
      <c r="J81" s="4">
        <v>0.124</v>
      </c>
      <c r="K81" s="4">
        <v>5.6000000000000008E-2</v>
      </c>
      <c r="L81" s="4">
        <v>1.1339999999999999</v>
      </c>
      <c r="M81" s="4">
        <v>4.75</v>
      </c>
    </row>
    <row r="82" spans="3:13" x14ac:dyDescent="0.2">
      <c r="C82" s="1">
        <v>45939</v>
      </c>
      <c r="D82" t="s">
        <v>65</v>
      </c>
      <c r="E82">
        <v>570</v>
      </c>
      <c r="F82">
        <v>47</v>
      </c>
      <c r="G82" s="4">
        <v>8.8420000000000005</v>
      </c>
      <c r="H82" s="4">
        <v>1.3519999999999999</v>
      </c>
      <c r="I82" s="4">
        <v>0.254</v>
      </c>
      <c r="J82" s="4">
        <v>0.10600000000000001</v>
      </c>
      <c r="K82" s="4">
        <v>1.1320000000000001</v>
      </c>
      <c r="L82" s="4">
        <v>1.206</v>
      </c>
      <c r="M82" s="4">
        <v>4.7560000000000002</v>
      </c>
    </row>
    <row r="83" spans="3:13" x14ac:dyDescent="0.2">
      <c r="C83" s="1">
        <v>45938</v>
      </c>
      <c r="D83" t="s">
        <v>64</v>
      </c>
      <c r="E83">
        <v>883</v>
      </c>
      <c r="F83">
        <v>109</v>
      </c>
      <c r="G83" s="4">
        <v>8.8659999999999997</v>
      </c>
      <c r="H83" s="4">
        <v>5.0840000000000005</v>
      </c>
      <c r="I83" s="4">
        <v>0.47199999999999998</v>
      </c>
      <c r="J83" s="4">
        <v>0.29399999999999998</v>
      </c>
      <c r="K83" s="4">
        <v>0.34799999999999998</v>
      </c>
      <c r="L83" s="4">
        <v>1.2559999999999998</v>
      </c>
      <c r="M83" s="4">
        <v>1.4059999999999999</v>
      </c>
    </row>
    <row r="84" spans="3:13" x14ac:dyDescent="0.2">
      <c r="C84" s="1">
        <v>45937</v>
      </c>
      <c r="D84" t="s">
        <v>63</v>
      </c>
      <c r="E84">
        <v>948</v>
      </c>
      <c r="F84">
        <v>175</v>
      </c>
      <c r="G84" s="4">
        <v>8.734</v>
      </c>
      <c r="H84" s="4">
        <v>5.2620000000000005</v>
      </c>
      <c r="I84" s="4">
        <v>0.39599999999999996</v>
      </c>
      <c r="J84" s="4">
        <v>0.39600000000000002</v>
      </c>
      <c r="K84" s="4">
        <v>0.32</v>
      </c>
      <c r="L84" s="4">
        <v>1.23</v>
      </c>
      <c r="M84" s="4">
        <v>1.1199999999999999</v>
      </c>
    </row>
    <row r="85" spans="3:13" x14ac:dyDescent="0.2">
      <c r="C85" s="1">
        <v>45936</v>
      </c>
      <c r="D85" t="s">
        <v>62</v>
      </c>
      <c r="E85">
        <v>790</v>
      </c>
      <c r="F85">
        <v>99</v>
      </c>
      <c r="G85" s="4">
        <v>8.7100000000000009</v>
      </c>
      <c r="H85" s="4">
        <v>5.0125000000000002</v>
      </c>
      <c r="I85" s="4">
        <v>0.29749999999999999</v>
      </c>
      <c r="J85" s="4">
        <v>0.35</v>
      </c>
      <c r="K85" s="4">
        <v>0.3125</v>
      </c>
      <c r="L85" s="4">
        <v>1.1325000000000001</v>
      </c>
      <c r="M85" s="4">
        <v>1.5725000000000002</v>
      </c>
    </row>
    <row r="86" spans="3:13" x14ac:dyDescent="0.2">
      <c r="C86" s="1">
        <v>45933</v>
      </c>
      <c r="D86" t="s">
        <v>66</v>
      </c>
      <c r="E86">
        <v>557</v>
      </c>
      <c r="F86">
        <v>42</v>
      </c>
      <c r="G86" s="4">
        <v>8.7960000000000012</v>
      </c>
      <c r="H86" s="4">
        <v>1.1099999999999999</v>
      </c>
      <c r="I86" s="4">
        <v>0.152</v>
      </c>
      <c r="J86" s="4">
        <v>0.10800000000000001</v>
      </c>
      <c r="K86" s="4">
        <v>0</v>
      </c>
      <c r="L86" s="4">
        <v>1.3639999999999999</v>
      </c>
      <c r="M86" s="4">
        <v>6.05</v>
      </c>
    </row>
    <row r="87" spans="3:13" x14ac:dyDescent="0.2">
      <c r="C87" s="1">
        <v>45932</v>
      </c>
      <c r="D87" t="s">
        <v>65</v>
      </c>
      <c r="E87">
        <v>537</v>
      </c>
      <c r="F87">
        <v>31</v>
      </c>
      <c r="G87" s="4">
        <v>8.8119999999999994</v>
      </c>
      <c r="H87" s="4">
        <v>0.748</v>
      </c>
      <c r="I87" s="4">
        <v>0.15</v>
      </c>
      <c r="J87" s="4">
        <v>0.13399999999999998</v>
      </c>
      <c r="K87" s="4">
        <v>0.84000000000000008</v>
      </c>
      <c r="L87" s="4">
        <v>1.232</v>
      </c>
      <c r="M87" s="4">
        <v>5.6980000000000004</v>
      </c>
    </row>
    <row r="88" spans="3:13" x14ac:dyDescent="0.2">
      <c r="C88" s="1">
        <v>45931</v>
      </c>
      <c r="D88" t="s">
        <v>64</v>
      </c>
      <c r="E88">
        <v>828</v>
      </c>
      <c r="F88">
        <v>94</v>
      </c>
      <c r="G88" s="4">
        <v>7.7480000000000002</v>
      </c>
      <c r="H88" s="4">
        <v>3.7679999999999998</v>
      </c>
      <c r="I88" s="4">
        <v>0.28600000000000003</v>
      </c>
      <c r="J88" s="4">
        <v>0.32800000000000001</v>
      </c>
      <c r="K88" s="4">
        <v>0</v>
      </c>
      <c r="L88" s="4">
        <v>1.1460000000000001</v>
      </c>
      <c r="M88" s="4">
        <v>2.21</v>
      </c>
    </row>
    <row r="89" spans="3:13" x14ac:dyDescent="0.2">
      <c r="C89" s="1">
        <v>45930</v>
      </c>
      <c r="D89" t="s">
        <v>63</v>
      </c>
      <c r="E89">
        <v>930</v>
      </c>
      <c r="F89">
        <v>115</v>
      </c>
      <c r="G89" s="4">
        <v>8.84</v>
      </c>
      <c r="H89" s="4">
        <v>5.128000000000001</v>
      </c>
      <c r="I89" s="4">
        <v>0.24399999999999999</v>
      </c>
      <c r="J89" s="4">
        <v>0.52</v>
      </c>
      <c r="K89" s="4">
        <v>0.14599999999999999</v>
      </c>
      <c r="L89" s="4">
        <v>1.2399999999999998</v>
      </c>
      <c r="M89" s="4">
        <v>1.532</v>
      </c>
    </row>
    <row r="90" spans="3:13" x14ac:dyDescent="0.2">
      <c r="C90" s="1">
        <v>45929</v>
      </c>
      <c r="D90" t="s">
        <v>62</v>
      </c>
      <c r="E90">
        <v>938</v>
      </c>
      <c r="F90">
        <v>115</v>
      </c>
      <c r="G90" s="4">
        <v>8.8740000000000006</v>
      </c>
      <c r="H90" s="4">
        <v>5.5540000000000003</v>
      </c>
      <c r="I90" s="4">
        <v>0.27200000000000002</v>
      </c>
      <c r="J90" s="4">
        <v>0.45999999999999996</v>
      </c>
      <c r="K90" s="4">
        <v>0.10600000000000001</v>
      </c>
      <c r="L90" s="4">
        <v>1.1919999999999999</v>
      </c>
      <c r="M90" s="4">
        <v>1.26</v>
      </c>
    </row>
    <row r="91" spans="3:13" x14ac:dyDescent="0.2">
      <c r="C91" s="1">
        <v>45926</v>
      </c>
      <c r="D91" t="s">
        <v>66</v>
      </c>
      <c r="E91">
        <v>394</v>
      </c>
      <c r="F91">
        <v>42</v>
      </c>
      <c r="G91" s="4">
        <v>8.1440000000000001</v>
      </c>
      <c r="H91" s="4">
        <v>1.2959999999999998</v>
      </c>
      <c r="I91" s="4">
        <v>0.25</v>
      </c>
      <c r="J91" s="4">
        <v>0.22999999999999998</v>
      </c>
      <c r="K91" s="4">
        <v>0.17199999999999999</v>
      </c>
      <c r="L91" s="4">
        <v>0.96799999999999997</v>
      </c>
      <c r="M91" s="4">
        <v>5.2179999999999991</v>
      </c>
    </row>
    <row r="92" spans="3:13" x14ac:dyDescent="0.2">
      <c r="C92" s="1">
        <v>45925</v>
      </c>
      <c r="D92" t="s">
        <v>65</v>
      </c>
      <c r="E92">
        <v>595</v>
      </c>
      <c r="F92">
        <v>74</v>
      </c>
      <c r="G92" s="4">
        <v>8.8719999999999999</v>
      </c>
      <c r="H92" s="4">
        <v>2.1139999999999999</v>
      </c>
      <c r="I92" s="4">
        <v>0.26</v>
      </c>
      <c r="J92" s="4">
        <v>0.28599999999999998</v>
      </c>
      <c r="K92" s="4">
        <v>1.3440000000000001</v>
      </c>
      <c r="L92" s="4">
        <v>1.1579999999999999</v>
      </c>
      <c r="M92" s="4">
        <v>3.7019999999999995</v>
      </c>
    </row>
    <row r="93" spans="3:13" x14ac:dyDescent="0.2">
      <c r="C93" s="1">
        <v>45924</v>
      </c>
      <c r="D93" t="s">
        <v>64</v>
      </c>
      <c r="E93">
        <v>905</v>
      </c>
      <c r="F93">
        <v>127</v>
      </c>
      <c r="G93" s="4">
        <v>8.8019999999999996</v>
      </c>
      <c r="H93" s="4">
        <v>4.4300000000000006</v>
      </c>
      <c r="I93" s="4">
        <v>0.32399999999999995</v>
      </c>
      <c r="J93" s="4">
        <v>0.48000000000000009</v>
      </c>
      <c r="K93" s="4">
        <v>5.6000000000000008E-2</v>
      </c>
      <c r="L93" s="4">
        <v>1.2440000000000002</v>
      </c>
      <c r="M93" s="4">
        <v>2.2640000000000002</v>
      </c>
    </row>
    <row r="94" spans="3:13" x14ac:dyDescent="0.2">
      <c r="C94" s="1">
        <v>45923</v>
      </c>
      <c r="D94" t="s">
        <v>63</v>
      </c>
      <c r="E94">
        <v>912</v>
      </c>
      <c r="F94">
        <v>129</v>
      </c>
      <c r="G94" s="4">
        <v>8.8339999999999996</v>
      </c>
      <c r="H94" s="4">
        <v>5.516</v>
      </c>
      <c r="I94" s="4">
        <v>0.21600000000000003</v>
      </c>
      <c r="J94" s="4">
        <v>0.42000000000000004</v>
      </c>
      <c r="K94" s="4">
        <v>0</v>
      </c>
      <c r="L94" s="4">
        <v>1.284</v>
      </c>
      <c r="M94" s="4">
        <v>1.3780000000000001</v>
      </c>
    </row>
    <row r="95" spans="3:13" x14ac:dyDescent="0.2">
      <c r="C95" s="1">
        <v>45922</v>
      </c>
      <c r="D95" t="s">
        <v>62</v>
      </c>
      <c r="E95">
        <v>811</v>
      </c>
      <c r="F95">
        <v>129</v>
      </c>
      <c r="G95" s="4">
        <v>8.8339999999999996</v>
      </c>
      <c r="H95" s="4">
        <v>4.1859999999999999</v>
      </c>
      <c r="I95" s="4">
        <v>0.22000000000000003</v>
      </c>
      <c r="J95" s="4">
        <v>0.434</v>
      </c>
      <c r="K95" s="4">
        <v>0.154</v>
      </c>
      <c r="L95" s="4">
        <v>1.214</v>
      </c>
      <c r="M95" s="4">
        <v>2.6080000000000001</v>
      </c>
    </row>
    <row r="96" spans="3:13" x14ac:dyDescent="0.2">
      <c r="C96" s="1">
        <v>45919</v>
      </c>
      <c r="D96" t="s">
        <v>66</v>
      </c>
      <c r="E96">
        <v>518</v>
      </c>
      <c r="F96">
        <v>47</v>
      </c>
      <c r="G96" s="4">
        <v>8.8166666666666682</v>
      </c>
      <c r="H96" s="4">
        <v>1.5933333333333335</v>
      </c>
      <c r="I96" s="4">
        <v>0.11333333333333334</v>
      </c>
      <c r="J96" s="4">
        <v>0.26666666666666666</v>
      </c>
      <c r="K96" s="4">
        <v>0.11</v>
      </c>
      <c r="L96" s="4">
        <v>1.3099999999999998</v>
      </c>
      <c r="M96" s="4">
        <v>5.34</v>
      </c>
    </row>
    <row r="97" spans="3:13" x14ac:dyDescent="0.2">
      <c r="C97" s="1">
        <v>45918</v>
      </c>
      <c r="D97" t="s">
        <v>65</v>
      </c>
      <c r="E97">
        <v>551</v>
      </c>
      <c r="F97">
        <v>56</v>
      </c>
      <c r="G97" s="4">
        <v>8.4824999999999999</v>
      </c>
      <c r="H97" s="4">
        <v>1.5150000000000001</v>
      </c>
      <c r="I97" s="4">
        <v>0.58250000000000002</v>
      </c>
      <c r="J97" s="4">
        <v>0.47</v>
      </c>
      <c r="K97" s="4">
        <v>0.65500000000000003</v>
      </c>
      <c r="L97" s="4">
        <v>1.28</v>
      </c>
      <c r="M97" s="4">
        <v>3.9775</v>
      </c>
    </row>
    <row r="98" spans="3:13" x14ac:dyDescent="0.2">
      <c r="C98" s="1">
        <v>45917</v>
      </c>
      <c r="D98" t="s">
        <v>64</v>
      </c>
      <c r="E98">
        <v>576</v>
      </c>
      <c r="F98">
        <v>103</v>
      </c>
      <c r="G98" s="4">
        <v>8.2899999999999991</v>
      </c>
      <c r="H98" s="4">
        <v>1.7079999999999997</v>
      </c>
      <c r="I98" s="4">
        <v>0.25800000000000001</v>
      </c>
      <c r="J98" s="4">
        <v>0.314</v>
      </c>
      <c r="K98" s="4">
        <v>0.26399999999999996</v>
      </c>
      <c r="L98" s="4">
        <v>1.1679999999999999</v>
      </c>
      <c r="M98" s="4">
        <v>4.5679999999999996</v>
      </c>
    </row>
    <row r="99" spans="3:13" x14ac:dyDescent="0.2">
      <c r="C99" s="1">
        <v>45916</v>
      </c>
      <c r="D99" t="s">
        <v>63</v>
      </c>
      <c r="E99">
        <v>602</v>
      </c>
      <c r="F99">
        <v>66</v>
      </c>
      <c r="G99" s="4">
        <v>8.7874999999999996</v>
      </c>
      <c r="H99" s="4">
        <v>1.8875000000000002</v>
      </c>
      <c r="I99" s="4">
        <v>0.22750000000000004</v>
      </c>
      <c r="J99" s="4">
        <v>0.35249999999999998</v>
      </c>
      <c r="K99" s="4">
        <v>0</v>
      </c>
      <c r="L99" s="4">
        <v>1.2275</v>
      </c>
      <c r="M99" s="4">
        <v>5.0824999999999996</v>
      </c>
    </row>
    <row r="100" spans="3:13" x14ac:dyDescent="0.2">
      <c r="C100" s="1">
        <v>45915</v>
      </c>
      <c r="D100" t="s">
        <v>62</v>
      </c>
      <c r="E100">
        <v>557</v>
      </c>
      <c r="F100">
        <v>62</v>
      </c>
      <c r="G100" s="4">
        <v>8.77</v>
      </c>
      <c r="H100" s="4">
        <v>1.052</v>
      </c>
      <c r="I100" s="4">
        <v>0.19800000000000001</v>
      </c>
      <c r="J100" s="4">
        <v>0.20200000000000001</v>
      </c>
      <c r="K100" s="4">
        <v>0.11200000000000002</v>
      </c>
      <c r="L100" s="4">
        <v>1.2419999999999998</v>
      </c>
      <c r="M100" s="4">
        <v>5.9339999999999993</v>
      </c>
    </row>
    <row r="101" spans="3:13" x14ac:dyDescent="0.2">
      <c r="C101" s="1">
        <v>45912</v>
      </c>
      <c r="D101" t="s">
        <v>66</v>
      </c>
      <c r="E101">
        <v>551</v>
      </c>
      <c r="F101">
        <v>52</v>
      </c>
      <c r="G101" s="4">
        <v>7.7960000000000012</v>
      </c>
      <c r="H101" s="4">
        <v>0.96400000000000008</v>
      </c>
      <c r="I101" s="4">
        <v>0.18000000000000002</v>
      </c>
      <c r="J101" s="4">
        <v>0.27199999999999996</v>
      </c>
      <c r="K101" s="4">
        <v>4.5999999999999999E-2</v>
      </c>
      <c r="L101" s="4">
        <v>1.0900000000000001</v>
      </c>
      <c r="M101" s="4">
        <v>5.226</v>
      </c>
    </row>
    <row r="102" spans="3:13" x14ac:dyDescent="0.2">
      <c r="C102" s="1">
        <v>45911</v>
      </c>
      <c r="D102" t="s">
        <v>65</v>
      </c>
      <c r="E102">
        <v>543</v>
      </c>
      <c r="F102">
        <v>53</v>
      </c>
      <c r="G102" s="4">
        <v>8.8300000000000018</v>
      </c>
      <c r="H102" s="4">
        <v>0.95199999999999996</v>
      </c>
      <c r="I102" s="4">
        <v>0.21200000000000002</v>
      </c>
      <c r="J102" s="4">
        <v>0.18000000000000002</v>
      </c>
      <c r="K102" s="4">
        <v>0.73199999999999998</v>
      </c>
      <c r="L102" s="4">
        <v>1.3800000000000001</v>
      </c>
      <c r="M102" s="4">
        <v>5.3680000000000003</v>
      </c>
    </row>
    <row r="103" spans="3:13" x14ac:dyDescent="0.2">
      <c r="C103" s="1">
        <v>45910</v>
      </c>
      <c r="D103" t="s">
        <v>64</v>
      </c>
      <c r="E103">
        <v>577</v>
      </c>
      <c r="F103">
        <v>49</v>
      </c>
      <c r="G103" s="4">
        <v>8.9740000000000002</v>
      </c>
      <c r="H103" s="4">
        <v>1.294</v>
      </c>
      <c r="I103" s="4">
        <v>0.16</v>
      </c>
      <c r="J103" s="4">
        <v>0.27599999999999997</v>
      </c>
      <c r="K103" s="4">
        <v>0.188</v>
      </c>
      <c r="L103" s="4">
        <v>1.2040000000000002</v>
      </c>
      <c r="M103" s="4">
        <v>5.8419999999999996</v>
      </c>
    </row>
    <row r="104" spans="3:13" x14ac:dyDescent="0.2">
      <c r="C104" s="1">
        <v>45909</v>
      </c>
      <c r="D104" t="s">
        <v>63</v>
      </c>
      <c r="E104">
        <v>624</v>
      </c>
      <c r="F104">
        <v>86</v>
      </c>
      <c r="G104" s="4">
        <v>8.8420000000000005</v>
      </c>
      <c r="H104" s="4">
        <v>1.8460000000000001</v>
      </c>
      <c r="I104" s="4">
        <v>0.35599999999999998</v>
      </c>
      <c r="J104" s="4">
        <v>0.36599999999999999</v>
      </c>
      <c r="K104" s="4">
        <v>0.188</v>
      </c>
      <c r="L104" s="4">
        <v>1.202</v>
      </c>
      <c r="M104" s="4">
        <v>4.8699999999999992</v>
      </c>
    </row>
    <row r="105" spans="3:13" x14ac:dyDescent="0.2">
      <c r="C105" s="1">
        <v>45908</v>
      </c>
      <c r="D105" t="s">
        <v>62</v>
      </c>
      <c r="E105">
        <v>540</v>
      </c>
      <c r="F105">
        <v>79</v>
      </c>
      <c r="G105" s="4">
        <v>8.6024999999999991</v>
      </c>
      <c r="H105" s="4">
        <v>1.6525000000000001</v>
      </c>
      <c r="I105" s="4">
        <v>0.28249999999999997</v>
      </c>
      <c r="J105" s="4">
        <v>0.27250000000000002</v>
      </c>
      <c r="K105" s="4">
        <v>0.41499999999999998</v>
      </c>
      <c r="L105" s="4">
        <v>1.05</v>
      </c>
      <c r="M105" s="4">
        <v>4.9175000000000004</v>
      </c>
    </row>
    <row r="106" spans="3:13" x14ac:dyDescent="0.2">
      <c r="C106" s="1">
        <v>45905</v>
      </c>
      <c r="D106" t="s">
        <v>66</v>
      </c>
      <c r="E106">
        <v>545</v>
      </c>
      <c r="F106">
        <v>36</v>
      </c>
      <c r="G106" s="4">
        <v>8.8000000000000007</v>
      </c>
      <c r="H106" s="4">
        <v>1.115</v>
      </c>
      <c r="I106" s="4">
        <v>0.59750000000000003</v>
      </c>
      <c r="J106" s="4">
        <v>0.2225</v>
      </c>
      <c r="K106" s="4">
        <v>0.05</v>
      </c>
      <c r="L106" s="4">
        <v>1.1524999999999999</v>
      </c>
      <c r="M106" s="4">
        <v>5.65</v>
      </c>
    </row>
    <row r="107" spans="3:13" x14ac:dyDescent="0.2">
      <c r="C107" s="1">
        <v>45904</v>
      </c>
      <c r="D107" t="s">
        <v>65</v>
      </c>
      <c r="E107">
        <v>590</v>
      </c>
      <c r="F107">
        <v>70</v>
      </c>
      <c r="G107" s="4">
        <v>9.1275000000000013</v>
      </c>
      <c r="H107" s="4">
        <v>1.7949999999999999</v>
      </c>
      <c r="I107" s="4">
        <v>0.19</v>
      </c>
      <c r="J107" s="4">
        <v>0.27750000000000002</v>
      </c>
      <c r="K107" s="4">
        <v>0.2175</v>
      </c>
      <c r="L107" s="4">
        <v>1.3399999999999999</v>
      </c>
      <c r="M107" s="4">
        <v>5.3</v>
      </c>
    </row>
    <row r="108" spans="3:13" x14ac:dyDescent="0.2">
      <c r="C108" s="1">
        <v>45903</v>
      </c>
      <c r="D108" t="s">
        <v>64</v>
      </c>
      <c r="E108">
        <v>637</v>
      </c>
      <c r="F108">
        <v>82</v>
      </c>
      <c r="G108" s="4">
        <v>7.8680000000000003</v>
      </c>
      <c r="H108" s="4">
        <v>1.6659999999999997</v>
      </c>
      <c r="I108" s="4">
        <v>0.21400000000000002</v>
      </c>
      <c r="J108" s="4">
        <v>0.27999999999999997</v>
      </c>
      <c r="K108" s="4">
        <v>0.04</v>
      </c>
      <c r="L108" s="4">
        <v>1.268</v>
      </c>
      <c r="M108" s="4">
        <v>4.3619999999999992</v>
      </c>
    </row>
    <row r="109" spans="3:13" x14ac:dyDescent="0.2">
      <c r="C109" s="1">
        <v>45902</v>
      </c>
      <c r="D109" t="s">
        <v>63</v>
      </c>
      <c r="E109">
        <v>548</v>
      </c>
      <c r="F109">
        <v>69</v>
      </c>
      <c r="G109" s="4">
        <v>8.3699999999999992</v>
      </c>
      <c r="H109" s="4">
        <v>1.3149999999999999</v>
      </c>
      <c r="I109" s="4">
        <v>0.22750000000000001</v>
      </c>
      <c r="J109" s="4">
        <v>0.36750000000000005</v>
      </c>
      <c r="K109" s="4">
        <v>9.5000000000000001E-2</v>
      </c>
      <c r="L109" s="4">
        <v>1.4775</v>
      </c>
      <c r="M109" s="4">
        <v>4.8774999999999995</v>
      </c>
    </row>
    <row r="110" spans="3:13" x14ac:dyDescent="0.2">
      <c r="C110" s="1">
        <v>45898</v>
      </c>
      <c r="D110" t="s">
        <v>66</v>
      </c>
      <c r="E110">
        <v>531</v>
      </c>
      <c r="F110">
        <v>33</v>
      </c>
      <c r="G110" s="4">
        <v>8.76</v>
      </c>
      <c r="H110" s="4">
        <v>1.3666666666666665</v>
      </c>
      <c r="I110" s="4">
        <v>0.17</v>
      </c>
      <c r="J110" s="4">
        <v>0.22666666666666666</v>
      </c>
      <c r="K110" s="4">
        <v>0.44</v>
      </c>
      <c r="L110" s="4">
        <v>1.0966666666666667</v>
      </c>
      <c r="M110" s="4">
        <v>5.45</v>
      </c>
    </row>
    <row r="111" spans="3:13" x14ac:dyDescent="0.2">
      <c r="C111" s="1">
        <v>45897</v>
      </c>
      <c r="D111" t="s">
        <v>65</v>
      </c>
      <c r="E111">
        <v>542</v>
      </c>
      <c r="F111">
        <v>43</v>
      </c>
      <c r="G111" s="4">
        <v>8.2160000000000011</v>
      </c>
      <c r="H111" s="4">
        <v>0.97199999999999986</v>
      </c>
      <c r="I111" s="4">
        <v>0.15399999999999997</v>
      </c>
      <c r="J111" s="4">
        <v>0.188</v>
      </c>
      <c r="K111" s="4">
        <v>0.84000000000000008</v>
      </c>
      <c r="L111" s="4">
        <v>1.0580000000000001</v>
      </c>
      <c r="M111" s="4">
        <v>4.8659999999999997</v>
      </c>
    </row>
    <row r="112" spans="3:13" x14ac:dyDescent="0.2">
      <c r="C112" s="1">
        <v>45896</v>
      </c>
      <c r="D112" t="s">
        <v>64</v>
      </c>
      <c r="E112">
        <v>570</v>
      </c>
      <c r="F112">
        <v>59</v>
      </c>
      <c r="G112" s="4">
        <v>8.1780000000000008</v>
      </c>
      <c r="H112" s="4">
        <v>1.3320000000000001</v>
      </c>
      <c r="I112" s="4">
        <v>0.29399999999999998</v>
      </c>
      <c r="J112" s="4">
        <v>0.22599999999999998</v>
      </c>
      <c r="K112" s="4">
        <v>1.56</v>
      </c>
      <c r="L112" s="4">
        <v>1.294</v>
      </c>
      <c r="M112" s="4">
        <v>3.4340000000000002</v>
      </c>
    </row>
    <row r="113" spans="3:13" x14ac:dyDescent="0.2">
      <c r="C113" s="1">
        <v>45895</v>
      </c>
      <c r="D113" t="s">
        <v>63</v>
      </c>
      <c r="E113">
        <v>597</v>
      </c>
      <c r="F113">
        <v>66</v>
      </c>
      <c r="G113" s="4">
        <v>8.8360000000000021</v>
      </c>
      <c r="H113" s="4">
        <v>1.6140000000000001</v>
      </c>
      <c r="I113" s="4">
        <v>0.25999999999999995</v>
      </c>
      <c r="J113" s="4">
        <v>0.32599999999999996</v>
      </c>
      <c r="K113" s="4">
        <v>0.16200000000000001</v>
      </c>
      <c r="L113" s="4">
        <v>1.234</v>
      </c>
      <c r="M113" s="4">
        <v>5.1040000000000001</v>
      </c>
    </row>
    <row r="114" spans="3:13" x14ac:dyDescent="0.2">
      <c r="C114" s="1">
        <v>45894</v>
      </c>
      <c r="D114" t="s">
        <v>62</v>
      </c>
      <c r="E114">
        <v>585</v>
      </c>
      <c r="F114">
        <v>89</v>
      </c>
      <c r="G114" s="4">
        <v>8.7850000000000001</v>
      </c>
      <c r="H114" s="4">
        <v>2.2875000000000001</v>
      </c>
      <c r="I114" s="4">
        <v>0.39500000000000007</v>
      </c>
      <c r="J114" s="4">
        <v>0.47</v>
      </c>
      <c r="K114" s="4">
        <v>0.1225</v>
      </c>
      <c r="L114" s="4">
        <v>1.2050000000000001</v>
      </c>
      <c r="M114" s="4">
        <v>4.2949999999999999</v>
      </c>
    </row>
    <row r="115" spans="3:13" x14ac:dyDescent="0.2">
      <c r="C115" s="1">
        <v>45891</v>
      </c>
      <c r="D115" t="s">
        <v>66</v>
      </c>
      <c r="E115">
        <v>533</v>
      </c>
      <c r="F115">
        <v>49</v>
      </c>
      <c r="G115" s="4">
        <v>8.4550000000000001</v>
      </c>
      <c r="H115" s="4">
        <v>1.2025000000000001</v>
      </c>
      <c r="I115" s="4">
        <v>0.20750000000000002</v>
      </c>
      <c r="J115" s="4">
        <v>0.29249999999999998</v>
      </c>
      <c r="K115" s="4">
        <v>0.51</v>
      </c>
      <c r="L115" s="4">
        <v>1.2925</v>
      </c>
      <c r="M115" s="4">
        <v>4.8600000000000003</v>
      </c>
    </row>
    <row r="116" spans="3:13" x14ac:dyDescent="0.2">
      <c r="C116" s="1">
        <v>45890</v>
      </c>
      <c r="D116" t="s">
        <v>65</v>
      </c>
      <c r="E116">
        <v>551</v>
      </c>
      <c r="F116">
        <v>58</v>
      </c>
      <c r="G116" s="4">
        <v>8.9875000000000007</v>
      </c>
      <c r="H116" s="4">
        <v>1.415</v>
      </c>
      <c r="I116" s="4">
        <v>0.1075</v>
      </c>
      <c r="J116" s="4">
        <v>0.32999999999999996</v>
      </c>
      <c r="K116" s="4">
        <v>1.6274999999999999</v>
      </c>
      <c r="L116" s="4">
        <v>1.3374999999999999</v>
      </c>
      <c r="M116" s="4">
        <v>4.13</v>
      </c>
    </row>
    <row r="117" spans="3:13" x14ac:dyDescent="0.2">
      <c r="C117" s="1">
        <v>45889</v>
      </c>
      <c r="D117" t="s">
        <v>64</v>
      </c>
      <c r="E117">
        <v>571</v>
      </c>
      <c r="F117">
        <v>80</v>
      </c>
      <c r="G117" s="4">
        <v>9.01</v>
      </c>
      <c r="H117" s="4">
        <v>1.1399999999999999</v>
      </c>
      <c r="I117" s="4">
        <v>0.156</v>
      </c>
      <c r="J117" s="4">
        <v>0.188</v>
      </c>
      <c r="K117" s="4">
        <v>6.4000000000000001E-2</v>
      </c>
      <c r="L117" s="4">
        <v>1.3940000000000001</v>
      </c>
      <c r="M117" s="4">
        <v>6.0680000000000005</v>
      </c>
    </row>
    <row r="118" spans="3:13" x14ac:dyDescent="0.2">
      <c r="C118" s="1">
        <v>45888</v>
      </c>
      <c r="D118" t="s">
        <v>63</v>
      </c>
      <c r="E118">
        <v>603</v>
      </c>
      <c r="F118">
        <v>78</v>
      </c>
      <c r="G118" s="4">
        <v>8.8019999999999996</v>
      </c>
      <c r="H118" s="4">
        <v>2.024</v>
      </c>
      <c r="I118" s="4">
        <v>0.24399999999999999</v>
      </c>
      <c r="J118" s="4">
        <v>0.252</v>
      </c>
      <c r="K118" s="4">
        <v>5.7999999999999996E-2</v>
      </c>
      <c r="L118" s="4">
        <v>1.0559999999999998</v>
      </c>
      <c r="M118" s="4">
        <v>5.1579999999999995</v>
      </c>
    </row>
    <row r="119" spans="3:13" x14ac:dyDescent="0.2">
      <c r="C119" s="1">
        <v>45887</v>
      </c>
      <c r="D119" t="s">
        <v>62</v>
      </c>
      <c r="E119">
        <v>510</v>
      </c>
      <c r="F119">
        <v>60</v>
      </c>
      <c r="G119" s="4">
        <v>8.8699999999999992</v>
      </c>
      <c r="H119" s="4">
        <v>1.27</v>
      </c>
      <c r="I119" s="4">
        <v>0.26</v>
      </c>
      <c r="J119" s="4">
        <v>0.182</v>
      </c>
      <c r="K119" s="4">
        <v>0.63200000000000001</v>
      </c>
      <c r="L119" s="4">
        <v>1.2580000000000002</v>
      </c>
      <c r="M119" s="4">
        <v>5.2679999999999998</v>
      </c>
    </row>
    <row r="120" spans="3:13" x14ac:dyDescent="0.2">
      <c r="C120" s="1">
        <v>45884</v>
      </c>
      <c r="D120" t="s">
        <v>66</v>
      </c>
      <c r="E120">
        <v>525</v>
      </c>
      <c r="F120">
        <v>81</v>
      </c>
      <c r="G120" s="4">
        <v>8.8119999999999994</v>
      </c>
      <c r="H120" s="4">
        <v>1.1999999999999997</v>
      </c>
      <c r="I120" s="4">
        <v>0.26800000000000002</v>
      </c>
      <c r="J120" s="4">
        <v>0.152</v>
      </c>
      <c r="K120" s="4">
        <v>0.17799999999999999</v>
      </c>
      <c r="L120" s="4">
        <v>1.3340000000000001</v>
      </c>
      <c r="M120" s="4">
        <v>5.6560000000000006</v>
      </c>
    </row>
    <row r="121" spans="3:13" x14ac:dyDescent="0.2">
      <c r="C121" s="1">
        <v>45883</v>
      </c>
      <c r="D121" t="s">
        <v>65</v>
      </c>
      <c r="E121">
        <v>524</v>
      </c>
      <c r="F121">
        <v>38</v>
      </c>
      <c r="G121" s="4">
        <v>8.4619999999999997</v>
      </c>
      <c r="H121" s="4">
        <v>1.028</v>
      </c>
      <c r="I121" s="4">
        <v>0.13399999999999998</v>
      </c>
      <c r="J121" s="4">
        <v>0.14399999999999999</v>
      </c>
      <c r="K121" s="4">
        <v>1.302</v>
      </c>
      <c r="L121" s="4">
        <v>1.268</v>
      </c>
      <c r="M121" s="4">
        <v>4.5780000000000003</v>
      </c>
    </row>
    <row r="122" spans="3:13" x14ac:dyDescent="0.2">
      <c r="C122" s="1">
        <v>45882</v>
      </c>
      <c r="D122" t="s">
        <v>64</v>
      </c>
      <c r="E122">
        <v>563</v>
      </c>
      <c r="F122">
        <v>50</v>
      </c>
      <c r="G122" s="4">
        <v>8.8640000000000008</v>
      </c>
      <c r="H122" s="4">
        <v>1.3560000000000003</v>
      </c>
      <c r="I122" s="4">
        <v>9.6000000000000002E-2</v>
      </c>
      <c r="J122" s="4">
        <v>0.23799999999999999</v>
      </c>
      <c r="K122" s="4">
        <v>0.28200000000000003</v>
      </c>
      <c r="L122" s="4">
        <v>1.264</v>
      </c>
      <c r="M122" s="4">
        <v>5.6</v>
      </c>
    </row>
    <row r="123" spans="3:13" x14ac:dyDescent="0.2">
      <c r="C123" s="1">
        <v>45881</v>
      </c>
      <c r="D123" t="s">
        <v>63</v>
      </c>
      <c r="E123">
        <v>576</v>
      </c>
      <c r="F123">
        <v>61</v>
      </c>
      <c r="G123" s="4">
        <v>8.7859999999999996</v>
      </c>
      <c r="H123" s="4">
        <v>1.4920000000000002</v>
      </c>
      <c r="I123" s="4">
        <v>9.4E-2</v>
      </c>
      <c r="J123" s="4">
        <v>0.25</v>
      </c>
      <c r="K123" s="4">
        <v>9.4E-2</v>
      </c>
      <c r="L123" s="4">
        <v>1.252</v>
      </c>
      <c r="M123" s="4">
        <v>5.5879999999999992</v>
      </c>
    </row>
    <row r="124" spans="3:13" x14ac:dyDescent="0.2">
      <c r="C124" s="1">
        <v>45880</v>
      </c>
      <c r="D124" t="s">
        <v>62</v>
      </c>
      <c r="E124">
        <v>585</v>
      </c>
      <c r="F124">
        <v>123</v>
      </c>
      <c r="G124" s="4">
        <v>9.0280000000000005</v>
      </c>
      <c r="H124" s="4">
        <v>1.5979999999999999</v>
      </c>
      <c r="I124" s="4">
        <v>0.25999999999999995</v>
      </c>
      <c r="J124" s="4">
        <v>0.246</v>
      </c>
      <c r="K124" s="4">
        <v>0.68799999999999994</v>
      </c>
      <c r="L124" s="4">
        <v>1.452</v>
      </c>
      <c r="M124" s="4">
        <v>4.7739999999999991</v>
      </c>
    </row>
    <row r="125" spans="3:13" x14ac:dyDescent="0.2">
      <c r="C125" s="1">
        <v>45877</v>
      </c>
      <c r="D125" t="s">
        <v>66</v>
      </c>
      <c r="E125">
        <v>518</v>
      </c>
      <c r="F125">
        <v>57</v>
      </c>
      <c r="G125" s="4">
        <v>9.0133333333333336</v>
      </c>
      <c r="H125" s="4">
        <v>1.6833333333333333</v>
      </c>
      <c r="I125" s="4">
        <v>9.3333333333333338E-2</v>
      </c>
      <c r="J125" s="4">
        <v>0.32666666666666666</v>
      </c>
      <c r="K125" s="4">
        <v>0.35333333333333333</v>
      </c>
      <c r="L125" s="4">
        <v>1.5333333333333334</v>
      </c>
      <c r="M125" s="4">
        <v>5.0199999999999996</v>
      </c>
    </row>
    <row r="126" spans="3:13" x14ac:dyDescent="0.2">
      <c r="C126" s="1">
        <v>45876</v>
      </c>
      <c r="D126" t="s">
        <v>65</v>
      </c>
      <c r="E126">
        <v>530</v>
      </c>
      <c r="F126">
        <v>46</v>
      </c>
      <c r="G126" s="4">
        <v>9.0075000000000003</v>
      </c>
      <c r="H126" s="4">
        <v>1.0075000000000001</v>
      </c>
      <c r="I126" s="4">
        <v>0.13500000000000001</v>
      </c>
      <c r="J126" s="4">
        <v>0.21000000000000002</v>
      </c>
      <c r="K126" s="4">
        <v>0</v>
      </c>
      <c r="L126" s="4">
        <v>1.415</v>
      </c>
      <c r="M126" s="4">
        <v>6.2399999999999993</v>
      </c>
    </row>
    <row r="127" spans="3:13" x14ac:dyDescent="0.2">
      <c r="C127" s="1">
        <v>45875</v>
      </c>
      <c r="D127" t="s">
        <v>64</v>
      </c>
      <c r="E127">
        <v>591</v>
      </c>
      <c r="F127">
        <v>78</v>
      </c>
      <c r="G127" s="4">
        <v>9.0639999999999983</v>
      </c>
      <c r="H127" s="4">
        <v>1.794</v>
      </c>
      <c r="I127" s="4">
        <v>0.25600000000000001</v>
      </c>
      <c r="J127" s="4">
        <v>0.32999999999999996</v>
      </c>
      <c r="K127" s="4">
        <v>0.16999999999999998</v>
      </c>
      <c r="L127" s="4">
        <v>1.488</v>
      </c>
      <c r="M127" s="4">
        <v>5.0019999999999998</v>
      </c>
    </row>
    <row r="128" spans="3:13" x14ac:dyDescent="0.2">
      <c r="C128" s="1">
        <v>45874</v>
      </c>
      <c r="D128" t="s">
        <v>63</v>
      </c>
      <c r="E128">
        <v>606</v>
      </c>
      <c r="F128">
        <v>52</v>
      </c>
      <c r="G128" s="4">
        <v>8.8620000000000001</v>
      </c>
      <c r="H128" s="4">
        <v>1.286</v>
      </c>
      <c r="I128" s="4">
        <v>0.19400000000000001</v>
      </c>
      <c r="J128" s="4">
        <v>0.25</v>
      </c>
      <c r="K128" s="4">
        <v>1.0879999999999999</v>
      </c>
      <c r="L128" s="4">
        <v>1.1880000000000002</v>
      </c>
      <c r="M128" s="4">
        <v>4.8220000000000001</v>
      </c>
    </row>
    <row r="129" spans="3:13" x14ac:dyDescent="0.2">
      <c r="C129" s="1">
        <v>45873</v>
      </c>
      <c r="D129" t="s">
        <v>62</v>
      </c>
      <c r="E129">
        <v>546</v>
      </c>
      <c r="F129">
        <v>72</v>
      </c>
      <c r="G129" s="4">
        <v>8.8159999999999989</v>
      </c>
      <c r="H129" s="4">
        <v>1.1280000000000001</v>
      </c>
      <c r="I129" s="4">
        <v>4.8000000000000001E-2</v>
      </c>
      <c r="J129" s="4">
        <v>0.16600000000000001</v>
      </c>
      <c r="K129" s="4">
        <v>0.152</v>
      </c>
      <c r="L129" s="4">
        <v>1.298</v>
      </c>
      <c r="M129" s="4">
        <v>6.016</v>
      </c>
    </row>
    <row r="130" spans="3:13" x14ac:dyDescent="0.2">
      <c r="C130" s="1">
        <v>45870</v>
      </c>
      <c r="D130" t="s">
        <v>66</v>
      </c>
      <c r="E130">
        <v>558</v>
      </c>
      <c r="F130">
        <v>55</v>
      </c>
      <c r="G130" s="4">
        <v>8.7850000000000001</v>
      </c>
      <c r="H130" s="4">
        <v>0.92500000000000004</v>
      </c>
      <c r="I130" s="4">
        <v>0.23</v>
      </c>
      <c r="J130" s="4">
        <v>0.15000000000000002</v>
      </c>
      <c r="K130" s="4">
        <v>0.45500000000000002</v>
      </c>
      <c r="L130" s="4">
        <v>1.3149999999999999</v>
      </c>
      <c r="M130" s="4">
        <v>5.6899999999999995</v>
      </c>
    </row>
    <row r="131" spans="3:13" x14ac:dyDescent="0.2">
      <c r="C131" s="1">
        <v>45869</v>
      </c>
      <c r="D131" t="s">
        <v>65</v>
      </c>
      <c r="E131">
        <v>571</v>
      </c>
      <c r="F131">
        <v>70</v>
      </c>
      <c r="G131" s="4">
        <v>8.8149999999999995</v>
      </c>
      <c r="H131" s="4">
        <v>1.24</v>
      </c>
      <c r="I131" s="4">
        <v>0.10500000000000001</v>
      </c>
      <c r="J131" s="4">
        <v>0.2525</v>
      </c>
      <c r="K131" s="4">
        <v>1.2324999999999999</v>
      </c>
      <c r="L131" s="4">
        <v>1.1875</v>
      </c>
      <c r="M131" s="4">
        <v>4.7774999999999999</v>
      </c>
    </row>
    <row r="132" spans="3:13" x14ac:dyDescent="0.2">
      <c r="C132" s="1">
        <v>45868</v>
      </c>
      <c r="D132" t="s">
        <v>64</v>
      </c>
      <c r="E132">
        <v>581</v>
      </c>
      <c r="F132">
        <v>54</v>
      </c>
      <c r="G132" s="4">
        <v>8.8275000000000006</v>
      </c>
      <c r="H132" s="4">
        <v>1.2849999999999999</v>
      </c>
      <c r="I132" s="4">
        <v>0.17499999999999999</v>
      </c>
      <c r="J132" s="4">
        <v>0.28500000000000003</v>
      </c>
      <c r="K132" s="4">
        <v>0.54</v>
      </c>
      <c r="L132" s="4">
        <v>1.1924999999999999</v>
      </c>
      <c r="M132" s="4">
        <v>5.3174999999999999</v>
      </c>
    </row>
    <row r="133" spans="3:13" x14ac:dyDescent="0.2">
      <c r="C133" s="1">
        <v>45867</v>
      </c>
      <c r="D133" t="s">
        <v>63</v>
      </c>
      <c r="E133">
        <v>640</v>
      </c>
      <c r="F133">
        <v>94</v>
      </c>
      <c r="G133" s="4">
        <v>8.83</v>
      </c>
      <c r="H133" s="4">
        <v>1.57</v>
      </c>
      <c r="I133" s="4">
        <v>0.19800000000000001</v>
      </c>
      <c r="J133" s="4">
        <v>0.28800000000000003</v>
      </c>
      <c r="K133" s="4">
        <v>0</v>
      </c>
      <c r="L133" s="4">
        <v>1.258</v>
      </c>
      <c r="M133" s="4">
        <v>5.5059999999999993</v>
      </c>
    </row>
    <row r="134" spans="3:13" x14ac:dyDescent="0.2">
      <c r="C134" s="1">
        <v>45866</v>
      </c>
      <c r="D134" t="s">
        <v>62</v>
      </c>
      <c r="E134">
        <v>528</v>
      </c>
      <c r="F134">
        <v>56</v>
      </c>
      <c r="G134" s="4">
        <v>8.8180000000000014</v>
      </c>
      <c r="H134" s="4">
        <v>0.89200000000000002</v>
      </c>
      <c r="I134" s="4">
        <v>0.21600000000000003</v>
      </c>
      <c r="J134" s="4">
        <v>0.17600000000000002</v>
      </c>
      <c r="K134" s="4">
        <v>0.10800000000000001</v>
      </c>
      <c r="L134" s="4">
        <v>1.2879999999999998</v>
      </c>
      <c r="M134" s="4">
        <v>6.1259999999999994</v>
      </c>
    </row>
    <row r="135" spans="3:13" x14ac:dyDescent="0.2">
      <c r="C135" s="1">
        <v>45863</v>
      </c>
      <c r="D135" t="s">
        <v>66</v>
      </c>
      <c r="E135">
        <v>558</v>
      </c>
      <c r="F135">
        <v>54</v>
      </c>
      <c r="G135" s="4">
        <v>8.4</v>
      </c>
      <c r="H135" s="4">
        <v>1.012</v>
      </c>
      <c r="I135" s="4">
        <v>0.35399999999999998</v>
      </c>
      <c r="J135" s="4">
        <v>0.26200000000000001</v>
      </c>
      <c r="K135" s="4">
        <v>6.6000000000000003E-2</v>
      </c>
      <c r="L135" s="4">
        <v>1.202</v>
      </c>
      <c r="M135" s="4">
        <v>5.4660000000000002</v>
      </c>
    </row>
    <row r="136" spans="3:13" x14ac:dyDescent="0.2">
      <c r="C136" s="1">
        <v>45862</v>
      </c>
      <c r="D136" t="s">
        <v>65</v>
      </c>
      <c r="E136">
        <v>580</v>
      </c>
      <c r="F136">
        <v>57</v>
      </c>
      <c r="G136" s="4">
        <v>8.8439999999999994</v>
      </c>
      <c r="H136" s="4">
        <v>1.0660000000000001</v>
      </c>
      <c r="I136" s="4">
        <v>0.13</v>
      </c>
      <c r="J136" s="4">
        <v>0.184</v>
      </c>
      <c r="K136" s="4">
        <v>0.62</v>
      </c>
      <c r="L136" s="4">
        <v>1.286</v>
      </c>
      <c r="M136" s="4">
        <v>5.548</v>
      </c>
    </row>
    <row r="137" spans="3:13" x14ac:dyDescent="0.2">
      <c r="C137" s="1">
        <v>45861</v>
      </c>
      <c r="D137" t="s">
        <v>64</v>
      </c>
      <c r="E137">
        <v>607</v>
      </c>
      <c r="F137">
        <v>46</v>
      </c>
      <c r="G137" s="4">
        <v>8.6233333333333331</v>
      </c>
      <c r="H137" s="4">
        <v>0.84666666666666679</v>
      </c>
      <c r="I137" s="4">
        <v>0.35166666666666674</v>
      </c>
      <c r="J137" s="4">
        <v>0.21333333333333335</v>
      </c>
      <c r="K137" s="4">
        <v>0.14833333333333332</v>
      </c>
      <c r="L137" s="4">
        <v>1.115</v>
      </c>
      <c r="M137" s="4">
        <v>5.918333333333333</v>
      </c>
    </row>
    <row r="138" spans="3:13" x14ac:dyDescent="0.2">
      <c r="C138" s="1">
        <v>45860</v>
      </c>
      <c r="D138" t="s">
        <v>63</v>
      </c>
      <c r="E138">
        <v>630</v>
      </c>
      <c r="F138">
        <v>123</v>
      </c>
      <c r="G138" s="4">
        <v>8.7149999999999999</v>
      </c>
      <c r="H138" s="4">
        <v>1.3866666666666667</v>
      </c>
      <c r="I138" s="4">
        <v>0.21666666666666667</v>
      </c>
      <c r="J138" s="4">
        <v>0.30833333333333335</v>
      </c>
      <c r="K138" s="4">
        <v>0</v>
      </c>
      <c r="L138" s="4">
        <v>1.1833333333333333</v>
      </c>
      <c r="M138" s="4">
        <v>5.5933333333333337</v>
      </c>
    </row>
    <row r="139" spans="3:13" x14ac:dyDescent="0.2">
      <c r="C139" s="1">
        <v>45859</v>
      </c>
      <c r="D139" t="s">
        <v>62</v>
      </c>
      <c r="E139">
        <v>633</v>
      </c>
      <c r="F139">
        <v>76</v>
      </c>
      <c r="G139" s="4">
        <v>8.8379999999999992</v>
      </c>
      <c r="H139" s="4">
        <v>1.1140000000000001</v>
      </c>
      <c r="I139" s="4">
        <v>0.16600000000000001</v>
      </c>
      <c r="J139" s="4">
        <v>0.24399999999999999</v>
      </c>
      <c r="K139" s="4">
        <v>0</v>
      </c>
      <c r="L139" s="4">
        <v>1.3439999999999999</v>
      </c>
      <c r="M139" s="4">
        <v>5.9359999999999999</v>
      </c>
    </row>
    <row r="140" spans="3:13" x14ac:dyDescent="0.2">
      <c r="C140" s="1">
        <v>45856</v>
      </c>
      <c r="D140" t="s">
        <v>66</v>
      </c>
      <c r="E140">
        <v>573</v>
      </c>
      <c r="F140">
        <v>38</v>
      </c>
      <c r="G140" s="4">
        <v>9.0350000000000001</v>
      </c>
      <c r="H140" s="4">
        <v>1.165</v>
      </c>
      <c r="I140" s="4">
        <v>0.14000000000000001</v>
      </c>
      <c r="J140" s="4">
        <v>0.26</v>
      </c>
      <c r="K140" s="4">
        <v>0.39</v>
      </c>
      <c r="L140" s="4">
        <v>1.6125</v>
      </c>
      <c r="M140" s="4">
        <v>5.4499999999999993</v>
      </c>
    </row>
    <row r="141" spans="3:13" x14ac:dyDescent="0.2">
      <c r="C141" s="1">
        <v>45855</v>
      </c>
      <c r="D141" t="s">
        <v>65</v>
      </c>
      <c r="E141">
        <v>627</v>
      </c>
      <c r="F141">
        <v>77</v>
      </c>
      <c r="G141" s="4">
        <v>8.73</v>
      </c>
      <c r="H141" s="4">
        <v>1.194</v>
      </c>
      <c r="I141" s="4">
        <v>0.17599999999999999</v>
      </c>
      <c r="J141" s="4">
        <v>0.316</v>
      </c>
      <c r="K141" s="4">
        <v>0.72199999999999986</v>
      </c>
      <c r="L141" s="4">
        <v>1.288</v>
      </c>
      <c r="M141" s="4">
        <v>4.9980000000000002</v>
      </c>
    </row>
    <row r="142" spans="3:13" x14ac:dyDescent="0.2">
      <c r="C142" s="1">
        <v>45854</v>
      </c>
      <c r="D142" t="s">
        <v>64</v>
      </c>
      <c r="E142">
        <v>600</v>
      </c>
      <c r="F142">
        <v>20</v>
      </c>
      <c r="G142" s="4">
        <v>8.9933333333333323</v>
      </c>
      <c r="H142" s="4">
        <v>0.83666666666666656</v>
      </c>
      <c r="I142" s="4">
        <v>0.14333333333333334</v>
      </c>
      <c r="J142" s="4">
        <v>0.19999999999999998</v>
      </c>
      <c r="K142" s="4">
        <v>0.15</v>
      </c>
      <c r="L142" s="4">
        <v>1.4133333333333333</v>
      </c>
      <c r="M142" s="4">
        <v>6.2366666666666672</v>
      </c>
    </row>
    <row r="143" spans="3:13" x14ac:dyDescent="0.2">
      <c r="C143" s="1">
        <v>45853</v>
      </c>
      <c r="D143" t="s">
        <v>63</v>
      </c>
      <c r="E143">
        <v>644</v>
      </c>
      <c r="F143">
        <v>98</v>
      </c>
      <c r="G143" s="4">
        <v>8.8379999999999992</v>
      </c>
      <c r="H143" s="4">
        <v>1.4239999999999999</v>
      </c>
      <c r="I143" s="4">
        <v>0.26800000000000007</v>
      </c>
      <c r="J143" s="4">
        <v>0.32199999999999995</v>
      </c>
      <c r="K143" s="4">
        <v>0.43600000000000005</v>
      </c>
      <c r="L143" s="4">
        <v>1.254</v>
      </c>
      <c r="M143" s="4">
        <v>5.1059999999999999</v>
      </c>
    </row>
    <row r="144" spans="3:13" x14ac:dyDescent="0.2">
      <c r="C144" s="1">
        <v>45852</v>
      </c>
      <c r="D144" t="s">
        <v>62</v>
      </c>
      <c r="E144">
        <v>567</v>
      </c>
      <c r="F144">
        <v>64</v>
      </c>
      <c r="G144" s="4">
        <v>8.7899999999999991</v>
      </c>
      <c r="H144" s="4">
        <v>1.1525000000000001</v>
      </c>
      <c r="I144" s="4">
        <v>0.1275</v>
      </c>
      <c r="J144" s="4">
        <v>0.255</v>
      </c>
      <c r="K144" s="4">
        <v>0.22750000000000001</v>
      </c>
      <c r="L144" s="4">
        <v>1.2575000000000001</v>
      </c>
      <c r="M144" s="4">
        <v>5.7549999999999999</v>
      </c>
    </row>
    <row r="145" spans="3:13" x14ac:dyDescent="0.2">
      <c r="C145" s="1">
        <v>45849</v>
      </c>
      <c r="D145" t="s">
        <v>66</v>
      </c>
      <c r="E145">
        <v>608</v>
      </c>
      <c r="F145">
        <v>33</v>
      </c>
      <c r="G145" s="4">
        <v>8.4824999999999999</v>
      </c>
      <c r="H145" s="4">
        <v>0.88749999999999996</v>
      </c>
      <c r="I145" s="4">
        <v>0.32750000000000001</v>
      </c>
      <c r="J145" s="4">
        <v>0.2175</v>
      </c>
      <c r="K145" s="4">
        <v>0.71250000000000002</v>
      </c>
      <c r="L145" s="4">
        <v>1.0225</v>
      </c>
      <c r="M145" s="4">
        <v>5.2750000000000004</v>
      </c>
    </row>
    <row r="146" spans="3:13" x14ac:dyDescent="0.2">
      <c r="C146" s="1">
        <v>45848</v>
      </c>
      <c r="D146" t="s">
        <v>65</v>
      </c>
      <c r="E146">
        <v>651</v>
      </c>
      <c r="F146">
        <v>76</v>
      </c>
      <c r="G146" s="4">
        <v>8.6759999999999984</v>
      </c>
      <c r="H146" s="4">
        <v>1.4380000000000002</v>
      </c>
      <c r="I146" s="4">
        <v>0.34799999999999998</v>
      </c>
      <c r="J146" s="4">
        <v>0.23199999999999998</v>
      </c>
      <c r="K146" s="4">
        <v>0.73799999999999988</v>
      </c>
      <c r="L146" s="4">
        <v>1.1060000000000001</v>
      </c>
      <c r="M146" s="4">
        <v>4.798</v>
      </c>
    </row>
    <row r="147" spans="3:13" x14ac:dyDescent="0.2">
      <c r="C147" s="1">
        <v>45847</v>
      </c>
      <c r="D147" t="s">
        <v>64</v>
      </c>
      <c r="E147">
        <v>661</v>
      </c>
      <c r="F147">
        <v>87</v>
      </c>
      <c r="G147" s="4">
        <v>8.5960000000000001</v>
      </c>
      <c r="H147" s="4">
        <v>1.214</v>
      </c>
      <c r="I147" s="4">
        <v>0.188</v>
      </c>
      <c r="J147" s="4">
        <v>0.28799999999999998</v>
      </c>
      <c r="K147" s="4">
        <v>0.13</v>
      </c>
      <c r="L147" s="4">
        <v>1.056</v>
      </c>
      <c r="M147" s="4">
        <v>5.7060000000000004</v>
      </c>
    </row>
    <row r="148" spans="3:13" x14ac:dyDescent="0.2">
      <c r="C148" s="1">
        <v>45846</v>
      </c>
      <c r="D148" t="s">
        <v>63</v>
      </c>
      <c r="E148">
        <v>633</v>
      </c>
      <c r="F148">
        <v>71</v>
      </c>
      <c r="G148" s="4">
        <v>8.7440000000000015</v>
      </c>
      <c r="H148" s="4">
        <v>1.3599999999999999</v>
      </c>
      <c r="I148" s="4">
        <v>0.25999999999999995</v>
      </c>
      <c r="J148" s="4">
        <v>0.29399999999999998</v>
      </c>
      <c r="K148" s="4">
        <v>0.33600000000000002</v>
      </c>
      <c r="L148" s="4">
        <v>1.1339999999999999</v>
      </c>
      <c r="M148" s="4">
        <v>5.3159999999999998</v>
      </c>
    </row>
    <row r="149" spans="3:13" x14ac:dyDescent="0.2">
      <c r="C149" s="1">
        <v>45845</v>
      </c>
      <c r="D149" t="s">
        <v>62</v>
      </c>
      <c r="E149">
        <v>648</v>
      </c>
      <c r="F149">
        <v>69</v>
      </c>
      <c r="G149" s="4">
        <v>8.4559999999999995</v>
      </c>
      <c r="H149" s="4">
        <v>0.98199999999999998</v>
      </c>
      <c r="I149" s="4">
        <v>0.14399999999999999</v>
      </c>
      <c r="J149" s="4">
        <v>0.254</v>
      </c>
      <c r="K149" s="4">
        <v>0.12</v>
      </c>
      <c r="L149" s="4">
        <v>0.97599999999999998</v>
      </c>
      <c r="M149" s="4">
        <v>5.9359999999999999</v>
      </c>
    </row>
    <row r="150" spans="3:13" x14ac:dyDescent="0.2">
      <c r="C150" s="1">
        <v>45841</v>
      </c>
      <c r="D150" t="s">
        <v>65</v>
      </c>
      <c r="E150">
        <v>625</v>
      </c>
      <c r="F150">
        <v>49</v>
      </c>
      <c r="G150" s="4">
        <v>7.756666666666665</v>
      </c>
      <c r="H150" s="4">
        <v>1.34</v>
      </c>
      <c r="I150" s="4">
        <v>4.6666666666666669E-2</v>
      </c>
      <c r="J150" s="4">
        <v>0.16333333333333333</v>
      </c>
      <c r="K150" s="4">
        <v>0.14333333333333334</v>
      </c>
      <c r="L150" s="4">
        <v>1.1199999999999999</v>
      </c>
      <c r="M150" s="4">
        <v>4.9033333333333333</v>
      </c>
    </row>
    <row r="151" spans="3:13" x14ac:dyDescent="0.2">
      <c r="C151" s="1">
        <v>45840</v>
      </c>
      <c r="D151" t="s">
        <v>64</v>
      </c>
      <c r="E151">
        <v>656</v>
      </c>
      <c r="F151">
        <v>57</v>
      </c>
      <c r="G151" s="4">
        <v>8.2200000000000006</v>
      </c>
      <c r="H151" s="4">
        <v>0.84800000000000009</v>
      </c>
      <c r="I151" s="4">
        <v>0.20800000000000002</v>
      </c>
      <c r="J151" s="4">
        <v>0.19</v>
      </c>
      <c r="K151" s="4">
        <v>3.5999999999999997E-2</v>
      </c>
      <c r="L151" s="4">
        <v>1.1239999999999999</v>
      </c>
      <c r="M151" s="4">
        <v>5.7899999999999991</v>
      </c>
    </row>
    <row r="152" spans="3:13" x14ac:dyDescent="0.2">
      <c r="C152" s="1">
        <v>45839</v>
      </c>
      <c r="D152" t="s">
        <v>63</v>
      </c>
      <c r="E152">
        <v>674</v>
      </c>
      <c r="F152">
        <v>76</v>
      </c>
      <c r="G152" s="4">
        <v>8.5724999999999998</v>
      </c>
      <c r="H152" s="4">
        <v>1.31</v>
      </c>
      <c r="I152" s="4">
        <v>0.36249999999999999</v>
      </c>
      <c r="J152" s="4">
        <v>0.48249999999999998</v>
      </c>
      <c r="K152" s="4">
        <v>0.26</v>
      </c>
      <c r="L152" s="4">
        <v>1.0425</v>
      </c>
      <c r="M152" s="4">
        <v>5.0649999999999995</v>
      </c>
    </row>
    <row r="153" spans="3:13" x14ac:dyDescent="0.2">
      <c r="C153" s="1">
        <v>45838</v>
      </c>
      <c r="D153" t="s">
        <v>62</v>
      </c>
      <c r="E153">
        <v>603</v>
      </c>
      <c r="F153">
        <v>55</v>
      </c>
      <c r="G153" s="4">
        <v>8.442499999999999</v>
      </c>
      <c r="H153" s="4">
        <v>1.73</v>
      </c>
      <c r="I153" s="4">
        <v>0.43999999999999995</v>
      </c>
      <c r="J153" s="4">
        <v>0.44999999999999996</v>
      </c>
      <c r="K153" s="4">
        <v>0.1925</v>
      </c>
      <c r="L153" s="4">
        <v>0.92999999999999994</v>
      </c>
      <c r="M153" s="4">
        <v>4.6174999999999997</v>
      </c>
    </row>
    <row r="154" spans="3:13" x14ac:dyDescent="0.2">
      <c r="C154" s="1">
        <v>45835</v>
      </c>
      <c r="D154" t="s">
        <v>66</v>
      </c>
      <c r="E154">
        <v>609</v>
      </c>
      <c r="F154">
        <v>36</v>
      </c>
      <c r="G154" s="4">
        <v>8.5599999999999987</v>
      </c>
      <c r="H154" s="4">
        <v>0.85750000000000004</v>
      </c>
      <c r="I154" s="4">
        <v>0.34250000000000003</v>
      </c>
      <c r="J154" s="4">
        <v>0.36</v>
      </c>
      <c r="K154" s="4">
        <v>0.16750000000000001</v>
      </c>
      <c r="L154" s="4">
        <v>1.105</v>
      </c>
      <c r="M154" s="4">
        <v>5.6899999999999995</v>
      </c>
    </row>
    <row r="155" spans="3:13" x14ac:dyDescent="0.2">
      <c r="C155" s="1">
        <v>45834</v>
      </c>
      <c r="D155" t="s">
        <v>65</v>
      </c>
      <c r="E155">
        <v>631</v>
      </c>
      <c r="F155">
        <v>51</v>
      </c>
      <c r="G155" s="4">
        <v>7.67</v>
      </c>
      <c r="H155" s="4">
        <v>0.9</v>
      </c>
      <c r="I155" s="4">
        <v>0.17200000000000001</v>
      </c>
      <c r="J155" s="4">
        <v>0.30599999999999999</v>
      </c>
      <c r="K155" s="4">
        <v>1.3959999999999999</v>
      </c>
      <c r="L155" s="4">
        <v>0.87999999999999989</v>
      </c>
      <c r="M155" s="4">
        <v>3.9780000000000002</v>
      </c>
    </row>
    <row r="156" spans="3:13" x14ac:dyDescent="0.2">
      <c r="C156" s="1">
        <v>45833</v>
      </c>
      <c r="D156" t="s">
        <v>64</v>
      </c>
      <c r="E156">
        <v>686</v>
      </c>
      <c r="F156">
        <v>99</v>
      </c>
      <c r="G156" s="4">
        <v>8.6319999999999997</v>
      </c>
      <c r="H156" s="4">
        <v>1.5740000000000003</v>
      </c>
      <c r="I156" s="4">
        <v>0.26</v>
      </c>
      <c r="J156" s="4">
        <v>0.42200000000000004</v>
      </c>
      <c r="K156" s="4">
        <v>0.24400000000000005</v>
      </c>
      <c r="L156" s="4">
        <v>1.1360000000000001</v>
      </c>
      <c r="M156" s="4">
        <v>4.9880000000000004</v>
      </c>
    </row>
    <row r="157" spans="3:13" x14ac:dyDescent="0.2">
      <c r="C157" s="1">
        <v>45832</v>
      </c>
      <c r="D157" t="s">
        <v>63</v>
      </c>
      <c r="E157">
        <v>632</v>
      </c>
      <c r="F157">
        <v>95</v>
      </c>
      <c r="G157" s="4">
        <v>8.8180000000000014</v>
      </c>
      <c r="H157" s="4">
        <v>1.33</v>
      </c>
      <c r="I157" s="4">
        <v>0.26200000000000001</v>
      </c>
      <c r="J157" s="4">
        <v>0.372</v>
      </c>
      <c r="K157" s="4">
        <v>6.9999999999999993E-2</v>
      </c>
      <c r="L157" s="4">
        <v>1.292</v>
      </c>
      <c r="M157" s="4">
        <v>5.4580000000000002</v>
      </c>
    </row>
    <row r="158" spans="3:13" x14ac:dyDescent="0.2">
      <c r="C158" s="1">
        <v>45831</v>
      </c>
      <c r="D158" t="s">
        <v>62</v>
      </c>
      <c r="E158">
        <v>630</v>
      </c>
      <c r="F158">
        <v>46</v>
      </c>
      <c r="G158" s="4">
        <v>8.6140000000000008</v>
      </c>
      <c r="H158" s="4">
        <v>0.84599999999999986</v>
      </c>
      <c r="I158" s="4">
        <v>0.21200000000000002</v>
      </c>
      <c r="J158" s="4">
        <v>0.24199999999999999</v>
      </c>
      <c r="K158" s="4">
        <v>9.1999999999999998E-2</v>
      </c>
      <c r="L158" s="4">
        <v>1.1239999999999999</v>
      </c>
      <c r="M158" s="4">
        <v>6.0860000000000003</v>
      </c>
    </row>
    <row r="159" spans="3:13" x14ac:dyDescent="0.2">
      <c r="C159" s="1">
        <v>45828</v>
      </c>
      <c r="D159" t="s">
        <v>66</v>
      </c>
      <c r="E159">
        <v>624</v>
      </c>
      <c r="F159">
        <v>55</v>
      </c>
      <c r="G159" s="4">
        <v>8.6866666666666674</v>
      </c>
      <c r="H159" s="4">
        <v>1.3233333333333335</v>
      </c>
      <c r="I159" s="4">
        <v>0.18666666666666668</v>
      </c>
      <c r="J159" s="4">
        <v>0.35666666666666669</v>
      </c>
      <c r="K159" s="4">
        <v>0.23333333333333331</v>
      </c>
      <c r="L159" s="4">
        <v>1.1900000000000002</v>
      </c>
      <c r="M159" s="4">
        <v>5.3966666666666656</v>
      </c>
    </row>
    <row r="160" spans="3:13" x14ac:dyDescent="0.2">
      <c r="C160" s="1">
        <v>45826</v>
      </c>
      <c r="D160" t="s">
        <v>64</v>
      </c>
      <c r="E160">
        <v>672</v>
      </c>
      <c r="F160">
        <v>73</v>
      </c>
      <c r="G160" s="4">
        <v>8.2159999999999993</v>
      </c>
      <c r="H160" s="4">
        <v>1.4120000000000001</v>
      </c>
      <c r="I160" s="4">
        <v>0.26</v>
      </c>
      <c r="J160" s="4">
        <v>0.27199999999999996</v>
      </c>
      <c r="K160" s="4">
        <v>3.2000000000000001E-2</v>
      </c>
      <c r="L160" s="4">
        <v>1.26</v>
      </c>
      <c r="M160" s="4">
        <v>4.9380000000000006</v>
      </c>
    </row>
    <row r="161" spans="3:13" x14ac:dyDescent="0.2">
      <c r="C161" s="1">
        <v>45825</v>
      </c>
      <c r="D161" t="s">
        <v>63</v>
      </c>
      <c r="E161">
        <v>702</v>
      </c>
      <c r="F161">
        <v>88</v>
      </c>
      <c r="G161" s="4">
        <v>8.7440000000000015</v>
      </c>
      <c r="H161" s="4">
        <v>1.4259999999999999</v>
      </c>
      <c r="I161" s="4">
        <v>0.29000000000000004</v>
      </c>
      <c r="J161" s="4">
        <v>0.41399999999999998</v>
      </c>
      <c r="K161" s="4">
        <v>0</v>
      </c>
      <c r="L161" s="4">
        <v>1.1999999999999997</v>
      </c>
      <c r="M161" s="4">
        <v>5.3800000000000008</v>
      </c>
    </row>
    <row r="162" spans="3:13" x14ac:dyDescent="0.2">
      <c r="C162" s="1">
        <v>45824</v>
      </c>
      <c r="D162" t="s">
        <v>62</v>
      </c>
      <c r="E162">
        <v>160</v>
      </c>
      <c r="F162">
        <v>53</v>
      </c>
      <c r="G162" s="4">
        <v>8.9420000000000019</v>
      </c>
      <c r="H162" s="4">
        <v>1.3080000000000001</v>
      </c>
      <c r="I162" s="4">
        <v>0.152</v>
      </c>
      <c r="J162" s="4">
        <v>0.30199999999999999</v>
      </c>
      <c r="K162" s="4">
        <v>0.33399999999999996</v>
      </c>
      <c r="L162" s="4">
        <v>1.3220000000000001</v>
      </c>
      <c r="M162" s="4">
        <v>5.51</v>
      </c>
    </row>
    <row r="163" spans="3:13" x14ac:dyDescent="0.2">
      <c r="C163" s="1">
        <v>45821</v>
      </c>
      <c r="D163" t="s">
        <v>66</v>
      </c>
      <c r="E163">
        <v>654</v>
      </c>
      <c r="F163">
        <v>45</v>
      </c>
      <c r="G163" s="4">
        <v>7.5124999999999993</v>
      </c>
      <c r="H163" s="4">
        <v>0.97750000000000004</v>
      </c>
      <c r="I163" s="4">
        <v>0.39499999999999996</v>
      </c>
      <c r="J163" s="4">
        <v>0.2525</v>
      </c>
      <c r="K163" s="4">
        <v>0.1875</v>
      </c>
      <c r="L163" s="4">
        <v>0.93500000000000005</v>
      </c>
      <c r="M163" s="4">
        <v>4.7374999999999998</v>
      </c>
    </row>
    <row r="164" spans="3:13" x14ac:dyDescent="0.2">
      <c r="C164" s="1">
        <v>45820</v>
      </c>
      <c r="D164" t="s">
        <v>65</v>
      </c>
      <c r="E164">
        <v>671</v>
      </c>
      <c r="F164">
        <v>62</v>
      </c>
      <c r="G164" s="4">
        <v>8.4224999999999994</v>
      </c>
      <c r="H164" s="4">
        <v>1.2650000000000001</v>
      </c>
      <c r="I164" s="4">
        <v>0.14749999999999999</v>
      </c>
      <c r="J164" s="4">
        <v>0.36499999999999999</v>
      </c>
      <c r="K164" s="4">
        <v>0.27249999999999996</v>
      </c>
      <c r="L164" s="4">
        <v>0.95250000000000001</v>
      </c>
      <c r="M164" s="4">
        <v>5.3725000000000005</v>
      </c>
    </row>
    <row r="165" spans="3:13" x14ac:dyDescent="0.2">
      <c r="C165" s="1">
        <v>45819</v>
      </c>
      <c r="D165" t="s">
        <v>64</v>
      </c>
      <c r="E165">
        <v>684</v>
      </c>
      <c r="F165">
        <v>82</v>
      </c>
      <c r="G165" s="4">
        <v>8.7974999999999994</v>
      </c>
      <c r="H165" s="4">
        <v>1.2124999999999999</v>
      </c>
      <c r="I165" s="4">
        <v>0.20750000000000002</v>
      </c>
      <c r="J165" s="4">
        <v>0.28250000000000003</v>
      </c>
      <c r="K165" s="4">
        <v>0.1925</v>
      </c>
      <c r="L165" s="4">
        <v>1.2224999999999999</v>
      </c>
      <c r="M165" s="4">
        <v>5.6725000000000003</v>
      </c>
    </row>
    <row r="166" spans="3:13" x14ac:dyDescent="0.2">
      <c r="C166" s="1">
        <v>45818</v>
      </c>
      <c r="D166" t="s">
        <v>63</v>
      </c>
      <c r="E166">
        <v>716</v>
      </c>
      <c r="F166">
        <v>70</v>
      </c>
      <c r="G166" s="4">
        <v>7.7539999999999996</v>
      </c>
      <c r="H166" s="4">
        <v>1.2579999999999998</v>
      </c>
      <c r="I166" s="4">
        <v>0.23599999999999999</v>
      </c>
      <c r="J166" s="4">
        <v>0.24200000000000005</v>
      </c>
      <c r="K166" s="4">
        <v>0.34399999999999997</v>
      </c>
      <c r="L166" s="4">
        <v>0.95</v>
      </c>
      <c r="M166" s="4">
        <v>4.7039999999999997</v>
      </c>
    </row>
    <row r="167" spans="3:13" x14ac:dyDescent="0.2">
      <c r="C167" s="1">
        <v>45817</v>
      </c>
      <c r="D167" t="s">
        <v>62</v>
      </c>
      <c r="E167">
        <v>631</v>
      </c>
      <c r="F167">
        <v>61</v>
      </c>
      <c r="G167" s="4">
        <v>7.7519999999999998</v>
      </c>
      <c r="H167" s="4">
        <v>1.282</v>
      </c>
      <c r="I167" s="4">
        <v>0.27200000000000002</v>
      </c>
      <c r="J167" s="4">
        <v>0.248</v>
      </c>
      <c r="K167" s="4">
        <v>0.21799999999999997</v>
      </c>
      <c r="L167" s="4">
        <v>0.90600000000000003</v>
      </c>
      <c r="M167" s="4">
        <v>4.7379999999999995</v>
      </c>
    </row>
    <row r="168" spans="3:13" x14ac:dyDescent="0.2">
      <c r="C168" s="1">
        <v>45814</v>
      </c>
      <c r="D168" t="s">
        <v>66</v>
      </c>
      <c r="E168">
        <v>647</v>
      </c>
      <c r="F168">
        <v>55</v>
      </c>
      <c r="G168" s="4">
        <v>8.0824999999999996</v>
      </c>
      <c r="H168" s="4">
        <v>1.1399999999999999</v>
      </c>
      <c r="I168" s="4">
        <v>0.32250000000000001</v>
      </c>
      <c r="J168" s="4">
        <v>0.315</v>
      </c>
      <c r="K168" s="4">
        <v>0</v>
      </c>
      <c r="L168" s="4">
        <v>1.0874999999999999</v>
      </c>
      <c r="M168" s="4">
        <v>5.2075000000000005</v>
      </c>
    </row>
    <row r="169" spans="3:13" x14ac:dyDescent="0.2">
      <c r="C169" s="1">
        <v>45813</v>
      </c>
      <c r="D169" t="s">
        <v>65</v>
      </c>
      <c r="E169">
        <v>691</v>
      </c>
      <c r="F169">
        <v>56</v>
      </c>
      <c r="G169" s="4">
        <v>8.61</v>
      </c>
      <c r="H169" s="4">
        <v>1.196</v>
      </c>
      <c r="I169" s="4">
        <v>0.248</v>
      </c>
      <c r="J169" s="4">
        <v>0.248</v>
      </c>
      <c r="K169" s="4">
        <v>1.302</v>
      </c>
      <c r="L169" s="4">
        <v>1.04</v>
      </c>
      <c r="M169" s="4">
        <v>4.5540000000000003</v>
      </c>
    </row>
    <row r="170" spans="3:13" x14ac:dyDescent="0.2">
      <c r="C170" s="1">
        <v>45812</v>
      </c>
      <c r="D170" t="s">
        <v>64</v>
      </c>
      <c r="E170">
        <v>696</v>
      </c>
      <c r="F170">
        <v>69</v>
      </c>
      <c r="G170" s="4">
        <v>8.4779999999999998</v>
      </c>
      <c r="H170" s="4">
        <v>1.476</v>
      </c>
      <c r="I170" s="4">
        <v>0.20800000000000002</v>
      </c>
      <c r="J170" s="4">
        <v>0.33399999999999996</v>
      </c>
      <c r="K170" s="4">
        <v>0</v>
      </c>
      <c r="L170" s="4">
        <v>1</v>
      </c>
      <c r="M170" s="4">
        <v>5.4479999999999995</v>
      </c>
    </row>
    <row r="171" spans="3:13" x14ac:dyDescent="0.2">
      <c r="C171" s="1">
        <v>45811</v>
      </c>
      <c r="D171" t="s">
        <v>63</v>
      </c>
      <c r="E171">
        <v>746</v>
      </c>
      <c r="F171">
        <v>90</v>
      </c>
      <c r="G171" s="4">
        <v>8.5619999999999994</v>
      </c>
      <c r="H171" s="4">
        <v>1.55</v>
      </c>
      <c r="I171" s="4">
        <v>0.312</v>
      </c>
      <c r="J171" s="4">
        <v>0.33399999999999996</v>
      </c>
      <c r="K171" s="4">
        <v>0</v>
      </c>
      <c r="L171" s="4">
        <v>1.02</v>
      </c>
      <c r="M171" s="4">
        <v>5.2939999999999996</v>
      </c>
    </row>
    <row r="172" spans="3:13" x14ac:dyDescent="0.2">
      <c r="C172" s="1">
        <v>45810</v>
      </c>
      <c r="D172" t="s">
        <v>62</v>
      </c>
      <c r="E172">
        <v>741</v>
      </c>
      <c r="F172">
        <v>71</v>
      </c>
      <c r="G172" s="4">
        <v>8.75</v>
      </c>
      <c r="H172" s="4">
        <v>1.7000000000000002</v>
      </c>
      <c r="I172" s="4">
        <v>0.13750000000000001</v>
      </c>
      <c r="J172" s="4">
        <v>0.29000000000000004</v>
      </c>
      <c r="K172" s="4">
        <v>4.7500000000000001E-2</v>
      </c>
      <c r="L172" s="4">
        <v>1.2275</v>
      </c>
      <c r="M172" s="4">
        <v>5.3249999999999993</v>
      </c>
    </row>
    <row r="173" spans="3:13" x14ac:dyDescent="0.2">
      <c r="C173" s="1">
        <v>45807</v>
      </c>
      <c r="D173" t="s">
        <v>66</v>
      </c>
      <c r="E173">
        <v>712</v>
      </c>
      <c r="F173">
        <v>44</v>
      </c>
      <c r="G173" s="4">
        <v>8.5620000000000012</v>
      </c>
      <c r="H173" s="4">
        <v>0.78200000000000003</v>
      </c>
      <c r="I173" s="4">
        <v>0.24399999999999999</v>
      </c>
      <c r="J173" s="4">
        <v>0.29199999999999998</v>
      </c>
      <c r="K173" s="4">
        <v>0</v>
      </c>
      <c r="L173" s="4">
        <v>1.1240000000000001</v>
      </c>
      <c r="M173" s="4">
        <v>6.1</v>
      </c>
    </row>
    <row r="174" spans="3:13" x14ac:dyDescent="0.2">
      <c r="C174" s="1">
        <v>45806</v>
      </c>
      <c r="D174" t="s">
        <v>65</v>
      </c>
      <c r="E174">
        <v>713</v>
      </c>
      <c r="F174">
        <v>71</v>
      </c>
      <c r="G174" s="4">
        <v>7.7560000000000002</v>
      </c>
      <c r="H174" s="4">
        <v>1.264</v>
      </c>
      <c r="I174" s="4">
        <v>0.40600000000000003</v>
      </c>
      <c r="J174" s="4">
        <v>0.32800000000000001</v>
      </c>
      <c r="K174" s="4">
        <v>0</v>
      </c>
      <c r="L174" s="4">
        <v>1.0219999999999998</v>
      </c>
      <c r="M174" s="4">
        <v>4.7060000000000004</v>
      </c>
    </row>
    <row r="175" spans="3:13" x14ac:dyDescent="0.2">
      <c r="C175" s="1">
        <v>45805</v>
      </c>
      <c r="D175" t="s">
        <v>64</v>
      </c>
      <c r="E175">
        <v>755</v>
      </c>
      <c r="F175">
        <v>110</v>
      </c>
      <c r="G175" s="4">
        <v>8.8279999999999994</v>
      </c>
      <c r="H175" s="4">
        <v>1.6059999999999999</v>
      </c>
      <c r="I175" s="4">
        <v>0.27199999999999996</v>
      </c>
      <c r="J175" s="4">
        <v>0.30999999999999994</v>
      </c>
      <c r="K175" s="4">
        <v>1.3519999999999999</v>
      </c>
      <c r="L175" s="4">
        <v>1.278</v>
      </c>
      <c r="M175" s="4">
        <v>3.9460000000000002</v>
      </c>
    </row>
    <row r="176" spans="3:13" x14ac:dyDescent="0.2">
      <c r="C176" s="1">
        <v>45804</v>
      </c>
      <c r="D176" t="s">
        <v>63</v>
      </c>
      <c r="E176">
        <v>698</v>
      </c>
      <c r="F176">
        <v>53</v>
      </c>
      <c r="G176" s="4">
        <v>8.7416666666666671</v>
      </c>
      <c r="H176" s="4">
        <v>0.75333333333333341</v>
      </c>
      <c r="I176" s="4">
        <v>0.36000000000000004</v>
      </c>
      <c r="J176" s="4">
        <v>0.22833333333333336</v>
      </c>
      <c r="K176" s="4">
        <v>4.6666666666666669E-2</v>
      </c>
      <c r="L176" s="4">
        <v>1.1583333333333334</v>
      </c>
      <c r="M176" s="4">
        <v>6.1849999999999987</v>
      </c>
    </row>
    <row r="177" spans="3:13" x14ac:dyDescent="0.2">
      <c r="C177" s="1">
        <v>45800</v>
      </c>
      <c r="D177" t="s">
        <v>66</v>
      </c>
      <c r="E177">
        <v>672</v>
      </c>
      <c r="F177">
        <v>39</v>
      </c>
      <c r="G177" s="4">
        <v>8.7066666666666688</v>
      </c>
      <c r="H177" s="4">
        <v>1.4799999999999998</v>
      </c>
      <c r="I177" s="4">
        <v>0.49333333333333335</v>
      </c>
      <c r="J177" s="4">
        <v>0.25666666666666665</v>
      </c>
      <c r="K177" s="4">
        <v>7.3333333333333334E-2</v>
      </c>
      <c r="L177" s="4">
        <v>1.2166666666666666</v>
      </c>
      <c r="M177" s="4">
        <v>5.1733333333333329</v>
      </c>
    </row>
    <row r="178" spans="3:13" x14ac:dyDescent="0.2">
      <c r="C178" s="1">
        <v>45799</v>
      </c>
      <c r="D178" t="s">
        <v>65</v>
      </c>
      <c r="E178">
        <v>716</v>
      </c>
      <c r="F178">
        <v>60</v>
      </c>
      <c r="G178" s="4">
        <v>8.8349999999999991</v>
      </c>
      <c r="H178" s="4">
        <v>1.1633333333333333</v>
      </c>
      <c r="I178" s="4">
        <v>0.21666666666666665</v>
      </c>
      <c r="J178" s="4">
        <v>0.21166666666666667</v>
      </c>
      <c r="K178" s="4">
        <v>0.55166666666666664</v>
      </c>
      <c r="L178" s="4">
        <v>1.3033333333333335</v>
      </c>
      <c r="M178" s="4">
        <v>5.3366666666666669</v>
      </c>
    </row>
    <row r="179" spans="3:13" x14ac:dyDescent="0.2">
      <c r="C179" s="1">
        <v>45798</v>
      </c>
      <c r="D179" t="s">
        <v>64</v>
      </c>
      <c r="E179">
        <v>731</v>
      </c>
      <c r="F179">
        <v>47</v>
      </c>
      <c r="G179" s="4">
        <v>8.7949999999999999</v>
      </c>
      <c r="H179" s="4">
        <v>0.71500000000000019</v>
      </c>
      <c r="I179" s="4">
        <v>0.12666666666666668</v>
      </c>
      <c r="J179" s="4">
        <v>0.155</v>
      </c>
      <c r="K179" s="4">
        <v>0.17333333333333334</v>
      </c>
      <c r="L179" s="4">
        <v>1.2433333333333334</v>
      </c>
      <c r="M179" s="4">
        <v>6.3183333333333342</v>
      </c>
    </row>
    <row r="180" spans="3:13" x14ac:dyDescent="0.2">
      <c r="C180" s="1">
        <v>45797</v>
      </c>
      <c r="D180" t="s">
        <v>63</v>
      </c>
      <c r="E180">
        <v>765</v>
      </c>
      <c r="F180">
        <v>110</v>
      </c>
      <c r="G180" s="4">
        <v>8.9419999999999984</v>
      </c>
      <c r="H180" s="4">
        <v>1.49</v>
      </c>
      <c r="I180" s="4">
        <v>0.23600000000000004</v>
      </c>
      <c r="J180" s="4">
        <v>0.35799999999999998</v>
      </c>
      <c r="K180" s="4">
        <v>0.14599999999999999</v>
      </c>
      <c r="L180" s="4">
        <v>1.2799999999999998</v>
      </c>
      <c r="M180" s="4">
        <v>5.4180000000000001</v>
      </c>
    </row>
    <row r="181" spans="3:13" x14ac:dyDescent="0.2">
      <c r="C181" s="1">
        <v>45796</v>
      </c>
      <c r="D181" t="s">
        <v>62</v>
      </c>
      <c r="E181">
        <v>703</v>
      </c>
      <c r="F181">
        <v>86</v>
      </c>
      <c r="G181" s="4">
        <v>8.8539999999999992</v>
      </c>
      <c r="H181" s="4">
        <v>1.482</v>
      </c>
      <c r="I181" s="4">
        <v>0.19800000000000001</v>
      </c>
      <c r="J181" s="4">
        <v>0.30199999999999994</v>
      </c>
      <c r="K181" s="4">
        <v>0.11599999999999999</v>
      </c>
      <c r="L181" s="4">
        <v>1.3</v>
      </c>
      <c r="M181" s="4">
        <v>5.4320000000000004</v>
      </c>
    </row>
    <row r="182" spans="3:13" x14ac:dyDescent="0.2">
      <c r="C182" s="1">
        <v>45793</v>
      </c>
      <c r="D182" t="s">
        <v>66</v>
      </c>
      <c r="E182">
        <v>709</v>
      </c>
      <c r="F182">
        <v>55</v>
      </c>
      <c r="G182" s="4">
        <v>8.754999999999999</v>
      </c>
      <c r="H182" s="4">
        <v>1.2524999999999999</v>
      </c>
      <c r="I182" s="4">
        <v>9.7500000000000003E-2</v>
      </c>
      <c r="J182" s="4">
        <v>0.33</v>
      </c>
      <c r="K182" s="4">
        <v>0.2</v>
      </c>
      <c r="L182" s="4">
        <v>1.43</v>
      </c>
      <c r="M182" s="4">
        <v>5.4325000000000001</v>
      </c>
    </row>
    <row r="183" spans="3:13" x14ac:dyDescent="0.2">
      <c r="C183" s="1">
        <v>45792</v>
      </c>
      <c r="D183" t="s">
        <v>65</v>
      </c>
      <c r="E183">
        <v>717</v>
      </c>
      <c r="F183">
        <v>40</v>
      </c>
      <c r="G183" s="4">
        <v>8.7949999999999999</v>
      </c>
      <c r="H183" s="4">
        <v>0.93500000000000005</v>
      </c>
      <c r="I183" s="4">
        <v>0.14000000000000001</v>
      </c>
      <c r="J183" s="4">
        <v>0.23249999999999998</v>
      </c>
      <c r="K183" s="4">
        <v>2.5000000000000001E-3</v>
      </c>
      <c r="L183" s="4">
        <v>1.3199999999999998</v>
      </c>
      <c r="M183" s="4">
        <v>6.1624999999999996</v>
      </c>
    </row>
    <row r="184" spans="3:13" x14ac:dyDescent="0.2">
      <c r="C184" s="1">
        <v>45791</v>
      </c>
      <c r="D184" t="s">
        <v>64</v>
      </c>
      <c r="E184">
        <v>752</v>
      </c>
      <c r="F184">
        <v>80</v>
      </c>
      <c r="G184" s="4">
        <v>8.1900000000000013</v>
      </c>
      <c r="H184" s="4">
        <v>1.375</v>
      </c>
      <c r="I184" s="4">
        <v>0.16500000000000001</v>
      </c>
      <c r="J184" s="4">
        <v>0.23666666666666669</v>
      </c>
      <c r="K184" s="4">
        <v>0</v>
      </c>
      <c r="L184" s="4">
        <v>1.1483333333333332</v>
      </c>
      <c r="M184" s="4">
        <v>5.245000000000001</v>
      </c>
    </row>
    <row r="185" spans="3:13" x14ac:dyDescent="0.2">
      <c r="C185" s="1">
        <v>45790</v>
      </c>
      <c r="D185" t="s">
        <v>63</v>
      </c>
      <c r="E185">
        <v>791</v>
      </c>
      <c r="F185">
        <v>119</v>
      </c>
      <c r="G185" s="4">
        <v>8.0649999999999995</v>
      </c>
      <c r="H185" s="4">
        <v>1.3666666666666669</v>
      </c>
      <c r="I185" s="4">
        <v>0.12166666666666666</v>
      </c>
      <c r="J185" s="4">
        <v>0.19833333333333333</v>
      </c>
      <c r="K185" s="4">
        <v>0.3066666666666667</v>
      </c>
      <c r="L185" s="4">
        <v>0.97666666666666668</v>
      </c>
      <c r="M185" s="4">
        <v>5.083333333333333</v>
      </c>
    </row>
    <row r="186" spans="3:13" x14ac:dyDescent="0.2">
      <c r="C186" s="1">
        <v>45789</v>
      </c>
      <c r="D186" t="s">
        <v>62</v>
      </c>
      <c r="E186">
        <v>765</v>
      </c>
      <c r="F186">
        <v>71</v>
      </c>
      <c r="G186" s="4">
        <v>8.875</v>
      </c>
      <c r="H186" s="4">
        <v>1.0966666666666669</v>
      </c>
      <c r="I186" s="4">
        <v>0.21833333333333335</v>
      </c>
      <c r="J186" s="4">
        <v>0.23833333333333331</v>
      </c>
      <c r="K186" s="4">
        <v>4.9999999999999996E-2</v>
      </c>
      <c r="L186" s="4">
        <v>1.3233333333333335</v>
      </c>
      <c r="M186" s="4">
        <v>5.9416666666666664</v>
      </c>
    </row>
    <row r="187" spans="3:13" x14ac:dyDescent="0.2">
      <c r="C187" s="1">
        <v>45786</v>
      </c>
      <c r="D187" t="s">
        <v>66</v>
      </c>
      <c r="E187">
        <v>711</v>
      </c>
      <c r="F187">
        <v>33</v>
      </c>
      <c r="G187" s="4">
        <v>8.34</v>
      </c>
      <c r="H187" s="4">
        <v>0.65166666666666673</v>
      </c>
      <c r="I187" s="4">
        <v>0.19833333333333333</v>
      </c>
      <c r="J187" s="4">
        <v>0.13833333333333334</v>
      </c>
      <c r="K187" s="4">
        <v>5.1666666666666666E-2</v>
      </c>
      <c r="L187" s="4">
        <v>1.2250000000000001</v>
      </c>
      <c r="M187" s="4">
        <v>6.0533333333333337</v>
      </c>
    </row>
    <row r="188" spans="3:13" x14ac:dyDescent="0.2">
      <c r="C188" s="1">
        <v>45785</v>
      </c>
      <c r="D188" t="s">
        <v>65</v>
      </c>
      <c r="E188">
        <v>600</v>
      </c>
      <c r="F188">
        <v>82</v>
      </c>
      <c r="G188" s="4">
        <v>8.5633333333333326</v>
      </c>
      <c r="H188" s="4">
        <v>0.85666666666666658</v>
      </c>
      <c r="I188" s="4">
        <v>9.5000000000000015E-2</v>
      </c>
      <c r="J188" s="4">
        <v>0.11499999999999999</v>
      </c>
      <c r="K188" s="4">
        <v>0.76500000000000001</v>
      </c>
      <c r="L188" s="4">
        <v>1.2649999999999999</v>
      </c>
      <c r="M188" s="4">
        <v>5.4249999999999998</v>
      </c>
    </row>
    <row r="189" spans="3:13" x14ac:dyDescent="0.2">
      <c r="C189" s="1">
        <v>45784</v>
      </c>
      <c r="D189" t="s">
        <v>64</v>
      </c>
      <c r="E189">
        <v>777</v>
      </c>
      <c r="F189">
        <v>133</v>
      </c>
      <c r="G189" s="4">
        <v>8.7566666666666659</v>
      </c>
      <c r="H189" s="4">
        <v>1.24</v>
      </c>
      <c r="I189" s="4">
        <v>0.15666666666666665</v>
      </c>
      <c r="J189" s="4">
        <v>0.22500000000000001</v>
      </c>
      <c r="K189" s="4">
        <v>0.155</v>
      </c>
      <c r="L189" s="4">
        <v>1.2566666666666668</v>
      </c>
      <c r="M189" s="4">
        <v>5.708333333333333</v>
      </c>
    </row>
    <row r="190" spans="3:13" x14ac:dyDescent="0.2">
      <c r="C190" s="1">
        <v>45783</v>
      </c>
      <c r="D190" t="s">
        <v>63</v>
      </c>
      <c r="E190">
        <v>806</v>
      </c>
      <c r="F190">
        <v>144</v>
      </c>
      <c r="G190" s="4">
        <v>8.8033333333333328</v>
      </c>
      <c r="H190" s="4">
        <v>1.6333333333333335</v>
      </c>
      <c r="I190" s="4">
        <v>0.19833333333333333</v>
      </c>
      <c r="J190" s="4">
        <v>0.30166666666666669</v>
      </c>
      <c r="K190" s="4">
        <v>0.59</v>
      </c>
      <c r="L190" s="4">
        <v>1.32</v>
      </c>
      <c r="M190" s="4">
        <v>4.7366666666666672</v>
      </c>
    </row>
    <row r="191" spans="3:13" x14ac:dyDescent="0.2">
      <c r="C191" s="1">
        <v>45782</v>
      </c>
      <c r="D191" t="s">
        <v>62</v>
      </c>
      <c r="E191">
        <v>746</v>
      </c>
      <c r="F191">
        <v>75</v>
      </c>
      <c r="G191" s="4">
        <v>8.8416666666666668</v>
      </c>
      <c r="H191" s="4">
        <v>1.43</v>
      </c>
      <c r="I191" s="4">
        <v>0.18499999999999997</v>
      </c>
      <c r="J191" s="4">
        <v>0.20166666666666666</v>
      </c>
      <c r="K191" s="4">
        <v>0.18166666666666664</v>
      </c>
      <c r="L191" s="4">
        <v>1.2316666666666667</v>
      </c>
      <c r="M191" s="4">
        <v>5.6050000000000004</v>
      </c>
    </row>
    <row r="192" spans="3:13" x14ac:dyDescent="0.2">
      <c r="C192" s="1">
        <v>45779</v>
      </c>
      <c r="D192" t="s">
        <v>66</v>
      </c>
      <c r="E192">
        <v>742</v>
      </c>
      <c r="F192">
        <v>54</v>
      </c>
      <c r="G192" s="4">
        <v>7.85</v>
      </c>
      <c r="H192" s="4">
        <v>1.014</v>
      </c>
      <c r="I192" s="4">
        <v>9.1999999999999998E-2</v>
      </c>
      <c r="J192" s="4">
        <v>0.17</v>
      </c>
      <c r="K192" s="4">
        <v>7.8E-2</v>
      </c>
      <c r="L192" s="4">
        <v>1.036</v>
      </c>
      <c r="M192" s="4">
        <v>5.4379999999999997</v>
      </c>
    </row>
    <row r="193" spans="3:13" x14ac:dyDescent="0.2">
      <c r="C193" s="1">
        <v>45778</v>
      </c>
      <c r="D193" t="s">
        <v>65</v>
      </c>
      <c r="E193">
        <v>765</v>
      </c>
      <c r="F193">
        <v>42</v>
      </c>
      <c r="G193" s="4">
        <v>8.6083333333333325</v>
      </c>
      <c r="H193" s="4">
        <v>0.78833333333333344</v>
      </c>
      <c r="I193" s="4">
        <v>0.10999999999999999</v>
      </c>
      <c r="J193" s="4">
        <v>0.1516666666666667</v>
      </c>
      <c r="K193" s="4">
        <v>0.57666666666666666</v>
      </c>
      <c r="L193" s="4">
        <v>1.18</v>
      </c>
      <c r="M193" s="4">
        <v>5.7850000000000001</v>
      </c>
    </row>
    <row r="194" spans="3:13" x14ac:dyDescent="0.2">
      <c r="C194" s="1">
        <v>45777</v>
      </c>
      <c r="D194" t="s">
        <v>64</v>
      </c>
      <c r="E194">
        <v>789</v>
      </c>
      <c r="F194">
        <v>71</v>
      </c>
      <c r="G194" s="4">
        <v>8.7366666666666664</v>
      </c>
      <c r="H194" s="4">
        <v>1.0516666666666665</v>
      </c>
      <c r="I194" s="4">
        <v>0.12833333333333333</v>
      </c>
      <c r="J194" s="4">
        <v>0.14333333333333334</v>
      </c>
      <c r="K194" s="4">
        <v>1.0266666666666666</v>
      </c>
      <c r="L194" s="4">
        <v>1.155</v>
      </c>
      <c r="M194" s="4">
        <v>5.22</v>
      </c>
    </row>
    <row r="195" spans="3:13" x14ac:dyDescent="0.2">
      <c r="C195" s="1">
        <v>45776</v>
      </c>
      <c r="D195" t="s">
        <v>63</v>
      </c>
      <c r="E195">
        <v>815</v>
      </c>
      <c r="F195">
        <v>75</v>
      </c>
      <c r="G195" s="4">
        <v>8.6216666666666679</v>
      </c>
      <c r="H195" s="4">
        <v>1.3049999999999999</v>
      </c>
      <c r="I195" s="4">
        <v>0.36166666666666664</v>
      </c>
      <c r="J195" s="4">
        <v>0.19833333333333333</v>
      </c>
      <c r="K195" s="4">
        <v>0.18833333333333332</v>
      </c>
      <c r="L195" s="4">
        <v>1.0866666666666667</v>
      </c>
      <c r="M195" s="4">
        <v>5.4266666666666667</v>
      </c>
    </row>
    <row r="196" spans="3:13" x14ac:dyDescent="0.2">
      <c r="C196" s="1">
        <v>45775</v>
      </c>
      <c r="D196" t="s">
        <v>62</v>
      </c>
      <c r="E196">
        <v>821</v>
      </c>
      <c r="F196">
        <v>101</v>
      </c>
      <c r="G196" s="4">
        <v>8.67</v>
      </c>
      <c r="H196" s="4">
        <v>0.92499999999999993</v>
      </c>
      <c r="I196" s="4">
        <v>0.13500000000000001</v>
      </c>
      <c r="J196" s="4">
        <v>0.19500000000000003</v>
      </c>
      <c r="K196" s="4">
        <v>0.14833333333333334</v>
      </c>
      <c r="L196" s="4">
        <v>1.2250000000000001</v>
      </c>
      <c r="M196" s="4">
        <v>6.0249999999999995</v>
      </c>
    </row>
    <row r="197" spans="3:13" x14ac:dyDescent="0.2">
      <c r="C197" s="1">
        <v>45772</v>
      </c>
      <c r="D197" t="s">
        <v>66</v>
      </c>
      <c r="E197">
        <v>795</v>
      </c>
      <c r="F197">
        <v>46</v>
      </c>
      <c r="G197" s="4">
        <v>7.8083333333333336</v>
      </c>
      <c r="H197" s="4">
        <v>0.82500000000000007</v>
      </c>
      <c r="I197" s="4">
        <v>0.13500000000000001</v>
      </c>
      <c r="J197" s="4">
        <v>0.17666666666666667</v>
      </c>
      <c r="K197" s="4">
        <v>0.23833333333333331</v>
      </c>
      <c r="L197" s="4">
        <v>0.89666666666666683</v>
      </c>
      <c r="M197" s="4">
        <v>5.5</v>
      </c>
    </row>
    <row r="198" spans="3:13" x14ac:dyDescent="0.2">
      <c r="C198" s="1">
        <v>45771</v>
      </c>
      <c r="D198" t="s">
        <v>65</v>
      </c>
      <c r="E198">
        <v>811</v>
      </c>
      <c r="F198">
        <v>56</v>
      </c>
      <c r="G198" s="4">
        <v>8.8683333333333341</v>
      </c>
      <c r="H198" s="4">
        <v>0.98999999999999988</v>
      </c>
      <c r="I198" s="4">
        <v>0.13333333333333333</v>
      </c>
      <c r="J198" s="4">
        <v>0.13333333333333333</v>
      </c>
      <c r="K198" s="4">
        <v>4.8333333333333339E-2</v>
      </c>
      <c r="L198" s="4">
        <v>1.3766666666666667</v>
      </c>
      <c r="M198" s="4">
        <v>6.169999999999999</v>
      </c>
    </row>
    <row r="199" spans="3:13" x14ac:dyDescent="0.2">
      <c r="C199" s="1">
        <v>45770</v>
      </c>
      <c r="D199" t="s">
        <v>64</v>
      </c>
      <c r="E199">
        <v>765</v>
      </c>
      <c r="F199">
        <v>50</v>
      </c>
      <c r="G199" s="4">
        <v>8.6950000000000003</v>
      </c>
      <c r="H199" s="4">
        <v>0.85833333333333339</v>
      </c>
      <c r="I199" s="4">
        <v>0.14166666666666666</v>
      </c>
      <c r="J199" s="4">
        <v>0.18000000000000002</v>
      </c>
      <c r="K199" s="4">
        <v>0.21666666666666667</v>
      </c>
      <c r="L199" s="4">
        <v>1.1666666666666667</v>
      </c>
      <c r="M199" s="4">
        <v>6.121666666666667</v>
      </c>
    </row>
    <row r="200" spans="3:13" x14ac:dyDescent="0.2">
      <c r="C200" s="1">
        <v>45769</v>
      </c>
      <c r="D200" t="s">
        <v>63</v>
      </c>
      <c r="E200">
        <v>731</v>
      </c>
      <c r="F200">
        <v>72</v>
      </c>
      <c r="G200" s="4">
        <v>8.8116666666666674</v>
      </c>
      <c r="H200" s="4">
        <v>0.94999999999999984</v>
      </c>
      <c r="I200" s="4">
        <v>6.8333333333333343E-2</v>
      </c>
      <c r="J200" s="4">
        <v>0.23666666666666666</v>
      </c>
      <c r="K200" s="4">
        <v>0</v>
      </c>
      <c r="L200" s="4">
        <v>1.3316666666666668</v>
      </c>
      <c r="M200" s="4">
        <v>6.12</v>
      </c>
    </row>
    <row r="201" spans="3:13" x14ac:dyDescent="0.2">
      <c r="C201" s="1">
        <v>45768</v>
      </c>
      <c r="D201" t="s">
        <v>62</v>
      </c>
      <c r="E201">
        <v>745</v>
      </c>
      <c r="F201">
        <v>58</v>
      </c>
      <c r="G201" s="4">
        <v>8.8119999999999994</v>
      </c>
      <c r="H201" s="4">
        <v>0.77200000000000002</v>
      </c>
      <c r="I201" s="4">
        <v>0.19400000000000001</v>
      </c>
      <c r="J201" s="4">
        <v>0.16</v>
      </c>
      <c r="K201" s="4">
        <v>0.188</v>
      </c>
      <c r="L201" s="4">
        <v>1.3240000000000001</v>
      </c>
      <c r="M201" s="4">
        <v>6.12</v>
      </c>
    </row>
    <row r="202" spans="3:13" x14ac:dyDescent="0.2">
      <c r="C202" s="1">
        <v>45765</v>
      </c>
      <c r="D202" t="s">
        <v>66</v>
      </c>
      <c r="E202">
        <v>735</v>
      </c>
      <c r="F202">
        <v>41</v>
      </c>
      <c r="G202" s="4">
        <v>8.8125</v>
      </c>
      <c r="H202" s="4">
        <v>0.53500000000000003</v>
      </c>
      <c r="I202" s="4">
        <v>0.1525</v>
      </c>
      <c r="J202" s="4">
        <v>0.15250000000000002</v>
      </c>
      <c r="K202" s="4">
        <v>0.24</v>
      </c>
      <c r="L202" s="4">
        <v>1.2874999999999999</v>
      </c>
      <c r="M202" s="4">
        <v>6.4350000000000005</v>
      </c>
    </row>
    <row r="203" spans="3:13" x14ac:dyDescent="0.2">
      <c r="C203" s="1">
        <v>45764</v>
      </c>
      <c r="D203" t="s">
        <v>65</v>
      </c>
      <c r="E203">
        <v>737</v>
      </c>
      <c r="F203">
        <v>25</v>
      </c>
      <c r="G203" s="4">
        <v>8.7475000000000005</v>
      </c>
      <c r="H203" s="4">
        <v>0.49750000000000005</v>
      </c>
      <c r="I203" s="4">
        <v>0.09</v>
      </c>
      <c r="J203" s="4">
        <v>0.115</v>
      </c>
      <c r="K203" s="4">
        <v>0</v>
      </c>
      <c r="L203" s="4">
        <v>1.2549999999999999</v>
      </c>
      <c r="M203" s="4">
        <v>6.7624999999999993</v>
      </c>
    </row>
    <row r="204" spans="3:13" x14ac:dyDescent="0.2">
      <c r="C204" s="1">
        <v>45763</v>
      </c>
      <c r="D204" t="s">
        <v>64</v>
      </c>
      <c r="E204">
        <v>756</v>
      </c>
      <c r="F204">
        <v>49</v>
      </c>
      <c r="G204" s="4">
        <v>8.6774999999999984</v>
      </c>
      <c r="H204" s="4">
        <v>0.87</v>
      </c>
      <c r="I204" s="4">
        <v>0.17499999999999999</v>
      </c>
      <c r="J204" s="4">
        <v>0.1575</v>
      </c>
      <c r="K204" s="4">
        <v>0.33</v>
      </c>
      <c r="L204" s="4">
        <v>1.1475</v>
      </c>
      <c r="M204" s="4">
        <v>5.8649999999999993</v>
      </c>
    </row>
    <row r="205" spans="3:13" x14ac:dyDescent="0.2">
      <c r="C205" s="1">
        <v>45762</v>
      </c>
      <c r="D205" t="s">
        <v>63</v>
      </c>
      <c r="E205">
        <v>797</v>
      </c>
      <c r="F205">
        <v>71</v>
      </c>
      <c r="G205" s="4">
        <v>8.067499999999999</v>
      </c>
      <c r="H205" s="4">
        <v>1.4424999999999999</v>
      </c>
      <c r="I205" s="4">
        <v>0.1575</v>
      </c>
      <c r="J205" s="4">
        <v>0.27</v>
      </c>
      <c r="K205" s="4">
        <v>0.04</v>
      </c>
      <c r="L205" s="4">
        <v>0.98499999999999999</v>
      </c>
      <c r="M205" s="4">
        <v>5.1575000000000006</v>
      </c>
    </row>
    <row r="206" spans="3:13" x14ac:dyDescent="0.2">
      <c r="C206" s="1">
        <v>45761</v>
      </c>
      <c r="D206" t="s">
        <v>62</v>
      </c>
      <c r="E206">
        <v>751</v>
      </c>
      <c r="F206">
        <v>112</v>
      </c>
      <c r="G206" s="4">
        <v>8.7424999999999997</v>
      </c>
      <c r="H206" s="4">
        <v>1.3825000000000001</v>
      </c>
      <c r="I206" s="4">
        <v>0.17500000000000002</v>
      </c>
      <c r="J206" s="4">
        <v>0.28749999999999998</v>
      </c>
      <c r="K206" s="4">
        <v>0</v>
      </c>
      <c r="L206" s="4">
        <v>1.2124999999999999</v>
      </c>
      <c r="M206" s="4">
        <v>5.6525000000000007</v>
      </c>
    </row>
    <row r="207" spans="3:13" x14ac:dyDescent="0.2">
      <c r="C207" s="1">
        <v>45758</v>
      </c>
      <c r="D207" t="s">
        <v>66</v>
      </c>
      <c r="E207">
        <v>752</v>
      </c>
      <c r="F207">
        <v>37</v>
      </c>
      <c r="G207" s="4">
        <v>8.7033333333333331</v>
      </c>
      <c r="H207" s="4">
        <v>1.46</v>
      </c>
      <c r="I207" s="4">
        <v>0.3</v>
      </c>
      <c r="J207" s="4">
        <v>0.26333333333333336</v>
      </c>
      <c r="K207" s="4">
        <v>0.22</v>
      </c>
      <c r="L207" s="4">
        <v>1.1833333333333333</v>
      </c>
      <c r="M207" s="4">
        <v>5.2333333333333334</v>
      </c>
    </row>
    <row r="208" spans="3:13" x14ac:dyDescent="0.2">
      <c r="C208" s="1">
        <v>45757</v>
      </c>
      <c r="D208" t="s">
        <v>65</v>
      </c>
      <c r="E208">
        <v>768</v>
      </c>
      <c r="F208">
        <v>51</v>
      </c>
      <c r="G208" s="4">
        <v>8.1349999999999998</v>
      </c>
      <c r="H208" s="4">
        <v>0.85749999999999993</v>
      </c>
      <c r="I208" s="4">
        <v>0.115</v>
      </c>
      <c r="J208" s="4">
        <v>0.25750000000000001</v>
      </c>
      <c r="K208" s="4">
        <v>6.5000000000000002E-2</v>
      </c>
      <c r="L208" s="4">
        <v>1.2275</v>
      </c>
      <c r="M208" s="4">
        <v>5.5374999999999996</v>
      </c>
    </row>
    <row r="209" spans="3:13" x14ac:dyDescent="0.2">
      <c r="C209" s="1">
        <v>45756</v>
      </c>
      <c r="D209" t="s">
        <v>64</v>
      </c>
      <c r="E209">
        <v>810</v>
      </c>
      <c r="F209">
        <v>59</v>
      </c>
      <c r="G209" s="4">
        <v>8.7449999999999992</v>
      </c>
      <c r="H209" s="4">
        <v>1.0375000000000001</v>
      </c>
      <c r="I209" s="4">
        <v>0.10500000000000001</v>
      </c>
      <c r="J209" s="4">
        <v>0.22249999999999998</v>
      </c>
      <c r="K209" s="4">
        <v>7.4999999999999997E-2</v>
      </c>
      <c r="L209" s="4">
        <v>1.2175</v>
      </c>
      <c r="M209" s="4">
        <v>6.0449999999999999</v>
      </c>
    </row>
    <row r="210" spans="3:13" x14ac:dyDescent="0.2">
      <c r="C210" s="1">
        <v>45755</v>
      </c>
      <c r="D210" t="s">
        <v>63</v>
      </c>
      <c r="E210">
        <v>820</v>
      </c>
      <c r="F210">
        <v>81</v>
      </c>
      <c r="G210" s="4">
        <v>8.6966666666666672</v>
      </c>
      <c r="H210" s="4">
        <v>1.4633333333333336</v>
      </c>
      <c r="I210" s="4">
        <v>0.22</v>
      </c>
      <c r="J210" s="4">
        <v>0.47666666666666674</v>
      </c>
      <c r="K210" s="4">
        <v>1.03</v>
      </c>
      <c r="L210" s="4">
        <v>1.1633333333333333</v>
      </c>
      <c r="M210" s="4">
        <v>4.3166666666666664</v>
      </c>
    </row>
    <row r="211" spans="3:13" x14ac:dyDescent="0.2">
      <c r="C211" s="1">
        <v>45754</v>
      </c>
      <c r="D211" t="s">
        <v>62</v>
      </c>
      <c r="E211">
        <v>831</v>
      </c>
      <c r="F211">
        <v>212</v>
      </c>
      <c r="G211" s="4">
        <v>8.7949999999999999</v>
      </c>
      <c r="H211" s="4">
        <v>1.6450000000000002</v>
      </c>
      <c r="I211" s="4">
        <v>0.16750000000000001</v>
      </c>
      <c r="J211" s="4">
        <v>0.43500000000000005</v>
      </c>
      <c r="K211" s="4">
        <v>5.7500000000000002E-2</v>
      </c>
      <c r="L211" s="4">
        <v>1.1975</v>
      </c>
      <c r="M211" s="4">
        <v>5.2275</v>
      </c>
    </row>
    <row r="212" spans="3:13" x14ac:dyDescent="0.2">
      <c r="C212" s="1">
        <v>45751</v>
      </c>
      <c r="D212" t="s">
        <v>66</v>
      </c>
      <c r="E212">
        <v>790</v>
      </c>
      <c r="F212">
        <v>100</v>
      </c>
      <c r="G212" s="4">
        <v>8.6324999999999985</v>
      </c>
      <c r="H212" s="4">
        <v>1.5024999999999999</v>
      </c>
      <c r="I212" s="4">
        <v>0.15999999999999998</v>
      </c>
      <c r="J212" s="4">
        <v>0.21750000000000003</v>
      </c>
      <c r="K212" s="4">
        <v>0.50249999999999995</v>
      </c>
      <c r="L212" s="4">
        <v>1.23</v>
      </c>
      <c r="M212" s="4">
        <v>5</v>
      </c>
    </row>
    <row r="213" spans="3:13" x14ac:dyDescent="0.2">
      <c r="C213" s="1">
        <v>45750</v>
      </c>
      <c r="D213" t="s">
        <v>65</v>
      </c>
      <c r="E213">
        <v>826</v>
      </c>
      <c r="F213">
        <v>75</v>
      </c>
      <c r="G213" s="4">
        <v>8.2575000000000003</v>
      </c>
      <c r="H213" s="4">
        <v>1.0475000000000001</v>
      </c>
      <c r="I213" s="4">
        <v>0.315</v>
      </c>
      <c r="J213" s="4">
        <v>0.28000000000000003</v>
      </c>
      <c r="K213" s="4">
        <v>1.23</v>
      </c>
      <c r="L213" s="4">
        <v>1.165</v>
      </c>
      <c r="M213" s="4">
        <v>4.1624999999999996</v>
      </c>
    </row>
    <row r="214" spans="3:13" x14ac:dyDescent="0.2">
      <c r="C214" s="1">
        <v>45749</v>
      </c>
      <c r="D214" t="s">
        <v>64</v>
      </c>
      <c r="E214">
        <v>415</v>
      </c>
      <c r="F214">
        <v>56</v>
      </c>
      <c r="G214" s="4">
        <v>8.74</v>
      </c>
      <c r="H214" s="4">
        <v>1.0225</v>
      </c>
      <c r="I214" s="4">
        <v>0.13750000000000001</v>
      </c>
      <c r="J214" s="4">
        <v>0.16250000000000001</v>
      </c>
      <c r="K214" s="4">
        <v>0.19</v>
      </c>
      <c r="L214" s="4">
        <v>1.1825000000000001</v>
      </c>
      <c r="M214" s="4">
        <v>5.9925000000000006</v>
      </c>
    </row>
    <row r="215" spans="3:13" x14ac:dyDescent="0.2">
      <c r="C215" s="1">
        <v>45748</v>
      </c>
      <c r="D215" t="s">
        <v>63</v>
      </c>
      <c r="E215">
        <v>866</v>
      </c>
      <c r="F215">
        <v>78</v>
      </c>
      <c r="G215" s="4">
        <v>8.67</v>
      </c>
      <c r="H215" s="4">
        <v>1.5666666666666667</v>
      </c>
      <c r="I215" s="4">
        <v>0.19333333333333333</v>
      </c>
      <c r="J215" s="4">
        <v>0.45333333333333337</v>
      </c>
      <c r="K215" s="4">
        <v>0.41333333333333333</v>
      </c>
      <c r="L215" s="4">
        <v>1.0766666666666667</v>
      </c>
      <c r="M215" s="4">
        <v>4.96</v>
      </c>
    </row>
    <row r="216" spans="3:13" x14ac:dyDescent="0.2">
      <c r="C216" s="1">
        <v>45747</v>
      </c>
      <c r="D216" t="s">
        <v>62</v>
      </c>
      <c r="E216">
        <v>848</v>
      </c>
      <c r="F216">
        <v>112</v>
      </c>
      <c r="G216" s="4">
        <v>8.67</v>
      </c>
      <c r="H216" s="4">
        <v>2.0266666666666668</v>
      </c>
      <c r="I216" s="4">
        <v>0.43</v>
      </c>
      <c r="J216" s="4">
        <v>0.6</v>
      </c>
      <c r="K216" s="4">
        <v>0.14666666666666667</v>
      </c>
      <c r="L216" s="4">
        <v>1.0900000000000001</v>
      </c>
      <c r="M216" s="4">
        <v>4.3533333333333335</v>
      </c>
    </row>
    <row r="217" spans="3:13" x14ac:dyDescent="0.2">
      <c r="C217" s="1">
        <v>45744</v>
      </c>
      <c r="D217" t="s">
        <v>66</v>
      </c>
      <c r="E217">
        <v>768</v>
      </c>
      <c r="F217">
        <v>45</v>
      </c>
      <c r="G217" s="4">
        <v>6.7575000000000003</v>
      </c>
      <c r="H217" s="4">
        <v>0.66499999999999992</v>
      </c>
      <c r="I217" s="4">
        <v>9.5000000000000001E-2</v>
      </c>
      <c r="J217" s="4">
        <v>0.1925</v>
      </c>
      <c r="K217" s="4">
        <v>6.5000000000000002E-2</v>
      </c>
      <c r="L217" s="4">
        <v>1.0674999999999999</v>
      </c>
      <c r="M217" s="4">
        <v>4.665</v>
      </c>
    </row>
    <row r="218" spans="3:13" x14ac:dyDescent="0.2">
      <c r="C218" s="1">
        <v>45743</v>
      </c>
      <c r="D218" t="s">
        <v>65</v>
      </c>
      <c r="E218">
        <v>776</v>
      </c>
      <c r="F218">
        <v>34</v>
      </c>
      <c r="G218" s="4">
        <v>8.6866666666666656</v>
      </c>
      <c r="H218" s="4">
        <v>0.93</v>
      </c>
      <c r="I218" s="4">
        <v>0.50666666666666671</v>
      </c>
      <c r="J218" s="4">
        <v>0.18333333333333332</v>
      </c>
      <c r="K218" s="4">
        <v>3.3333333333333333E-2</v>
      </c>
      <c r="L218" s="4">
        <v>1.1199999999999999</v>
      </c>
      <c r="M218" s="4">
        <v>5.8966666666666656</v>
      </c>
    </row>
    <row r="219" spans="3:13" x14ac:dyDescent="0.2">
      <c r="C219" s="1">
        <v>45742</v>
      </c>
      <c r="D219" t="s">
        <v>64</v>
      </c>
      <c r="E219">
        <v>795</v>
      </c>
      <c r="F219">
        <v>42</v>
      </c>
      <c r="G219" s="4">
        <v>8.7600000000000016</v>
      </c>
      <c r="H219" s="4">
        <v>0.91749999999999998</v>
      </c>
      <c r="I219" s="4">
        <v>0.14750000000000002</v>
      </c>
      <c r="J219" s="4">
        <v>0.16249999999999998</v>
      </c>
      <c r="K219" s="4">
        <v>0.33500000000000002</v>
      </c>
      <c r="L219" s="4">
        <v>1.18</v>
      </c>
      <c r="M219" s="4">
        <v>5.93</v>
      </c>
    </row>
    <row r="220" spans="3:13" x14ac:dyDescent="0.2">
      <c r="C220" s="1">
        <v>45741</v>
      </c>
      <c r="D220" t="s">
        <v>63</v>
      </c>
      <c r="E220">
        <v>795</v>
      </c>
      <c r="F220">
        <v>41</v>
      </c>
      <c r="G220" s="4">
        <v>8.6766666666666676</v>
      </c>
      <c r="H220" s="4">
        <v>1.1333333333333333</v>
      </c>
      <c r="I220" s="4">
        <v>0.17666666666666667</v>
      </c>
      <c r="J220" s="4">
        <v>0.21333333333333335</v>
      </c>
      <c r="K220" s="4">
        <v>0</v>
      </c>
      <c r="L220" s="4">
        <v>1.0900000000000001</v>
      </c>
      <c r="M220" s="4">
        <v>6.05</v>
      </c>
    </row>
    <row r="221" spans="3:13" x14ac:dyDescent="0.2">
      <c r="C221" s="1">
        <v>45740</v>
      </c>
      <c r="D221" t="s">
        <v>62</v>
      </c>
      <c r="E221">
        <v>806</v>
      </c>
      <c r="F221">
        <v>57</v>
      </c>
      <c r="G221" s="4">
        <v>8.7675000000000001</v>
      </c>
      <c r="H221" s="4">
        <v>1.1525000000000001</v>
      </c>
      <c r="I221" s="4">
        <v>0.17750000000000002</v>
      </c>
      <c r="J221" s="4">
        <v>0.16000000000000003</v>
      </c>
      <c r="K221" s="4">
        <v>0.17749999999999999</v>
      </c>
      <c r="L221" s="4">
        <v>1.25</v>
      </c>
      <c r="M221" s="4">
        <v>5.7949999999999999</v>
      </c>
    </row>
    <row r="222" spans="3:13" x14ac:dyDescent="0.2">
      <c r="C222" s="1">
        <v>45737</v>
      </c>
      <c r="D222" t="s">
        <v>66</v>
      </c>
      <c r="E222">
        <v>787</v>
      </c>
      <c r="F222">
        <v>49</v>
      </c>
      <c r="G222" s="4">
        <v>8.6766666666666659</v>
      </c>
      <c r="H222" s="4">
        <v>0.97666666666666668</v>
      </c>
      <c r="I222" s="4">
        <v>0.11666666666666665</v>
      </c>
      <c r="J222" s="4">
        <v>0.19333333333333336</v>
      </c>
      <c r="K222" s="4">
        <v>9.0000000000000011E-2</v>
      </c>
      <c r="L222" s="4">
        <v>1.1066666666666667</v>
      </c>
      <c r="M222" s="4">
        <v>6.1966666666666663</v>
      </c>
    </row>
    <row r="223" spans="3:13" x14ac:dyDescent="0.2">
      <c r="C223" s="1">
        <v>45736</v>
      </c>
      <c r="D223" t="s">
        <v>65</v>
      </c>
      <c r="E223">
        <v>814</v>
      </c>
      <c r="F223">
        <v>44</v>
      </c>
      <c r="G223" s="4">
        <v>8.4350000000000005</v>
      </c>
      <c r="H223" s="4">
        <v>0.76</v>
      </c>
      <c r="I223" s="4">
        <v>0.19750000000000001</v>
      </c>
      <c r="J223" s="4">
        <v>0.12</v>
      </c>
      <c r="K223" s="4">
        <v>0.49249999999999994</v>
      </c>
      <c r="L223" s="4">
        <v>0.95750000000000002</v>
      </c>
      <c r="M223" s="4">
        <v>5.7974999999999994</v>
      </c>
    </row>
    <row r="224" spans="3:13" x14ac:dyDescent="0.2">
      <c r="C224" s="1">
        <v>45735</v>
      </c>
      <c r="D224" t="s">
        <v>64</v>
      </c>
      <c r="E224">
        <v>818</v>
      </c>
      <c r="F224">
        <v>44</v>
      </c>
      <c r="G224" s="4">
        <v>8.7133333333333329</v>
      </c>
      <c r="H224" s="4">
        <v>1.5233333333333334</v>
      </c>
      <c r="I224" s="4">
        <v>9.6666666666666665E-2</v>
      </c>
      <c r="J224" s="4">
        <v>0.33</v>
      </c>
      <c r="K224" s="4">
        <v>8.666666666666667E-2</v>
      </c>
      <c r="L224" s="4">
        <v>1.1333333333333333</v>
      </c>
      <c r="M224" s="4">
        <v>5.5266666666666664</v>
      </c>
    </row>
    <row r="225" spans="3:13" x14ac:dyDescent="0.2">
      <c r="C225" s="1">
        <v>45734</v>
      </c>
      <c r="D225" t="s">
        <v>63</v>
      </c>
      <c r="E225">
        <v>842</v>
      </c>
      <c r="F225">
        <v>85</v>
      </c>
      <c r="G225" s="4">
        <v>8.7424999999999997</v>
      </c>
      <c r="H225" s="4">
        <v>1.345</v>
      </c>
      <c r="I225" s="4">
        <v>0.17250000000000001</v>
      </c>
      <c r="J225" s="4">
        <v>0.21000000000000002</v>
      </c>
      <c r="K225" s="4">
        <v>0.25</v>
      </c>
      <c r="L225" s="4">
        <v>1.3725000000000001</v>
      </c>
      <c r="M225" s="4">
        <v>5.2175000000000002</v>
      </c>
    </row>
    <row r="226" spans="3:13" x14ac:dyDescent="0.2">
      <c r="C226" s="1">
        <v>45733</v>
      </c>
      <c r="D226" t="s">
        <v>62</v>
      </c>
      <c r="E226">
        <v>828</v>
      </c>
      <c r="F226">
        <v>69</v>
      </c>
      <c r="G226" s="4">
        <v>8.7475000000000005</v>
      </c>
      <c r="H226" s="4">
        <v>1.85</v>
      </c>
      <c r="I226" s="4">
        <v>0.13</v>
      </c>
      <c r="J226" s="4">
        <v>0.21750000000000003</v>
      </c>
      <c r="K226" s="4">
        <v>0.2475</v>
      </c>
      <c r="L226" s="4">
        <v>1.2124999999999999</v>
      </c>
      <c r="M226" s="4">
        <v>5.0475000000000003</v>
      </c>
    </row>
    <row r="227" spans="3:13" x14ac:dyDescent="0.2">
      <c r="C227" s="1">
        <v>45730</v>
      </c>
      <c r="D227" t="s">
        <v>66</v>
      </c>
      <c r="E227">
        <v>638</v>
      </c>
      <c r="F227">
        <v>74</v>
      </c>
      <c r="G227" s="4">
        <v>8.6933333333333334</v>
      </c>
      <c r="H227" s="4">
        <v>1.79</v>
      </c>
      <c r="I227" s="4">
        <v>0.12</v>
      </c>
      <c r="J227" s="4">
        <v>0.29666666666666669</v>
      </c>
      <c r="K227" s="4">
        <v>0.46666666666666662</v>
      </c>
      <c r="L227" s="4">
        <v>1.2033333333333334</v>
      </c>
      <c r="M227" s="4">
        <v>4.8066666666666675</v>
      </c>
    </row>
    <row r="228" spans="3:13" x14ac:dyDescent="0.2">
      <c r="C228" s="1">
        <v>45729</v>
      </c>
      <c r="D228" t="s">
        <v>65</v>
      </c>
      <c r="E228">
        <v>839</v>
      </c>
      <c r="F228">
        <v>43</v>
      </c>
      <c r="G228" s="4">
        <v>8.5650000000000013</v>
      </c>
      <c r="H228" s="4">
        <v>1.7549999999999999</v>
      </c>
      <c r="I228" s="4">
        <v>0.1</v>
      </c>
      <c r="J228" s="4">
        <v>0.47499999999999998</v>
      </c>
      <c r="K228" s="4">
        <v>0.30499999999999999</v>
      </c>
      <c r="L228" s="4">
        <v>0.88</v>
      </c>
      <c r="M228" s="4">
        <v>5.0500000000000007</v>
      </c>
    </row>
    <row r="229" spans="3:13" x14ac:dyDescent="0.2">
      <c r="C229" s="1">
        <v>45728</v>
      </c>
      <c r="D229" t="s">
        <v>64</v>
      </c>
      <c r="E229">
        <v>907</v>
      </c>
      <c r="F229">
        <v>86</v>
      </c>
      <c r="G229" s="4">
        <v>8.7475000000000005</v>
      </c>
      <c r="H229" s="4">
        <v>1.5375000000000001</v>
      </c>
      <c r="I229" s="4">
        <v>6.0000000000000005E-2</v>
      </c>
      <c r="J229" s="4">
        <v>0.22</v>
      </c>
      <c r="K229" s="4">
        <v>0.14749999999999999</v>
      </c>
      <c r="L229" s="4">
        <v>1.0575000000000001</v>
      </c>
      <c r="M229" s="4">
        <v>5.6750000000000007</v>
      </c>
    </row>
    <row r="230" spans="3:13" x14ac:dyDescent="0.2">
      <c r="C230" s="1">
        <v>45727</v>
      </c>
      <c r="D230" t="s">
        <v>63</v>
      </c>
      <c r="E230">
        <v>923</v>
      </c>
      <c r="F230">
        <v>112</v>
      </c>
      <c r="G230" s="4">
        <v>8.6966666666666672</v>
      </c>
      <c r="H230" s="4">
        <v>1.8233333333333333</v>
      </c>
      <c r="I230" s="4">
        <v>0.1466666666666667</v>
      </c>
      <c r="J230" s="4">
        <v>0.30333333333333329</v>
      </c>
      <c r="K230" s="4">
        <v>8.666666666666667E-2</v>
      </c>
      <c r="L230" s="4">
        <v>1.0933333333333333</v>
      </c>
      <c r="M230" s="4">
        <v>5.2133333333333329</v>
      </c>
    </row>
    <row r="231" spans="3:13" x14ac:dyDescent="0.2">
      <c r="C231" s="1">
        <v>45726</v>
      </c>
      <c r="D231" t="s">
        <v>62</v>
      </c>
      <c r="E231">
        <v>836</v>
      </c>
      <c r="F231">
        <v>59</v>
      </c>
      <c r="G231" s="4">
        <v>8.6774999999999984</v>
      </c>
      <c r="H231" s="4">
        <v>1.6950000000000001</v>
      </c>
      <c r="I231" s="4">
        <v>0.125</v>
      </c>
      <c r="J231" s="4">
        <v>0.18</v>
      </c>
      <c r="K231" s="4">
        <v>0.35750000000000004</v>
      </c>
      <c r="L231" s="4">
        <v>1.1950000000000001</v>
      </c>
      <c r="M231" s="4">
        <v>5.1100000000000003</v>
      </c>
    </row>
    <row r="232" spans="3:13" x14ac:dyDescent="0.2">
      <c r="C232" s="1">
        <v>45723</v>
      </c>
      <c r="D232" t="s">
        <v>66</v>
      </c>
      <c r="E232">
        <v>874</v>
      </c>
      <c r="F232">
        <v>66</v>
      </c>
      <c r="G232" s="4">
        <v>8.6350000000000016</v>
      </c>
      <c r="H232" s="4">
        <v>1.115</v>
      </c>
      <c r="I232" s="4">
        <v>7.0000000000000007E-2</v>
      </c>
      <c r="J232" s="4">
        <v>0.1525</v>
      </c>
      <c r="K232" s="4">
        <v>1.1675</v>
      </c>
      <c r="L232" s="4">
        <v>1.145</v>
      </c>
      <c r="M232" s="4">
        <v>4.95</v>
      </c>
    </row>
    <row r="233" spans="3:13" x14ac:dyDescent="0.2">
      <c r="C233" s="1">
        <v>45722</v>
      </c>
      <c r="D233" t="s">
        <v>65</v>
      </c>
      <c r="E233">
        <v>900</v>
      </c>
      <c r="F233">
        <v>75</v>
      </c>
      <c r="G233" s="4">
        <v>8.7850000000000001</v>
      </c>
      <c r="H233" s="4">
        <v>1.5825</v>
      </c>
      <c r="I233" s="4">
        <v>0.1075</v>
      </c>
      <c r="J233" s="4">
        <v>0.31</v>
      </c>
      <c r="K233" s="4">
        <v>0.73250000000000004</v>
      </c>
      <c r="L233" s="4">
        <v>1.2250000000000001</v>
      </c>
      <c r="M233" s="4">
        <v>4.8125</v>
      </c>
    </row>
    <row r="234" spans="3:13" x14ac:dyDescent="0.2">
      <c r="C234" s="1">
        <v>45721</v>
      </c>
      <c r="D234" t="s">
        <v>64</v>
      </c>
      <c r="E234">
        <v>917</v>
      </c>
      <c r="F234">
        <v>72</v>
      </c>
      <c r="G234" s="4">
        <v>8.7974999999999994</v>
      </c>
      <c r="H234" s="4">
        <v>1.4674999999999998</v>
      </c>
      <c r="I234" s="4">
        <v>0.1225</v>
      </c>
      <c r="J234" s="4">
        <v>0.19500000000000001</v>
      </c>
      <c r="K234" s="4">
        <v>5.2499999999999998E-2</v>
      </c>
      <c r="L234" s="4">
        <v>1.155</v>
      </c>
      <c r="M234" s="4">
        <v>5.7899999999999991</v>
      </c>
    </row>
    <row r="235" spans="3:13" x14ac:dyDescent="0.2">
      <c r="C235" s="1">
        <v>45720</v>
      </c>
      <c r="D235" t="s">
        <v>63</v>
      </c>
      <c r="E235">
        <v>960</v>
      </c>
      <c r="F235">
        <v>104</v>
      </c>
      <c r="G235" s="4">
        <v>8.9899999999999984</v>
      </c>
      <c r="H235" s="4">
        <v>1.41</v>
      </c>
      <c r="I235" s="4">
        <v>0.14250000000000002</v>
      </c>
      <c r="J235" s="4">
        <v>0.30499999999999999</v>
      </c>
      <c r="K235" s="4">
        <v>0.20749999999999999</v>
      </c>
      <c r="L235" s="4">
        <v>1.4</v>
      </c>
      <c r="M235" s="4">
        <v>5.5</v>
      </c>
    </row>
    <row r="236" spans="3:13" x14ac:dyDescent="0.2">
      <c r="C236" s="1">
        <v>45719</v>
      </c>
      <c r="D236" t="s">
        <v>62</v>
      </c>
      <c r="E236">
        <v>1021</v>
      </c>
      <c r="F236">
        <v>124</v>
      </c>
      <c r="G236" s="4">
        <v>8.7940000000000005</v>
      </c>
      <c r="H236" s="4">
        <v>1.8400000000000003</v>
      </c>
      <c r="I236" s="4">
        <v>0.24</v>
      </c>
      <c r="J236" s="4">
        <v>0.38200000000000001</v>
      </c>
      <c r="K236" s="4">
        <v>0.65400000000000014</v>
      </c>
      <c r="L236" s="4">
        <v>1.1960000000000002</v>
      </c>
      <c r="M236" s="4">
        <v>4.3860000000000001</v>
      </c>
    </row>
    <row r="237" spans="3:13" x14ac:dyDescent="0.2">
      <c r="C237" s="1">
        <v>45716</v>
      </c>
      <c r="D237" t="s">
        <v>66</v>
      </c>
      <c r="E237">
        <v>921</v>
      </c>
      <c r="F237">
        <v>99</v>
      </c>
      <c r="G237" s="4">
        <v>8.8300000000000018</v>
      </c>
      <c r="H237" s="4">
        <v>1.0880000000000001</v>
      </c>
      <c r="I237" s="4">
        <v>0.22400000000000003</v>
      </c>
      <c r="J237" s="4">
        <v>0.21600000000000003</v>
      </c>
      <c r="K237" s="4">
        <v>0.33799999999999997</v>
      </c>
      <c r="L237" s="4">
        <v>1.3219999999999998</v>
      </c>
      <c r="M237" s="4">
        <v>5.588000000000001</v>
      </c>
    </row>
    <row r="238" spans="3:13" x14ac:dyDescent="0.2">
      <c r="C238" s="1">
        <v>45715</v>
      </c>
      <c r="D238" t="s">
        <v>65</v>
      </c>
      <c r="E238">
        <v>966</v>
      </c>
      <c r="F238">
        <v>69</v>
      </c>
      <c r="G238" s="4">
        <v>9.0374999999999996</v>
      </c>
      <c r="H238" s="4">
        <v>1.6525000000000003</v>
      </c>
      <c r="I238" s="4">
        <v>0.38</v>
      </c>
      <c r="J238" s="4">
        <v>0.36</v>
      </c>
      <c r="K238" s="4">
        <v>0.67249999999999999</v>
      </c>
      <c r="L238" s="4">
        <v>1.415</v>
      </c>
      <c r="M238" s="4">
        <v>4.5549999999999997</v>
      </c>
    </row>
    <row r="239" spans="3:13" x14ac:dyDescent="0.2">
      <c r="C239" s="1">
        <v>45714</v>
      </c>
      <c r="D239" t="s">
        <v>64</v>
      </c>
      <c r="E239">
        <v>973</v>
      </c>
      <c r="F239">
        <v>100</v>
      </c>
      <c r="G239" s="4">
        <v>8.0339999999999989</v>
      </c>
      <c r="H239" s="4">
        <v>1.3220000000000003</v>
      </c>
      <c r="I239" s="4">
        <v>0.25800000000000001</v>
      </c>
      <c r="J239" s="4">
        <v>0.25600000000000001</v>
      </c>
      <c r="K239" s="4">
        <v>0.40800000000000003</v>
      </c>
      <c r="L239" s="4">
        <v>0.998</v>
      </c>
      <c r="M239" s="4">
        <v>4.7720000000000002</v>
      </c>
    </row>
    <row r="240" spans="3:13" x14ac:dyDescent="0.2">
      <c r="C240" s="1">
        <v>45713</v>
      </c>
      <c r="D240" t="s">
        <v>63</v>
      </c>
      <c r="E240">
        <v>1023</v>
      </c>
      <c r="F240">
        <v>91</v>
      </c>
      <c r="G240" s="4">
        <v>8.52</v>
      </c>
      <c r="H240" s="4">
        <v>1.544</v>
      </c>
      <c r="I240" s="4">
        <v>0.32199999999999995</v>
      </c>
      <c r="J240" s="4">
        <v>0.33599999999999997</v>
      </c>
      <c r="K240" s="4">
        <v>0.51200000000000001</v>
      </c>
      <c r="L240" s="4">
        <v>1.208</v>
      </c>
      <c r="M240" s="4">
        <v>4.556</v>
      </c>
    </row>
    <row r="241" spans="3:13" x14ac:dyDescent="0.2">
      <c r="C241" s="1">
        <v>45712</v>
      </c>
      <c r="D241" t="s">
        <v>62</v>
      </c>
      <c r="E241">
        <v>908</v>
      </c>
      <c r="F241">
        <v>58</v>
      </c>
      <c r="G241" s="4">
        <v>8.8140000000000001</v>
      </c>
      <c r="H241" s="4">
        <v>1.4280000000000002</v>
      </c>
      <c r="I241" s="4">
        <v>0.19400000000000001</v>
      </c>
      <c r="J241" s="4">
        <v>0.22599999999999998</v>
      </c>
      <c r="K241" s="4">
        <v>0.54600000000000004</v>
      </c>
      <c r="L241" s="4">
        <v>1.2779999999999998</v>
      </c>
      <c r="M241" s="4">
        <v>5.13</v>
      </c>
    </row>
    <row r="242" spans="3:13" x14ac:dyDescent="0.2">
      <c r="C242" s="1">
        <v>45709</v>
      </c>
      <c r="D242" t="s">
        <v>66</v>
      </c>
      <c r="E242">
        <v>935</v>
      </c>
      <c r="F242">
        <v>51</v>
      </c>
      <c r="G242" s="4">
        <v>8.8079999999999998</v>
      </c>
      <c r="H242" s="4">
        <v>1.052</v>
      </c>
      <c r="I242" s="4">
        <v>0.13</v>
      </c>
      <c r="J242" s="4">
        <v>0.19400000000000001</v>
      </c>
      <c r="K242" s="4">
        <v>0.52200000000000002</v>
      </c>
      <c r="L242" s="4">
        <v>1.294</v>
      </c>
      <c r="M242" s="4">
        <v>5.6</v>
      </c>
    </row>
    <row r="243" spans="3:13" x14ac:dyDescent="0.2">
      <c r="C243" s="1">
        <v>45708</v>
      </c>
      <c r="D243" t="s">
        <v>65</v>
      </c>
      <c r="E243">
        <v>968</v>
      </c>
      <c r="F243">
        <v>66</v>
      </c>
      <c r="G243" s="4">
        <v>8.0079999999999991</v>
      </c>
      <c r="H243" s="4">
        <v>1.1179999999999999</v>
      </c>
      <c r="I243" s="4">
        <v>0.18</v>
      </c>
      <c r="J243" s="4">
        <v>0.18</v>
      </c>
      <c r="K243" s="4">
        <v>1.268</v>
      </c>
      <c r="L243" s="4">
        <v>0.9760000000000002</v>
      </c>
      <c r="M243" s="4">
        <v>4.2699999999999996</v>
      </c>
    </row>
    <row r="244" spans="3:13" x14ac:dyDescent="0.2">
      <c r="C244" s="1">
        <v>45707</v>
      </c>
      <c r="D244" t="s">
        <v>64</v>
      </c>
      <c r="E244">
        <v>1028</v>
      </c>
      <c r="F244">
        <v>126</v>
      </c>
      <c r="G244" s="4">
        <v>8.8339999999999996</v>
      </c>
      <c r="H244" s="4">
        <v>1.9200000000000004</v>
      </c>
      <c r="I244" s="4">
        <v>0.16399999999999998</v>
      </c>
      <c r="J244" s="4">
        <v>0.34</v>
      </c>
      <c r="K244" s="4">
        <v>1.284</v>
      </c>
      <c r="L244" s="4">
        <v>1.204</v>
      </c>
      <c r="M244" s="4">
        <v>3.9020000000000001</v>
      </c>
    </row>
    <row r="245" spans="3:13" x14ac:dyDescent="0.2">
      <c r="C245" s="1">
        <v>45706</v>
      </c>
      <c r="D245" t="s">
        <v>63</v>
      </c>
      <c r="E245">
        <v>952</v>
      </c>
      <c r="F245">
        <v>90</v>
      </c>
      <c r="G245" s="4">
        <v>9.0240000000000009</v>
      </c>
      <c r="H245" s="4">
        <v>1.5680000000000001</v>
      </c>
      <c r="I245" s="4">
        <v>0.17200000000000001</v>
      </c>
      <c r="J245" s="4">
        <v>0.23600000000000004</v>
      </c>
      <c r="K245" s="4">
        <v>0.15</v>
      </c>
      <c r="L245" s="4">
        <v>1.4420000000000002</v>
      </c>
      <c r="M245" s="4">
        <v>5.4319999999999995</v>
      </c>
    </row>
    <row r="246" spans="3:13" x14ac:dyDescent="0.2">
      <c r="C246" s="1">
        <v>45702</v>
      </c>
      <c r="D246" t="s">
        <v>66</v>
      </c>
      <c r="E246">
        <v>893</v>
      </c>
      <c r="F246">
        <v>42</v>
      </c>
      <c r="G246" s="4">
        <v>8.0024999999999995</v>
      </c>
      <c r="H246" s="4">
        <v>1.1349999999999998</v>
      </c>
      <c r="I246" s="4">
        <v>5.7500000000000002E-2</v>
      </c>
      <c r="J246" s="4">
        <v>0.17249999999999999</v>
      </c>
      <c r="K246" s="4">
        <v>7.0000000000000007E-2</v>
      </c>
      <c r="L246" s="4">
        <v>1.0549999999999999</v>
      </c>
      <c r="M246" s="4">
        <v>5.49</v>
      </c>
    </row>
    <row r="247" spans="3:13" x14ac:dyDescent="0.2">
      <c r="C247" s="1">
        <v>45701</v>
      </c>
      <c r="D247" t="s">
        <v>65</v>
      </c>
      <c r="E247">
        <v>945</v>
      </c>
      <c r="F247">
        <v>66</v>
      </c>
      <c r="G247" s="4">
        <v>8.8140000000000001</v>
      </c>
      <c r="H247" s="4">
        <v>1.1679999999999999</v>
      </c>
      <c r="I247" s="4">
        <v>0.11800000000000002</v>
      </c>
      <c r="J247" s="4">
        <v>0.21399999999999997</v>
      </c>
      <c r="K247" s="4">
        <v>0.50800000000000001</v>
      </c>
      <c r="L247" s="4">
        <v>1.238</v>
      </c>
      <c r="M247" s="4">
        <v>5.4580000000000002</v>
      </c>
    </row>
    <row r="248" spans="3:13" x14ac:dyDescent="0.2">
      <c r="C248" s="1">
        <v>45700</v>
      </c>
      <c r="D248" t="s">
        <v>64</v>
      </c>
      <c r="E248">
        <v>974</v>
      </c>
      <c r="F248">
        <v>83</v>
      </c>
      <c r="G248" s="4">
        <v>8.9619999999999997</v>
      </c>
      <c r="H248" s="4">
        <v>1.4620000000000002</v>
      </c>
      <c r="I248" s="4">
        <v>0.13200000000000001</v>
      </c>
      <c r="J248" s="4">
        <v>0.24000000000000005</v>
      </c>
      <c r="K248" s="4">
        <v>0.22200000000000003</v>
      </c>
      <c r="L248" s="4">
        <v>1.4139999999999999</v>
      </c>
      <c r="M248" s="4">
        <v>5.4879999999999995</v>
      </c>
    </row>
    <row r="249" spans="3:13" x14ac:dyDescent="0.2">
      <c r="C249" s="1">
        <v>45699</v>
      </c>
      <c r="D249" t="s">
        <v>63</v>
      </c>
      <c r="E249">
        <v>1046</v>
      </c>
      <c r="F249">
        <v>117</v>
      </c>
      <c r="G249" s="4">
        <v>8.7579999999999991</v>
      </c>
      <c r="H249" s="4">
        <v>1.6140000000000001</v>
      </c>
      <c r="I249" s="4">
        <v>0.29799999999999999</v>
      </c>
      <c r="J249" s="4">
        <v>0.35199999999999998</v>
      </c>
      <c r="K249" s="4">
        <v>5.2000000000000005E-2</v>
      </c>
      <c r="L249" s="4">
        <v>1.216</v>
      </c>
      <c r="M249" s="4">
        <v>5.218</v>
      </c>
    </row>
    <row r="250" spans="3:13" x14ac:dyDescent="0.2">
      <c r="C250" s="1">
        <v>45698</v>
      </c>
      <c r="D250" t="s">
        <v>62</v>
      </c>
      <c r="E250">
        <v>1027</v>
      </c>
      <c r="F250">
        <v>105</v>
      </c>
      <c r="G250" s="4">
        <v>8.8080000000000016</v>
      </c>
      <c r="H250" s="4">
        <v>1.3460000000000001</v>
      </c>
      <c r="I250" s="4">
        <v>0.22800000000000004</v>
      </c>
      <c r="J250" s="4">
        <v>0.32</v>
      </c>
      <c r="K250" s="4">
        <v>0.28600000000000003</v>
      </c>
      <c r="L250" s="4">
        <v>1.3</v>
      </c>
      <c r="M250" s="4">
        <v>5.32</v>
      </c>
    </row>
    <row r="251" spans="3:13" x14ac:dyDescent="0.2">
      <c r="C251" s="1">
        <v>45695</v>
      </c>
      <c r="D251" t="s">
        <v>66</v>
      </c>
      <c r="E251">
        <v>951</v>
      </c>
      <c r="F251">
        <v>48</v>
      </c>
      <c r="G251" s="4">
        <v>8.7274999999999991</v>
      </c>
      <c r="H251" s="4">
        <v>1.3049999999999999</v>
      </c>
      <c r="I251" s="4">
        <v>0.1125</v>
      </c>
      <c r="J251" s="4">
        <v>0.35749999999999998</v>
      </c>
      <c r="K251" s="4">
        <v>1.4275</v>
      </c>
      <c r="L251" s="4">
        <v>1.2850000000000001</v>
      </c>
      <c r="M251" s="4">
        <v>4.2324999999999999</v>
      </c>
    </row>
    <row r="252" spans="3:13" x14ac:dyDescent="0.2">
      <c r="C252" s="1">
        <v>45694</v>
      </c>
      <c r="D252" t="s">
        <v>65</v>
      </c>
      <c r="E252">
        <v>958</v>
      </c>
      <c r="F252">
        <v>75</v>
      </c>
      <c r="G252" s="4">
        <v>7.7900000000000009</v>
      </c>
      <c r="H252" s="4">
        <v>0.90399999999999991</v>
      </c>
      <c r="I252" s="4">
        <v>0.184</v>
      </c>
      <c r="J252" s="4">
        <v>0.23600000000000004</v>
      </c>
      <c r="K252" s="4">
        <v>4.8000000000000001E-2</v>
      </c>
      <c r="L252" s="4">
        <v>1.024</v>
      </c>
      <c r="M252" s="4">
        <v>5.3020000000000014</v>
      </c>
    </row>
    <row r="253" spans="3:13" x14ac:dyDescent="0.2">
      <c r="C253" s="1">
        <v>45693</v>
      </c>
      <c r="D253" t="s">
        <v>64</v>
      </c>
      <c r="E253">
        <v>1005</v>
      </c>
      <c r="F253">
        <v>83</v>
      </c>
      <c r="G253" s="4">
        <v>8.782</v>
      </c>
      <c r="H253" s="4">
        <v>1.246</v>
      </c>
      <c r="I253" s="4">
        <v>0.25</v>
      </c>
      <c r="J253" s="4">
        <v>0.31799999999999995</v>
      </c>
      <c r="K253" s="4">
        <v>0.21000000000000002</v>
      </c>
      <c r="L253" s="4">
        <v>1.2899999999999998</v>
      </c>
      <c r="M253" s="4">
        <v>5.4580000000000002</v>
      </c>
    </row>
    <row r="254" spans="3:13" x14ac:dyDescent="0.2">
      <c r="C254" s="1">
        <v>45692</v>
      </c>
      <c r="D254" t="s">
        <v>63</v>
      </c>
      <c r="E254">
        <v>1067</v>
      </c>
      <c r="F254">
        <v>139</v>
      </c>
      <c r="G254" s="4">
        <v>8.8239999999999998</v>
      </c>
      <c r="H254" s="4">
        <v>1.9979999999999998</v>
      </c>
      <c r="I254" s="4">
        <v>0.22800000000000004</v>
      </c>
      <c r="J254" s="4">
        <v>0.6100000000000001</v>
      </c>
      <c r="K254" s="4">
        <v>0.182</v>
      </c>
      <c r="L254" s="4">
        <v>1.246</v>
      </c>
      <c r="M254" s="4">
        <v>4.5460000000000003</v>
      </c>
    </row>
    <row r="255" spans="3:13" x14ac:dyDescent="0.2">
      <c r="C255" s="1">
        <v>45691</v>
      </c>
      <c r="D255" t="s">
        <v>62</v>
      </c>
      <c r="E255">
        <v>930</v>
      </c>
      <c r="F255">
        <v>91</v>
      </c>
      <c r="G255" s="4">
        <v>8.8420000000000005</v>
      </c>
      <c r="H255" s="4">
        <v>1.1440000000000001</v>
      </c>
      <c r="I255" s="4">
        <v>0.29399999999999993</v>
      </c>
      <c r="J255" s="4">
        <v>0.36199999999999999</v>
      </c>
      <c r="K255" s="4">
        <v>0.41200000000000003</v>
      </c>
      <c r="L255" s="4">
        <v>1.276</v>
      </c>
      <c r="M255" s="4">
        <v>5.32</v>
      </c>
    </row>
    <row r="256" spans="3:13" x14ac:dyDescent="0.2">
      <c r="C256" s="1">
        <v>45688</v>
      </c>
      <c r="D256" t="s">
        <v>66</v>
      </c>
      <c r="E256">
        <v>952</v>
      </c>
      <c r="F256">
        <v>69</v>
      </c>
      <c r="G256" s="4">
        <v>8.1750000000000007</v>
      </c>
      <c r="H256" s="4">
        <v>1.375</v>
      </c>
      <c r="I256" s="4">
        <v>0.15333333333333332</v>
      </c>
      <c r="J256" s="4">
        <v>0.25</v>
      </c>
      <c r="K256" s="4">
        <v>9.9999999999999992E-2</v>
      </c>
      <c r="L256" s="4">
        <v>1.42</v>
      </c>
      <c r="M256" s="4">
        <v>4.8149999999999995</v>
      </c>
    </row>
    <row r="257" spans="3:13" x14ac:dyDescent="0.2">
      <c r="C257" s="1">
        <v>45687</v>
      </c>
      <c r="D257" t="s">
        <v>65</v>
      </c>
      <c r="E257">
        <v>1007</v>
      </c>
      <c r="F257">
        <v>66</v>
      </c>
      <c r="G257" s="4">
        <v>8.3383333333333329</v>
      </c>
      <c r="H257" s="4">
        <v>1.0166666666666668</v>
      </c>
      <c r="I257" s="4">
        <v>0.10833333333333334</v>
      </c>
      <c r="J257" s="4">
        <v>0.26166666666666666</v>
      </c>
      <c r="K257" s="4">
        <v>1.3683333333333334</v>
      </c>
      <c r="L257" s="4">
        <v>1.2783333333333333</v>
      </c>
      <c r="M257" s="4">
        <v>4.251666666666666</v>
      </c>
    </row>
    <row r="258" spans="3:13" x14ac:dyDescent="0.2">
      <c r="C258" s="1">
        <v>45686</v>
      </c>
      <c r="D258" t="s">
        <v>64</v>
      </c>
      <c r="E258">
        <v>1026</v>
      </c>
      <c r="F258">
        <v>85</v>
      </c>
      <c r="G258" s="4">
        <v>8.92</v>
      </c>
      <c r="H258" s="4">
        <v>1</v>
      </c>
      <c r="I258" s="4">
        <v>0.24833333333333329</v>
      </c>
      <c r="J258" s="4">
        <v>0.18166666666666667</v>
      </c>
      <c r="K258" s="4">
        <v>6.3333333333333339E-2</v>
      </c>
      <c r="L258" s="4">
        <v>1.3383333333333336</v>
      </c>
      <c r="M258" s="4">
        <v>6.043333333333333</v>
      </c>
    </row>
    <row r="259" spans="3:13" x14ac:dyDescent="0.2">
      <c r="C259" s="1">
        <v>45685</v>
      </c>
      <c r="D259" t="s">
        <v>63</v>
      </c>
      <c r="E259">
        <v>1075</v>
      </c>
      <c r="F259">
        <v>176</v>
      </c>
      <c r="G259" s="4">
        <v>8.5966666666666658</v>
      </c>
      <c r="H259" s="4">
        <v>1.8966666666666667</v>
      </c>
      <c r="I259" s="4">
        <v>0.24833333333333332</v>
      </c>
      <c r="J259" s="4">
        <v>0.3116666666666667</v>
      </c>
      <c r="K259" s="4">
        <v>0.04</v>
      </c>
      <c r="L259" s="4">
        <v>1.2350000000000001</v>
      </c>
      <c r="M259" s="4">
        <v>4.8616666666666664</v>
      </c>
    </row>
    <row r="260" spans="3:13" x14ac:dyDescent="0.2">
      <c r="C260" s="1">
        <v>45684</v>
      </c>
      <c r="D260" t="s">
        <v>62</v>
      </c>
      <c r="E260">
        <v>1075</v>
      </c>
      <c r="F260">
        <v>147</v>
      </c>
      <c r="G260" s="4">
        <v>8.8650000000000002</v>
      </c>
      <c r="H260" s="4">
        <v>1.4366666666666668</v>
      </c>
      <c r="I260" s="4">
        <v>0.31</v>
      </c>
      <c r="J260" s="4">
        <v>0.39999999999999997</v>
      </c>
      <c r="K260" s="4">
        <v>0.12166666666666666</v>
      </c>
      <c r="L260" s="4">
        <v>1.3066666666666666</v>
      </c>
      <c r="M260" s="4">
        <v>5.2600000000000007</v>
      </c>
    </row>
    <row r="261" spans="3:13" x14ac:dyDescent="0.2">
      <c r="C261" s="1">
        <v>45681</v>
      </c>
      <c r="D261" t="s">
        <v>66</v>
      </c>
      <c r="E261">
        <v>976</v>
      </c>
      <c r="F261">
        <v>54</v>
      </c>
      <c r="G261" s="4">
        <v>8.8416666666666668</v>
      </c>
      <c r="H261" s="4">
        <v>0.8933333333333332</v>
      </c>
      <c r="I261" s="4">
        <v>0.17833333333333334</v>
      </c>
      <c r="J261" s="4">
        <v>0.15</v>
      </c>
      <c r="K261" s="4">
        <v>1.7366666666666664</v>
      </c>
      <c r="L261" s="4">
        <v>1.36</v>
      </c>
      <c r="M261" s="4">
        <v>4.5166666666666666</v>
      </c>
    </row>
    <row r="262" spans="3:13" x14ac:dyDescent="0.2">
      <c r="C262" s="1">
        <v>45680</v>
      </c>
      <c r="D262" t="s">
        <v>65</v>
      </c>
      <c r="E262">
        <v>1005</v>
      </c>
      <c r="F262">
        <v>59</v>
      </c>
      <c r="G262" s="4">
        <v>8.6933333333333334</v>
      </c>
      <c r="H262" s="4">
        <v>1.0016666666666667</v>
      </c>
      <c r="I262" s="4">
        <v>0.16</v>
      </c>
      <c r="J262" s="4">
        <v>0.20833333333333334</v>
      </c>
      <c r="K262" s="4">
        <v>1.9400000000000002</v>
      </c>
      <c r="L262" s="4">
        <v>1.125</v>
      </c>
      <c r="M262" s="4">
        <v>4.165</v>
      </c>
    </row>
    <row r="263" spans="3:13" x14ac:dyDescent="0.2">
      <c r="C263" s="1">
        <v>45679</v>
      </c>
      <c r="D263" t="s">
        <v>64</v>
      </c>
      <c r="E263">
        <v>1072</v>
      </c>
      <c r="F263">
        <v>90</v>
      </c>
      <c r="G263" s="4">
        <v>8.8483333333333345</v>
      </c>
      <c r="H263" s="4">
        <v>0.96833333333333327</v>
      </c>
      <c r="I263" s="4">
        <v>0.31666666666666665</v>
      </c>
      <c r="J263" s="4">
        <v>0.29000000000000004</v>
      </c>
      <c r="K263" s="4">
        <v>0.15666666666666665</v>
      </c>
      <c r="L263" s="4">
        <v>1.3099999999999998</v>
      </c>
      <c r="M263" s="4">
        <v>5.7983333333333329</v>
      </c>
    </row>
    <row r="264" spans="3:13" x14ac:dyDescent="0.2">
      <c r="C264" s="1">
        <v>45678</v>
      </c>
      <c r="D264" t="s">
        <v>63</v>
      </c>
      <c r="E264">
        <v>996</v>
      </c>
      <c r="F264">
        <v>77</v>
      </c>
      <c r="G264" s="4">
        <v>8.8250000000000011</v>
      </c>
      <c r="H264" s="4">
        <v>1.1733333333333333</v>
      </c>
      <c r="I264" s="4">
        <v>0.215</v>
      </c>
      <c r="J264" s="4">
        <v>0.24833333333333338</v>
      </c>
      <c r="K264" s="4">
        <v>0.15000000000000002</v>
      </c>
      <c r="L264" s="4">
        <v>1.3266666666666669</v>
      </c>
      <c r="M264" s="4">
        <v>5.7016666666666671</v>
      </c>
    </row>
    <row r="265" spans="3:13" x14ac:dyDescent="0.2">
      <c r="C265" s="1">
        <v>45674</v>
      </c>
      <c r="D265" t="s">
        <v>66</v>
      </c>
      <c r="E265">
        <v>896</v>
      </c>
      <c r="F265">
        <v>85</v>
      </c>
      <c r="G265" s="4">
        <v>8.8466666666666658</v>
      </c>
      <c r="H265" s="4">
        <v>1.2</v>
      </c>
      <c r="I265" s="4">
        <v>0.33166666666666661</v>
      </c>
      <c r="J265" s="4">
        <v>0.27</v>
      </c>
      <c r="K265" s="4">
        <v>5.6666666666666671E-2</v>
      </c>
      <c r="L265" s="4">
        <v>1.3766666666666667</v>
      </c>
      <c r="M265" s="4">
        <v>5.5966666666666667</v>
      </c>
    </row>
    <row r="266" spans="3:13" x14ac:dyDescent="0.2">
      <c r="C266" s="1">
        <v>45673</v>
      </c>
      <c r="D266" t="s">
        <v>65</v>
      </c>
      <c r="E266">
        <v>912</v>
      </c>
      <c r="F266">
        <v>49</v>
      </c>
      <c r="G266" s="4">
        <v>8.9666666666666668</v>
      </c>
      <c r="H266" s="4">
        <v>0.98499999999999999</v>
      </c>
      <c r="I266" s="4">
        <v>0.21</v>
      </c>
      <c r="J266" s="4">
        <v>0.18999999999999997</v>
      </c>
      <c r="K266" s="4">
        <v>0.83999999999999986</v>
      </c>
      <c r="L266" s="4">
        <v>1.43</v>
      </c>
      <c r="M266" s="4">
        <v>5.25</v>
      </c>
    </row>
    <row r="267" spans="3:13" x14ac:dyDescent="0.2">
      <c r="C267" s="1">
        <v>45672</v>
      </c>
      <c r="D267" t="s">
        <v>64</v>
      </c>
      <c r="E267">
        <v>951</v>
      </c>
      <c r="F267">
        <v>114</v>
      </c>
      <c r="G267" s="4">
        <v>8.8466666666666658</v>
      </c>
      <c r="H267" s="4">
        <v>1.1416666666666666</v>
      </c>
      <c r="I267" s="4">
        <v>0.21</v>
      </c>
      <c r="J267" s="4">
        <v>0.24000000000000002</v>
      </c>
      <c r="K267" s="4">
        <v>0.47833333333333333</v>
      </c>
      <c r="L267" s="4">
        <v>1.2666666666666666</v>
      </c>
      <c r="M267" s="4">
        <v>5.4349999999999996</v>
      </c>
    </row>
    <row r="268" spans="3:13" x14ac:dyDescent="0.2">
      <c r="C268" s="1">
        <v>45671</v>
      </c>
      <c r="D268" t="s">
        <v>63</v>
      </c>
      <c r="E268">
        <v>994</v>
      </c>
      <c r="F268">
        <v>96</v>
      </c>
      <c r="G268" s="4">
        <v>8.2033333333333331</v>
      </c>
      <c r="H268" s="4">
        <v>1.29</v>
      </c>
      <c r="I268" s="4">
        <v>0.25666666666666665</v>
      </c>
      <c r="J268" s="4">
        <v>0.27833333333333332</v>
      </c>
      <c r="K268" s="4">
        <v>9.8333333333333342E-2</v>
      </c>
      <c r="L268" s="4">
        <v>1.2766666666666666</v>
      </c>
      <c r="M268" s="4">
        <v>4.9399999999999995</v>
      </c>
    </row>
    <row r="269" spans="3:13" x14ac:dyDescent="0.2">
      <c r="C269" s="1">
        <v>45670</v>
      </c>
      <c r="D269" t="s">
        <v>62</v>
      </c>
      <c r="E269">
        <v>1012</v>
      </c>
      <c r="F269">
        <v>83</v>
      </c>
      <c r="G269" s="4">
        <v>9.0939999999999994</v>
      </c>
      <c r="H269" s="4">
        <v>1.794</v>
      </c>
      <c r="I269" s="4">
        <v>0.17599999999999999</v>
      </c>
      <c r="J269" s="4">
        <v>0.38800000000000001</v>
      </c>
      <c r="K269" s="4">
        <v>0.16999999999999998</v>
      </c>
      <c r="L269" s="4">
        <v>1.472</v>
      </c>
      <c r="M269" s="4">
        <v>5.0839999999999996</v>
      </c>
    </row>
    <row r="270" spans="3:13" x14ac:dyDescent="0.2">
      <c r="C270" s="1">
        <v>45667</v>
      </c>
      <c r="D270" t="s">
        <v>66</v>
      </c>
      <c r="E270">
        <v>883</v>
      </c>
      <c r="F270">
        <v>146</v>
      </c>
      <c r="G270" s="4">
        <v>8.9933333333333341</v>
      </c>
      <c r="H270" s="4">
        <v>1.79</v>
      </c>
      <c r="I270" s="4">
        <v>9.3333333333333338E-2</v>
      </c>
      <c r="J270" s="4">
        <v>0.20666666666666669</v>
      </c>
      <c r="K270" s="4">
        <v>1.6666666666666666E-2</v>
      </c>
      <c r="L270" s="4">
        <v>1.4000000000000001</v>
      </c>
      <c r="M270" s="4">
        <v>5.4766666666666666</v>
      </c>
    </row>
    <row r="271" spans="3:13" x14ac:dyDescent="0.2">
      <c r="C271" s="1">
        <v>45666</v>
      </c>
      <c r="D271" t="s">
        <v>65</v>
      </c>
      <c r="E271">
        <v>905</v>
      </c>
      <c r="F271">
        <v>50</v>
      </c>
      <c r="G271" s="4">
        <v>9.0024999999999995</v>
      </c>
      <c r="H271" s="4">
        <v>1.44</v>
      </c>
      <c r="I271" s="4">
        <v>0.23499999999999999</v>
      </c>
      <c r="J271" s="4">
        <v>0.26</v>
      </c>
      <c r="K271" s="4">
        <v>1.0699999999999998</v>
      </c>
      <c r="L271" s="4">
        <v>1.4875</v>
      </c>
      <c r="M271" s="4">
        <v>4.5024999999999995</v>
      </c>
    </row>
    <row r="272" spans="3:13" x14ac:dyDescent="0.2">
      <c r="C272" s="1">
        <v>45665</v>
      </c>
      <c r="D272" t="s">
        <v>64</v>
      </c>
      <c r="E272">
        <v>947</v>
      </c>
      <c r="F272">
        <v>113</v>
      </c>
      <c r="G272" s="4">
        <v>8.3166666666666682</v>
      </c>
      <c r="H272" s="4">
        <v>2.8733333333333335</v>
      </c>
      <c r="I272" s="4">
        <v>0.14000000000000001</v>
      </c>
      <c r="J272" s="4">
        <v>0.54666666666666675</v>
      </c>
      <c r="K272" s="4">
        <v>0</v>
      </c>
      <c r="L272" s="4">
        <v>1.3133333333333332</v>
      </c>
      <c r="M272" s="4">
        <v>3.44</v>
      </c>
    </row>
    <row r="273" spans="3:13" x14ac:dyDescent="0.2">
      <c r="C273" s="1">
        <v>45664</v>
      </c>
      <c r="D273" t="s">
        <v>63</v>
      </c>
      <c r="E273">
        <v>859</v>
      </c>
      <c r="F273">
        <v>70</v>
      </c>
      <c r="G273" s="4">
        <v>9</v>
      </c>
      <c r="H273" s="4">
        <v>1.3699999999999999</v>
      </c>
      <c r="I273" s="4">
        <v>0.42599999999999999</v>
      </c>
      <c r="J273" s="4">
        <v>0.27400000000000002</v>
      </c>
      <c r="K273" s="4">
        <v>1.4540000000000002</v>
      </c>
      <c r="L273" s="4">
        <v>1.476</v>
      </c>
      <c r="M273" s="4">
        <v>3.992</v>
      </c>
    </row>
    <row r="274" spans="3:13" x14ac:dyDescent="0.2">
      <c r="C274" s="1">
        <v>45663</v>
      </c>
      <c r="D274" t="s">
        <v>62</v>
      </c>
      <c r="E274">
        <v>868</v>
      </c>
      <c r="F274">
        <v>59</v>
      </c>
      <c r="G274" s="4">
        <v>8.0875000000000004</v>
      </c>
      <c r="H274" s="4">
        <v>1.59</v>
      </c>
      <c r="I274" s="4">
        <v>0.26750000000000002</v>
      </c>
      <c r="J274" s="4">
        <v>0.40750000000000003</v>
      </c>
      <c r="K274" s="4">
        <v>0.28000000000000003</v>
      </c>
      <c r="L274" s="4">
        <v>1.115</v>
      </c>
      <c r="M274" s="4">
        <v>4.34</v>
      </c>
    </row>
    <row r="275" spans="3:13" x14ac:dyDescent="0.2">
      <c r="C275" s="1">
        <v>45660</v>
      </c>
      <c r="D275" t="s">
        <v>66</v>
      </c>
      <c r="E275">
        <v>924</v>
      </c>
      <c r="F275">
        <v>62</v>
      </c>
      <c r="G275" s="4">
        <v>9.0625</v>
      </c>
      <c r="H275" s="4">
        <v>2.145</v>
      </c>
      <c r="I275" s="4">
        <v>0.34500000000000003</v>
      </c>
      <c r="J275" s="4">
        <v>0.33499999999999996</v>
      </c>
      <c r="K275" s="4">
        <v>0.49500000000000005</v>
      </c>
      <c r="L275" s="4">
        <v>1.6425000000000001</v>
      </c>
      <c r="M275" s="4">
        <v>4.0874999999999995</v>
      </c>
    </row>
    <row r="276" spans="3:13" x14ac:dyDescent="0.2">
      <c r="C276" s="1">
        <v>45659</v>
      </c>
      <c r="D276" t="s">
        <v>65</v>
      </c>
      <c r="E276">
        <v>167</v>
      </c>
      <c r="F276">
        <v>161</v>
      </c>
      <c r="G276" s="4">
        <v>9.057500000000001</v>
      </c>
      <c r="H276" s="4">
        <v>2.9325000000000001</v>
      </c>
      <c r="I276" s="4">
        <v>0.75250000000000006</v>
      </c>
      <c r="J276" s="4">
        <v>0.34500000000000003</v>
      </c>
      <c r="K276" s="4">
        <v>0.21000000000000002</v>
      </c>
      <c r="L276" s="4">
        <v>1.4725000000000001</v>
      </c>
      <c r="M276" s="4">
        <v>3.25</v>
      </c>
    </row>
    <row r="277" spans="3:13" x14ac:dyDescent="0.2">
      <c r="D277" t="s">
        <v>68</v>
      </c>
      <c r="E277">
        <v>841</v>
      </c>
      <c r="F277">
        <v>0</v>
      </c>
    </row>
    <row r="278" spans="3:13" x14ac:dyDescent="0.2">
      <c r="C278" s="1" t="s">
        <v>57</v>
      </c>
      <c r="E278">
        <v>223571</v>
      </c>
      <c r="F278">
        <v>23393</v>
      </c>
      <c r="G278">
        <v>8.6354792332268389</v>
      </c>
      <c r="H278">
        <v>1.7268051118210863</v>
      </c>
      <c r="I278">
        <v>0.26301118210862606</v>
      </c>
      <c r="J278">
        <v>0.28310702875399352</v>
      </c>
      <c r="K278">
        <v>0.35622204472843472</v>
      </c>
      <c r="L278">
        <v>1.2319568690095919</v>
      </c>
      <c r="M278">
        <v>4.7473322683705952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8A14B-21B8-784C-98FE-EEB92E3AB029}">
  <dimension ref="C3:P38"/>
  <sheetViews>
    <sheetView showGridLines="0" tabSelected="1" workbookViewId="0">
      <selection activeCell="G29" sqref="G29"/>
    </sheetView>
  </sheetViews>
  <sheetFormatPr baseColWidth="10" defaultRowHeight="16" x14ac:dyDescent="0.2"/>
  <cols>
    <col min="1" max="2" width="2.83203125" customWidth="1"/>
    <col min="4" max="4" width="13.1640625" bestFit="1" customWidth="1"/>
    <col min="5" max="5" width="21.1640625" bestFit="1" customWidth="1"/>
    <col min="13" max="13" width="15.1640625" bestFit="1" customWidth="1"/>
  </cols>
  <sheetData>
    <row r="3" spans="3:16" x14ac:dyDescent="0.2">
      <c r="C3" s="19" t="s">
        <v>90</v>
      </c>
      <c r="D3" s="20"/>
      <c r="E3" s="21"/>
    </row>
    <row r="5" spans="3:16" x14ac:dyDescent="0.2">
      <c r="C5" s="5" t="str">
        <f>Pivots!P5</f>
        <v>Call_month</v>
      </c>
      <c r="D5" s="6" t="s">
        <v>79</v>
      </c>
      <c r="E5" s="6" t="s">
        <v>80</v>
      </c>
      <c r="F5" s="6" t="s">
        <v>81</v>
      </c>
      <c r="G5" s="6" t="s">
        <v>82</v>
      </c>
      <c r="H5" s="6" t="s">
        <v>83</v>
      </c>
      <c r="I5" s="6" t="s">
        <v>84</v>
      </c>
      <c r="J5" s="6" t="s">
        <v>85</v>
      </c>
      <c r="K5" s="6" t="s">
        <v>86</v>
      </c>
      <c r="L5" s="6" t="s">
        <v>87</v>
      </c>
      <c r="M5" s="6" t="s">
        <v>88</v>
      </c>
      <c r="N5" s="6" t="s">
        <v>89</v>
      </c>
      <c r="O5" s="14" t="s">
        <v>122</v>
      </c>
    </row>
    <row r="6" spans="3:16" x14ac:dyDescent="0.2">
      <c r="C6" s="7">
        <f>Pivots!P6</f>
        <v>46081</v>
      </c>
      <c r="D6" s="8">
        <f>Pivots!Q6</f>
        <v>4767</v>
      </c>
      <c r="E6" s="8">
        <f>Pivots!R6</f>
        <v>559</v>
      </c>
      <c r="F6" s="9">
        <f>Pivots!S6</f>
        <v>8.8638461538461524</v>
      </c>
      <c r="G6" s="9">
        <f>Pivots!T6</f>
        <v>3.1761538461538459</v>
      </c>
      <c r="H6" s="9">
        <f>Pivots!U6</f>
        <v>0.40076923076923077</v>
      </c>
      <c r="I6" s="9">
        <f>Pivots!V6</f>
        <v>0.37153846153846154</v>
      </c>
      <c r="J6" s="9">
        <f>Pivots!W6</f>
        <v>7.6153846153846155E-2</v>
      </c>
      <c r="K6" s="9">
        <f>Pivots!X6</f>
        <v>1.3369230769230771</v>
      </c>
      <c r="L6" s="9">
        <f>Pivots!Y6</f>
        <v>3.4915384615384615</v>
      </c>
      <c r="M6" s="15">
        <f>SUM(G6:J6)/F6</f>
        <v>0.45404842488935171</v>
      </c>
      <c r="N6" s="15">
        <f>L6/F6</f>
        <v>0.39390783650091127</v>
      </c>
      <c r="O6" s="17">
        <f>K6/F6</f>
        <v>0.15082877722815244</v>
      </c>
      <c r="P6" s="13"/>
    </row>
    <row r="7" spans="3:16" x14ac:dyDescent="0.2">
      <c r="C7" s="7">
        <f>Pivots!P7</f>
        <v>46053</v>
      </c>
      <c r="D7" s="8">
        <f>Pivots!Q7</f>
        <v>22226</v>
      </c>
      <c r="E7" s="8">
        <f>Pivots!R7</f>
        <v>2734</v>
      </c>
      <c r="F7" s="9">
        <f>Pivots!S7</f>
        <v>8.6537634408602155</v>
      </c>
      <c r="G7" s="9">
        <f>Pivots!T7</f>
        <v>2.5906451612903232</v>
      </c>
      <c r="H7" s="9">
        <f>Pivots!U7</f>
        <v>0.32010752688172034</v>
      </c>
      <c r="I7" s="9">
        <f>Pivots!V7</f>
        <v>0.37236559139784942</v>
      </c>
      <c r="J7" s="9">
        <f>Pivots!W7</f>
        <v>0.47612903225806447</v>
      </c>
      <c r="K7" s="9">
        <f>Pivots!X7</f>
        <v>1.304838709677419</v>
      </c>
      <c r="L7" s="9">
        <f>Pivots!Y7</f>
        <v>3.5693548387096774</v>
      </c>
      <c r="M7" s="15">
        <f t="shared" ref="M7:M19" si="0">SUM(G7:J7)/F7</f>
        <v>0.43440606361829026</v>
      </c>
      <c r="N7" s="15">
        <f t="shared" ref="N7:N19" si="1">L7/F7</f>
        <v>0.41246272365805164</v>
      </c>
      <c r="O7" s="17">
        <f t="shared" ref="O7:O19" si="2">K7/F7</f>
        <v>0.15078280318091447</v>
      </c>
      <c r="P7" s="13"/>
    </row>
    <row r="8" spans="3:16" x14ac:dyDescent="0.2">
      <c r="C8" s="7">
        <f>Pivots!P8</f>
        <v>46022</v>
      </c>
      <c r="D8" s="8">
        <f>Pivots!Q8</f>
        <v>20515</v>
      </c>
      <c r="E8" s="8">
        <f>Pivots!R8</f>
        <v>2272</v>
      </c>
      <c r="F8" s="9">
        <f>Pivots!S8</f>
        <v>8.4256250000000001</v>
      </c>
      <c r="G8" s="9">
        <f>Pivots!T8</f>
        <v>2.092625</v>
      </c>
      <c r="H8" s="9">
        <f>Pivots!U8</f>
        <v>0.31474999999999997</v>
      </c>
      <c r="I8" s="9">
        <f>Pivots!V8</f>
        <v>0.38562499999999994</v>
      </c>
      <c r="J8" s="9">
        <f>Pivots!W8</f>
        <v>0.34112500000000007</v>
      </c>
      <c r="K8" s="9">
        <f>Pivots!X8</f>
        <v>1.2054999999999998</v>
      </c>
      <c r="L8" s="9">
        <f>Pivots!Y8</f>
        <v>4.0723749999999983</v>
      </c>
      <c r="M8" s="15">
        <f t="shared" si="0"/>
        <v>0.37197537274682885</v>
      </c>
      <c r="N8" s="15">
        <f t="shared" si="1"/>
        <v>0.483332097025443</v>
      </c>
      <c r="O8" s="17">
        <f t="shared" si="2"/>
        <v>0.14307543950745491</v>
      </c>
      <c r="P8" s="13"/>
    </row>
    <row r="9" spans="3:16" x14ac:dyDescent="0.2">
      <c r="C9" s="7">
        <f>Pivots!P9</f>
        <v>45991</v>
      </c>
      <c r="D9" s="8">
        <f>Pivots!Q9</f>
        <v>19178</v>
      </c>
      <c r="E9" s="8">
        <f>Pivots!R9</f>
        <v>2110</v>
      </c>
      <c r="F9" s="9">
        <f>Pivots!S9</f>
        <v>8.8146913580246924</v>
      </c>
      <c r="G9" s="9">
        <f>Pivots!T9</f>
        <v>2.0165432098765432</v>
      </c>
      <c r="H9" s="9">
        <f>Pivots!U9</f>
        <v>0.54049382716049388</v>
      </c>
      <c r="I9" s="9">
        <f>Pivots!V9</f>
        <v>0.3322222222222222</v>
      </c>
      <c r="J9" s="9">
        <f>Pivots!W9</f>
        <v>0.391358024691358</v>
      </c>
      <c r="K9" s="9">
        <f>Pivots!X9</f>
        <v>1.2648148148148144</v>
      </c>
      <c r="L9" s="9">
        <f>Pivots!Y9</f>
        <v>4.2433333333333332</v>
      </c>
      <c r="M9" s="15">
        <f t="shared" si="0"/>
        <v>0.37217608089749155</v>
      </c>
      <c r="N9" s="15">
        <f t="shared" si="1"/>
        <v>0.48139329682488541</v>
      </c>
      <c r="O9" s="17">
        <f t="shared" si="2"/>
        <v>0.14348940461350992</v>
      </c>
      <c r="P9" s="13"/>
    </row>
    <row r="10" spans="3:16" x14ac:dyDescent="0.2">
      <c r="C10" s="7">
        <f>Pivots!P10</f>
        <v>45961</v>
      </c>
      <c r="D10" s="8">
        <f>Pivots!Q10</f>
        <v>16628</v>
      </c>
      <c r="E10" s="8">
        <f>Pivots!R10</f>
        <v>1921</v>
      </c>
      <c r="F10" s="9">
        <f>Pivots!S10</f>
        <v>8.6252777777777805</v>
      </c>
      <c r="G10" s="9">
        <f>Pivots!T10</f>
        <v>3.0390740740740738</v>
      </c>
      <c r="H10" s="9">
        <f>Pivots!U10</f>
        <v>0.34601851851851856</v>
      </c>
      <c r="I10" s="9">
        <f>Pivots!V10</f>
        <v>0.20009259259259266</v>
      </c>
      <c r="J10" s="9">
        <f>Pivots!W10</f>
        <v>0.24981481481481474</v>
      </c>
      <c r="K10" s="9">
        <f>Pivots!X10</f>
        <v>1.255925925925925</v>
      </c>
      <c r="L10" s="9">
        <f>Pivots!Y10</f>
        <v>3.5203703703703715</v>
      </c>
      <c r="M10" s="15">
        <f t="shared" si="0"/>
        <v>0.44462336156645504</v>
      </c>
      <c r="N10" s="15">
        <f t="shared" si="1"/>
        <v>0.40814573873090509</v>
      </c>
      <c r="O10" s="17">
        <f t="shared" si="2"/>
        <v>0.14560991057722228</v>
      </c>
      <c r="P10" s="13"/>
    </row>
    <row r="11" spans="3:16" x14ac:dyDescent="0.2">
      <c r="C11" s="7">
        <f>Pivots!P11</f>
        <v>45930</v>
      </c>
      <c r="D11" s="8">
        <f>Pivots!Q11</f>
        <v>13444</v>
      </c>
      <c r="E11" s="8">
        <f>Pivots!R11</f>
        <v>1641</v>
      </c>
      <c r="F11" s="9">
        <f>Pivots!S11</f>
        <v>8.6389690721649455</v>
      </c>
      <c r="G11" s="9">
        <f>Pivots!T11</f>
        <v>2.3755670103092776</v>
      </c>
      <c r="H11" s="9">
        <f>Pivots!U11</f>
        <v>0.26381443298969065</v>
      </c>
      <c r="I11" s="9">
        <f>Pivots!V11</f>
        <v>0.33247422680412381</v>
      </c>
      <c r="J11" s="9">
        <f>Pivots!W11</f>
        <v>0.24536082474226797</v>
      </c>
      <c r="K11" s="9">
        <f>Pivots!X11</f>
        <v>1.2196907216494848</v>
      </c>
      <c r="L11" s="9">
        <f>Pivots!Y11</f>
        <v>4.1845360824742279</v>
      </c>
      <c r="M11" s="15">
        <f t="shared" si="0"/>
        <v>0.37240745602520353</v>
      </c>
      <c r="N11" s="15">
        <f t="shared" si="1"/>
        <v>0.48437910212654267</v>
      </c>
      <c r="O11" s="17">
        <f t="shared" si="2"/>
        <v>0.14118475381274023</v>
      </c>
      <c r="P11" s="13"/>
    </row>
    <row r="12" spans="3:16" x14ac:dyDescent="0.2">
      <c r="C12" s="7">
        <f>Pivots!P12</f>
        <v>45900</v>
      </c>
      <c r="D12" s="8">
        <f>Pivots!Q12</f>
        <v>11715</v>
      </c>
      <c r="E12" s="8">
        <f>Pivots!R12</f>
        <v>1328</v>
      </c>
      <c r="F12" s="9">
        <f>Pivots!S12</f>
        <v>8.7753125000000001</v>
      </c>
      <c r="G12" s="9">
        <f>Pivots!T12</f>
        <v>1.3819791666666668</v>
      </c>
      <c r="H12" s="9">
        <f>Pivots!U12</f>
        <v>0.19458333333333336</v>
      </c>
      <c r="I12" s="9">
        <f>Pivots!V12</f>
        <v>0.2412500000000001</v>
      </c>
      <c r="J12" s="9">
        <f>Pivots!W12</f>
        <v>0.51656249999999992</v>
      </c>
      <c r="K12" s="9">
        <f>Pivots!X12</f>
        <v>1.2847916666666663</v>
      </c>
      <c r="L12" s="9">
        <f>Pivots!Y12</f>
        <v>5.1243750000000015</v>
      </c>
      <c r="M12" s="15">
        <f t="shared" si="0"/>
        <v>0.26601616751540186</v>
      </c>
      <c r="N12" s="15">
        <f t="shared" si="1"/>
        <v>0.58395356290730405</v>
      </c>
      <c r="O12" s="17">
        <f t="shared" si="2"/>
        <v>0.14640979072445184</v>
      </c>
      <c r="P12" s="13"/>
    </row>
    <row r="13" spans="3:16" x14ac:dyDescent="0.2">
      <c r="C13" s="7">
        <f>Pivots!P13</f>
        <v>45869</v>
      </c>
      <c r="D13" s="8">
        <f>Pivots!Q13</f>
        <v>13495</v>
      </c>
      <c r="E13" s="8">
        <f>Pivots!R13</f>
        <v>1445</v>
      </c>
      <c r="F13" s="9">
        <f>Pivots!S13</f>
        <v>8.6698039215686276</v>
      </c>
      <c r="G13" s="9">
        <f>Pivots!T13</f>
        <v>1.1633333333333336</v>
      </c>
      <c r="H13" s="9">
        <f>Pivots!U13</f>
        <v>0.21774509803921563</v>
      </c>
      <c r="I13" s="9">
        <f>Pivots!V13</f>
        <v>0.25960784313725488</v>
      </c>
      <c r="J13" s="9">
        <f>Pivots!W13</f>
        <v>0.31156862745098041</v>
      </c>
      <c r="K13" s="9">
        <f>Pivots!X13</f>
        <v>1.1983333333333328</v>
      </c>
      <c r="L13" s="9">
        <f>Pivots!Y13</f>
        <v>5.4922549019607843</v>
      </c>
      <c r="M13" s="15">
        <f t="shared" si="0"/>
        <v>0.2251786683553465</v>
      </c>
      <c r="N13" s="15">
        <f t="shared" si="1"/>
        <v>0.63349240094083592</v>
      </c>
      <c r="O13" s="17">
        <f t="shared" si="2"/>
        <v>0.13821919667088831</v>
      </c>
      <c r="P13" s="13"/>
    </row>
    <row r="14" spans="3:16" x14ac:dyDescent="0.2">
      <c r="C14" s="7">
        <f>Pivots!P14</f>
        <v>45838</v>
      </c>
      <c r="D14" s="8">
        <f>Pivots!Q14</f>
        <v>12826</v>
      </c>
      <c r="E14" s="8">
        <f>Pivots!R14</f>
        <v>1312</v>
      </c>
      <c r="F14" s="9">
        <f>Pivots!S14</f>
        <v>8.3987912087912076</v>
      </c>
      <c r="G14" s="9">
        <f>Pivots!T14</f>
        <v>1.2889010989010989</v>
      </c>
      <c r="H14" s="9">
        <f>Pivots!U14</f>
        <v>0.25219780219780202</v>
      </c>
      <c r="I14" s="9">
        <f>Pivots!V14</f>
        <v>0.31879120879120881</v>
      </c>
      <c r="J14" s="9">
        <f>Pivots!W14</f>
        <v>0.27582417582417579</v>
      </c>
      <c r="K14" s="9">
        <f>Pivots!X14</f>
        <v>1.0885714285714285</v>
      </c>
      <c r="L14" s="9">
        <f>Pivots!Y14</f>
        <v>5.1435164835164846</v>
      </c>
      <c r="M14" s="15">
        <f t="shared" si="0"/>
        <v>0.2542882937105026</v>
      </c>
      <c r="N14" s="15">
        <f t="shared" si="1"/>
        <v>0.61241151918774306</v>
      </c>
      <c r="O14" s="17">
        <f t="shared" si="2"/>
        <v>0.12961048816548693</v>
      </c>
      <c r="P14" s="13"/>
    </row>
    <row r="15" spans="3:16" x14ac:dyDescent="0.2">
      <c r="C15" s="7">
        <f>Pivots!P15</f>
        <v>45808</v>
      </c>
      <c r="D15" s="8">
        <f>Pivots!Q15</f>
        <v>15346</v>
      </c>
      <c r="E15" s="8">
        <f>Pivots!R15</f>
        <v>1548</v>
      </c>
      <c r="F15" s="9">
        <f>Pivots!S15</f>
        <v>8.5908849557522107</v>
      </c>
      <c r="G15" s="9">
        <f>Pivots!T15</f>
        <v>1.1486725663716812</v>
      </c>
      <c r="H15" s="9">
        <f>Pivots!U15</f>
        <v>0.19982300884955756</v>
      </c>
      <c r="I15" s="9">
        <f>Pivots!V15</f>
        <v>0.23212389380530973</v>
      </c>
      <c r="J15" s="9">
        <f>Pivots!W15</f>
        <v>0.26707964601769907</v>
      </c>
      <c r="K15" s="9">
        <f>Pivots!X15</f>
        <v>1.2180530973451327</v>
      </c>
      <c r="L15" s="9">
        <f>Pivots!Y15</f>
        <v>5.5012389380530982</v>
      </c>
      <c r="M15" s="15">
        <f t="shared" si="0"/>
        <v>0.21507669169834262</v>
      </c>
      <c r="N15" s="15">
        <f t="shared" si="1"/>
        <v>0.64035765423323776</v>
      </c>
      <c r="O15" s="17">
        <f t="shared" si="2"/>
        <v>0.14178435674773635</v>
      </c>
      <c r="P15" s="13"/>
    </row>
    <row r="16" spans="3:16" x14ac:dyDescent="0.2">
      <c r="C16" s="7">
        <f>Pivots!P16</f>
        <v>45777</v>
      </c>
      <c r="D16" s="8">
        <f>Pivots!Q16</f>
        <v>16926</v>
      </c>
      <c r="E16" s="8">
        <f>Pivots!R16</f>
        <v>1576</v>
      </c>
      <c r="F16" s="9">
        <f>Pivots!S16</f>
        <v>8.6095000000000006</v>
      </c>
      <c r="G16" s="9">
        <f>Pivots!T16</f>
        <v>1.0611999999999997</v>
      </c>
      <c r="H16" s="9">
        <f>Pivots!U16</f>
        <v>0.16730000000000003</v>
      </c>
      <c r="I16" s="9">
        <f>Pivots!V16</f>
        <v>0.22190000000000001</v>
      </c>
      <c r="J16" s="9">
        <f>Pivots!W16</f>
        <v>0.28050000000000003</v>
      </c>
      <c r="K16" s="9">
        <f>Pivots!X16</f>
        <v>1.1874999999999993</v>
      </c>
      <c r="L16" s="9">
        <f>Pivots!Y16</f>
        <v>5.649799999999999</v>
      </c>
      <c r="M16" s="15">
        <f t="shared" si="0"/>
        <v>0.20104535687322139</v>
      </c>
      <c r="N16" s="15">
        <f t="shared" si="1"/>
        <v>0.65622858470294432</v>
      </c>
      <c r="O16" s="17">
        <f t="shared" si="2"/>
        <v>0.13792903188338454</v>
      </c>
      <c r="P16" s="13"/>
    </row>
    <row r="17" spans="3:16" x14ac:dyDescent="0.2">
      <c r="C17" s="7">
        <f>Pivots!P17</f>
        <v>45747</v>
      </c>
      <c r="D17" s="8">
        <f>Pivots!Q17</f>
        <v>17692</v>
      </c>
      <c r="E17" s="8">
        <f>Pivots!R17</f>
        <v>1437</v>
      </c>
      <c r="F17" s="9">
        <f>Pivots!S17</f>
        <v>8.6172368421052621</v>
      </c>
      <c r="G17" s="9">
        <f>Pivots!T17</f>
        <v>1.3856578947368419</v>
      </c>
      <c r="H17" s="9">
        <f>Pivots!U17</f>
        <v>0.1627631578947368</v>
      </c>
      <c r="I17" s="9">
        <f>Pivots!V17</f>
        <v>0.2489473684210525</v>
      </c>
      <c r="J17" s="9">
        <f>Pivots!W17</f>
        <v>0.30973684210526309</v>
      </c>
      <c r="K17" s="9">
        <f>Pivots!X17</f>
        <v>1.159473684210526</v>
      </c>
      <c r="L17" s="9">
        <f>Pivots!Y17</f>
        <v>5.3068421052631578</v>
      </c>
      <c r="M17" s="15">
        <f t="shared" si="0"/>
        <v>0.24452214808141576</v>
      </c>
      <c r="N17" s="15">
        <f t="shared" si="1"/>
        <v>0.61584034447481339</v>
      </c>
      <c r="O17" s="17">
        <f t="shared" si="2"/>
        <v>0.13455283932143347</v>
      </c>
      <c r="P17" s="13"/>
    </row>
    <row r="18" spans="3:16" x14ac:dyDescent="0.2">
      <c r="C18" s="7">
        <f>Pivots!P18</f>
        <v>45716</v>
      </c>
      <c r="D18" s="8">
        <f>Pivots!Q18</f>
        <v>18470</v>
      </c>
      <c r="E18" s="8">
        <f>Pivots!R18</f>
        <v>1599</v>
      </c>
      <c r="F18" s="9">
        <f>Pivots!S18</f>
        <v>8.6448913043478246</v>
      </c>
      <c r="G18" s="9">
        <f>Pivots!T18</f>
        <v>1.3693478260869567</v>
      </c>
      <c r="H18" s="9">
        <f>Pivots!U18</f>
        <v>0.20739130434782607</v>
      </c>
      <c r="I18" s="9">
        <f>Pivots!V18</f>
        <v>0.29065217391304349</v>
      </c>
      <c r="J18" s="9">
        <f>Pivots!W18</f>
        <v>0.47195652173913077</v>
      </c>
      <c r="K18" s="9">
        <f>Pivots!X18</f>
        <v>1.2353260869565217</v>
      </c>
      <c r="L18" s="9">
        <f>Pivots!Y18</f>
        <v>5.0425000000000013</v>
      </c>
      <c r="M18" s="15">
        <f t="shared" si="0"/>
        <v>0.27060465467164585</v>
      </c>
      <c r="N18" s="15">
        <f t="shared" si="1"/>
        <v>0.58329246979241345</v>
      </c>
      <c r="O18" s="17">
        <f t="shared" si="2"/>
        <v>0.14289665924836234</v>
      </c>
      <c r="P18" s="13"/>
    </row>
    <row r="19" spans="3:16" x14ac:dyDescent="0.2">
      <c r="C19" s="10">
        <f>Pivots!P19</f>
        <v>45688</v>
      </c>
      <c r="D19" s="11">
        <f>Pivots!Q19</f>
        <v>20343</v>
      </c>
      <c r="E19" s="11">
        <f>Pivots!R19</f>
        <v>1911</v>
      </c>
      <c r="F19" s="12">
        <f>Pivots!S19</f>
        <v>8.736727272727272</v>
      </c>
      <c r="G19" s="12">
        <f>Pivots!T19</f>
        <v>1.4046363636363643</v>
      </c>
      <c r="H19" s="12">
        <f>Pivots!U19</f>
        <v>0.2526363636363636</v>
      </c>
      <c r="I19" s="12">
        <f>Pivots!V19</f>
        <v>0.27854545454545454</v>
      </c>
      <c r="J19" s="12">
        <f>Pivots!W19</f>
        <v>0.53899999999999981</v>
      </c>
      <c r="K19" s="12">
        <f>Pivots!X19</f>
        <v>1.3459090909090907</v>
      </c>
      <c r="L19" s="12">
        <f>Pivots!Y19</f>
        <v>4.8787272727272732</v>
      </c>
      <c r="M19" s="16">
        <f t="shared" si="0"/>
        <v>0.28326604511778913</v>
      </c>
      <c r="N19" s="16">
        <f t="shared" si="1"/>
        <v>0.55841588279364029</v>
      </c>
      <c r="O19" s="18">
        <f t="shared" si="2"/>
        <v>0.15405186048447514</v>
      </c>
      <c r="P19" s="13"/>
    </row>
    <row r="22" spans="3:16" x14ac:dyDescent="0.2">
      <c r="C22" s="27" t="s">
        <v>357</v>
      </c>
      <c r="D22" s="27" t="s">
        <v>356</v>
      </c>
      <c r="E22" s="27" t="s">
        <v>358</v>
      </c>
    </row>
    <row r="23" spans="3:16" x14ac:dyDescent="0.2">
      <c r="C23" s="22" t="s">
        <v>355</v>
      </c>
      <c r="D23" s="23" t="s">
        <v>111</v>
      </c>
      <c r="E23" s="24"/>
    </row>
    <row r="24" spans="3:16" x14ac:dyDescent="0.2">
      <c r="C24" s="22"/>
      <c r="D24" s="23" t="s">
        <v>101</v>
      </c>
      <c r="E24" s="24"/>
    </row>
    <row r="25" spans="3:16" x14ac:dyDescent="0.2">
      <c r="C25" s="22"/>
      <c r="D25" s="25" t="s">
        <v>95</v>
      </c>
      <c r="E25" s="23" t="s">
        <v>103</v>
      </c>
    </row>
    <row r="26" spans="3:16" x14ac:dyDescent="0.2">
      <c r="C26" s="24" t="s">
        <v>83</v>
      </c>
      <c r="D26" s="25" t="s">
        <v>95</v>
      </c>
      <c r="E26" s="24" t="s">
        <v>118</v>
      </c>
    </row>
    <row r="27" spans="3:16" x14ac:dyDescent="0.2">
      <c r="C27" s="28" t="s">
        <v>84</v>
      </c>
      <c r="D27" s="25" t="s">
        <v>112</v>
      </c>
      <c r="E27" s="24"/>
    </row>
    <row r="28" spans="3:16" x14ac:dyDescent="0.2">
      <c r="C28" s="28"/>
      <c r="D28" s="29" t="s">
        <v>95</v>
      </c>
      <c r="E28" s="24" t="s">
        <v>108</v>
      </c>
    </row>
    <row r="29" spans="3:16" x14ac:dyDescent="0.2">
      <c r="C29" s="28"/>
      <c r="D29" s="29"/>
      <c r="E29" s="24" t="s">
        <v>359</v>
      </c>
    </row>
    <row r="30" spans="3:16" x14ac:dyDescent="0.2">
      <c r="C30" s="28"/>
      <c r="D30" s="29"/>
      <c r="E30" s="24" t="s">
        <v>360</v>
      </c>
    </row>
    <row r="31" spans="3:16" x14ac:dyDescent="0.2">
      <c r="C31" s="28"/>
      <c r="D31" s="29"/>
      <c r="E31" s="24" t="s">
        <v>115</v>
      </c>
    </row>
    <row r="32" spans="3:16" x14ac:dyDescent="0.2">
      <c r="C32" s="28"/>
      <c r="D32" s="29"/>
      <c r="E32" s="24" t="s">
        <v>104</v>
      </c>
    </row>
    <row r="33" spans="3:5" x14ac:dyDescent="0.2">
      <c r="C33" s="28" t="s">
        <v>85</v>
      </c>
      <c r="D33" s="29" t="s">
        <v>95</v>
      </c>
      <c r="E33" s="26" t="s">
        <v>117</v>
      </c>
    </row>
    <row r="34" spans="3:5" x14ac:dyDescent="0.2">
      <c r="C34" s="28"/>
      <c r="D34" s="29"/>
      <c r="E34" s="26" t="s">
        <v>106</v>
      </c>
    </row>
    <row r="35" spans="3:5" x14ac:dyDescent="0.2">
      <c r="C35" s="28" t="s">
        <v>361</v>
      </c>
      <c r="D35" s="29" t="s">
        <v>95</v>
      </c>
      <c r="E35" s="26" t="s">
        <v>105</v>
      </c>
    </row>
    <row r="36" spans="3:5" x14ac:dyDescent="0.2">
      <c r="C36" s="28"/>
      <c r="D36" s="29"/>
      <c r="E36" s="26" t="s">
        <v>97</v>
      </c>
    </row>
    <row r="37" spans="3:5" x14ac:dyDescent="0.2">
      <c r="C37" s="28"/>
      <c r="D37" s="29"/>
      <c r="E37" s="26" t="s">
        <v>121</v>
      </c>
    </row>
    <row r="38" spans="3:5" x14ac:dyDescent="0.2">
      <c r="C38" s="24" t="s">
        <v>87</v>
      </c>
      <c r="D38" s="24" t="s">
        <v>96</v>
      </c>
      <c r="E38" s="24"/>
    </row>
  </sheetData>
  <mergeCells count="8">
    <mergeCell ref="D33:D34"/>
    <mergeCell ref="C33:C34"/>
    <mergeCell ref="C35:C37"/>
    <mergeCell ref="D35:D37"/>
    <mergeCell ref="C27:C32"/>
    <mergeCell ref="C3:E3"/>
    <mergeCell ref="C23:C25"/>
    <mergeCell ref="D28:D32"/>
  </mergeCells>
  <conditionalFormatting sqref="M6:M19">
    <cfRule type="colorScale" priority="3">
      <colorScale>
        <cfvo type="min"/>
        <cfvo type="percentile" val="50"/>
        <cfvo type="max"/>
        <color rgb="FFF8696B"/>
        <color rgb="FFFFEB84"/>
        <color rgb="FF63BE7B"/>
      </colorScale>
    </cfRule>
  </conditionalFormatting>
  <conditionalFormatting sqref="N6:N19">
    <cfRule type="colorScale" priority="2">
      <colorScale>
        <cfvo type="min"/>
        <cfvo type="percentile" val="50"/>
        <cfvo type="max"/>
        <color rgb="FF63BE7B"/>
        <color rgb="FFFFEB84"/>
        <color rgb="FFF8696B"/>
      </colorScale>
    </cfRule>
  </conditionalFormatting>
  <conditionalFormatting sqref="P6:P19">
    <cfRule type="colorScale" priority="1">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C51C4-C5AF-3E4F-BCFD-01E1CE011F58}">
  <dimension ref="A1:F38"/>
  <sheetViews>
    <sheetView workbookViewId="0">
      <selection activeCell="F29" activeCellId="1" sqref="F31 F29"/>
    </sheetView>
  </sheetViews>
  <sheetFormatPr baseColWidth="10" defaultRowHeight="16" x14ac:dyDescent="0.2"/>
  <cols>
    <col min="5" max="5" width="24.5" bestFit="1" customWidth="1"/>
    <col min="6" max="6" width="21.1640625" bestFit="1" customWidth="1"/>
  </cols>
  <sheetData>
    <row r="1" spans="1:6" x14ac:dyDescent="0.2">
      <c r="A1" t="s">
        <v>91</v>
      </c>
      <c r="B1" t="s">
        <v>92</v>
      </c>
    </row>
    <row r="2" spans="1:6" x14ac:dyDescent="0.2">
      <c r="A2" t="s">
        <v>93</v>
      </c>
      <c r="B2" t="s">
        <v>94</v>
      </c>
    </row>
    <row r="3" spans="1:6" x14ac:dyDescent="0.2">
      <c r="A3" t="s">
        <v>95</v>
      </c>
      <c r="B3" t="s">
        <v>95</v>
      </c>
    </row>
    <row r="4" spans="1:6" x14ac:dyDescent="0.2">
      <c r="A4" t="s">
        <v>96</v>
      </c>
      <c r="E4" s="3" t="s">
        <v>91</v>
      </c>
      <c r="F4" s="3" t="s">
        <v>92</v>
      </c>
    </row>
    <row r="5" spans="1:6" x14ac:dyDescent="0.2">
      <c r="A5" t="s">
        <v>95</v>
      </c>
      <c r="B5" t="s">
        <v>97</v>
      </c>
      <c r="E5" t="s">
        <v>112</v>
      </c>
      <c r="F5" t="s">
        <v>68</v>
      </c>
    </row>
    <row r="6" spans="1:6" x14ac:dyDescent="0.2">
      <c r="A6" t="s">
        <v>98</v>
      </c>
      <c r="E6" t="s">
        <v>113</v>
      </c>
      <c r="F6" t="s">
        <v>68</v>
      </c>
    </row>
    <row r="7" spans="1:6" x14ac:dyDescent="0.2">
      <c r="A7" t="s">
        <v>93</v>
      </c>
      <c r="B7" t="s">
        <v>99</v>
      </c>
      <c r="E7" t="s">
        <v>100</v>
      </c>
      <c r="F7" t="s">
        <v>68</v>
      </c>
    </row>
    <row r="8" spans="1:6" x14ac:dyDescent="0.2">
      <c r="A8" t="s">
        <v>100</v>
      </c>
      <c r="E8" t="s">
        <v>93</v>
      </c>
      <c r="F8" t="s">
        <v>120</v>
      </c>
    </row>
    <row r="9" spans="1:6" x14ac:dyDescent="0.2">
      <c r="A9" t="s">
        <v>101</v>
      </c>
      <c r="F9" t="s">
        <v>99</v>
      </c>
    </row>
    <row r="10" spans="1:6" x14ac:dyDescent="0.2">
      <c r="A10" t="s">
        <v>95</v>
      </c>
      <c r="B10" t="s">
        <v>102</v>
      </c>
      <c r="F10" t="s">
        <v>93</v>
      </c>
    </row>
    <row r="11" spans="1:6" x14ac:dyDescent="0.2">
      <c r="A11" t="s">
        <v>95</v>
      </c>
      <c r="B11" t="s">
        <v>103</v>
      </c>
      <c r="F11" t="s">
        <v>94</v>
      </c>
    </row>
    <row r="12" spans="1:6" x14ac:dyDescent="0.2">
      <c r="A12" t="s">
        <v>95</v>
      </c>
      <c r="B12" t="s">
        <v>104</v>
      </c>
      <c r="F12" t="s">
        <v>116</v>
      </c>
    </row>
    <row r="13" spans="1:6" x14ac:dyDescent="0.2">
      <c r="A13" t="s">
        <v>95</v>
      </c>
      <c r="B13" t="s">
        <v>105</v>
      </c>
      <c r="F13" t="s">
        <v>104</v>
      </c>
    </row>
    <row r="14" spans="1:6" x14ac:dyDescent="0.2">
      <c r="A14" t="s">
        <v>93</v>
      </c>
      <c r="B14" t="s">
        <v>93</v>
      </c>
      <c r="F14" t="s">
        <v>68</v>
      </c>
    </row>
    <row r="15" spans="1:6" x14ac:dyDescent="0.2">
      <c r="A15" t="s">
        <v>95</v>
      </c>
      <c r="B15" t="s">
        <v>106</v>
      </c>
      <c r="E15" t="s">
        <v>95</v>
      </c>
      <c r="F15" t="s">
        <v>105</v>
      </c>
    </row>
    <row r="16" spans="1:6" x14ac:dyDescent="0.2">
      <c r="A16" t="s">
        <v>95</v>
      </c>
      <c r="B16" t="s">
        <v>107</v>
      </c>
      <c r="F16" t="s">
        <v>97</v>
      </c>
    </row>
    <row r="17" spans="1:6" x14ac:dyDescent="0.2">
      <c r="A17" t="s">
        <v>95</v>
      </c>
      <c r="B17" t="s">
        <v>108</v>
      </c>
      <c r="F17" t="s">
        <v>118</v>
      </c>
    </row>
    <row r="18" spans="1:6" x14ac:dyDescent="0.2">
      <c r="A18" t="s">
        <v>95</v>
      </c>
      <c r="B18" t="s">
        <v>109</v>
      </c>
      <c r="F18" t="s">
        <v>108</v>
      </c>
    </row>
    <row r="19" spans="1:6" x14ac:dyDescent="0.2">
      <c r="A19" t="s">
        <v>95</v>
      </c>
      <c r="B19" t="s">
        <v>110</v>
      </c>
      <c r="F19" t="s">
        <v>99</v>
      </c>
    </row>
    <row r="20" spans="1:6" x14ac:dyDescent="0.2">
      <c r="A20" t="s">
        <v>111</v>
      </c>
      <c r="F20" t="s">
        <v>121</v>
      </c>
    </row>
    <row r="21" spans="1:6" x14ac:dyDescent="0.2">
      <c r="A21" t="s">
        <v>112</v>
      </c>
      <c r="F21" t="s">
        <v>106</v>
      </c>
    </row>
    <row r="22" spans="1:6" x14ac:dyDescent="0.2">
      <c r="A22" t="s">
        <v>113</v>
      </c>
      <c r="F22" t="s">
        <v>116</v>
      </c>
    </row>
    <row r="23" spans="1:6" x14ac:dyDescent="0.2">
      <c r="A23" t="s">
        <v>114</v>
      </c>
      <c r="F23" t="s">
        <v>95</v>
      </c>
    </row>
    <row r="24" spans="1:6" x14ac:dyDescent="0.2">
      <c r="A24" t="s">
        <v>93</v>
      </c>
      <c r="B24" t="s">
        <v>104</v>
      </c>
      <c r="F24" t="s">
        <v>103</v>
      </c>
    </row>
    <row r="25" spans="1:6" x14ac:dyDescent="0.2">
      <c r="A25" t="s">
        <v>95</v>
      </c>
      <c r="B25" t="s">
        <v>115</v>
      </c>
      <c r="F25" t="s">
        <v>110</v>
      </c>
    </row>
    <row r="26" spans="1:6" x14ac:dyDescent="0.2">
      <c r="A26" t="s">
        <v>95</v>
      </c>
      <c r="B26" t="s">
        <v>116</v>
      </c>
      <c r="F26" t="s">
        <v>104</v>
      </c>
    </row>
    <row r="27" spans="1:6" x14ac:dyDescent="0.2">
      <c r="A27" t="s">
        <v>95</v>
      </c>
      <c r="B27" t="s">
        <v>99</v>
      </c>
      <c r="F27" t="s">
        <v>115</v>
      </c>
    </row>
    <row r="28" spans="1:6" x14ac:dyDescent="0.2">
      <c r="A28" t="s">
        <v>95</v>
      </c>
      <c r="B28" t="s">
        <v>117</v>
      </c>
      <c r="F28" t="s">
        <v>117</v>
      </c>
    </row>
    <row r="29" spans="1:6" x14ac:dyDescent="0.2">
      <c r="A29" t="s">
        <v>93</v>
      </c>
      <c r="B29" t="s">
        <v>116</v>
      </c>
      <c r="F29" t="s">
        <v>107</v>
      </c>
    </row>
    <row r="30" spans="1:6" x14ac:dyDescent="0.2">
      <c r="A30" t="s">
        <v>95</v>
      </c>
      <c r="B30" t="s">
        <v>118</v>
      </c>
      <c r="F30" t="s">
        <v>102</v>
      </c>
    </row>
    <row r="31" spans="1:6" x14ac:dyDescent="0.2">
      <c r="A31" t="s">
        <v>119</v>
      </c>
      <c r="F31" t="s">
        <v>109</v>
      </c>
    </row>
    <row r="32" spans="1:6" x14ac:dyDescent="0.2">
      <c r="A32" t="s">
        <v>93</v>
      </c>
      <c r="B32" t="s">
        <v>120</v>
      </c>
      <c r="E32" t="s">
        <v>111</v>
      </c>
      <c r="F32" t="s">
        <v>68</v>
      </c>
    </row>
    <row r="33" spans="1:6" x14ac:dyDescent="0.2">
      <c r="A33" t="s">
        <v>95</v>
      </c>
      <c r="B33" t="s">
        <v>121</v>
      </c>
      <c r="E33" t="s">
        <v>98</v>
      </c>
      <c r="F33" t="s">
        <v>68</v>
      </c>
    </row>
    <row r="34" spans="1:6" x14ac:dyDescent="0.2">
      <c r="A34" t="s">
        <v>93</v>
      </c>
      <c r="E34" t="s">
        <v>114</v>
      </c>
      <c r="F34" t="s">
        <v>68</v>
      </c>
    </row>
    <row r="35" spans="1:6" x14ac:dyDescent="0.2">
      <c r="E35" t="s">
        <v>101</v>
      </c>
      <c r="F35" t="s">
        <v>68</v>
      </c>
    </row>
    <row r="36" spans="1:6" x14ac:dyDescent="0.2">
      <c r="E36" t="s">
        <v>96</v>
      </c>
      <c r="F36" t="s">
        <v>68</v>
      </c>
    </row>
    <row r="37" spans="1:6" x14ac:dyDescent="0.2">
      <c r="E37" t="s">
        <v>119</v>
      </c>
      <c r="F37" t="s">
        <v>68</v>
      </c>
    </row>
    <row r="38" spans="1:6" x14ac:dyDescent="0.2">
      <c r="E38"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Code</vt:lpstr>
      <vt:lpstr>Data</vt:lpstr>
      <vt:lpstr>Pivots</vt:lpstr>
      <vt:lpstr>Summary</vt:lpstr>
      <vt:lpstr>State and reason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Manish Kumar</dc:creator>
  <cp:lastModifiedBy>Manish Kumar</cp:lastModifiedBy>
  <dcterms:created xsi:type="dcterms:W3CDTF">2026-02-05T12:54:43Z</dcterms:created>
  <dcterms:modified xsi:type="dcterms:W3CDTF">2026-02-06T16:06:16Z</dcterms:modified>
</cp:coreProperties>
</file>